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602B193C-C833-4FB1-9D91-FBE28DDFC975}" xr6:coauthVersionLast="47" xr6:coauthVersionMax="47" xr10:uidLastSave="{00000000-0000-0000-0000-000000000000}"/>
  <bookViews>
    <workbookView xWindow="-120" yWindow="-120" windowWidth="29040" windowHeight="15720" tabRatio="772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23" r:id="rId4"/>
    <sheet name="TP2" sheetId="33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3" l="1"/>
  <c r="G90" i="3"/>
  <c r="F90" i="3"/>
  <c r="E90" i="3"/>
  <c r="G88" i="3"/>
  <c r="F88" i="3"/>
  <c r="E88" i="3"/>
  <c r="G71" i="3"/>
  <c r="F71" i="3"/>
  <c r="E71" i="3"/>
  <c r="G69" i="3"/>
  <c r="F69" i="3"/>
  <c r="E69" i="3"/>
  <c r="G65" i="3"/>
  <c r="F65" i="3"/>
  <c r="E65" i="3"/>
  <c r="G74" i="3"/>
  <c r="F74" i="3"/>
  <c r="E74" i="3"/>
  <c r="G63" i="3"/>
  <c r="F63" i="3"/>
  <c r="E63" i="3"/>
  <c r="G61" i="3"/>
  <c r="F61" i="3"/>
  <c r="E61" i="3"/>
  <c r="G54" i="3"/>
  <c r="F54" i="3"/>
  <c r="G67" i="3"/>
  <c r="F67" i="3"/>
  <c r="E67" i="3"/>
  <c r="G77" i="3"/>
  <c r="F77" i="3"/>
  <c r="E77" i="3"/>
  <c r="G78" i="3"/>
  <c r="F78" i="3"/>
  <c r="E78" i="3"/>
  <c r="G79" i="3"/>
  <c r="F79" i="3"/>
  <c r="E79" i="3"/>
  <c r="G83" i="3"/>
  <c r="F83" i="3"/>
  <c r="E83" i="3"/>
  <c r="G91" i="3"/>
  <c r="F91" i="3"/>
  <c r="E91" i="3"/>
  <c r="G96" i="3"/>
  <c r="F96" i="3"/>
  <c r="E96" i="3"/>
  <c r="G102" i="3"/>
  <c r="F102" i="3"/>
  <c r="E102" i="3"/>
  <c r="G104" i="3"/>
  <c r="F104" i="3"/>
  <c r="E104" i="3"/>
  <c r="G113" i="3"/>
  <c r="F113" i="3"/>
  <c r="E113" i="3"/>
  <c r="G59" i="3"/>
  <c r="F59" i="3"/>
  <c r="E59" i="3"/>
  <c r="G52" i="3"/>
  <c r="F52" i="3"/>
  <c r="E52" i="3"/>
  <c r="G50" i="3"/>
  <c r="F50" i="3"/>
  <c r="E50" i="3"/>
  <c r="G46" i="3"/>
  <c r="G45" i="3"/>
  <c r="F46" i="3"/>
  <c r="F45" i="3"/>
  <c r="E46" i="3"/>
  <c r="E45" i="3"/>
  <c r="G44" i="3"/>
  <c r="F44" i="3"/>
  <c r="E44" i="3"/>
  <c r="G43" i="3"/>
  <c r="F43" i="3"/>
  <c r="E43" i="3"/>
  <c r="G49" i="3"/>
  <c r="F49" i="3"/>
  <c r="E49" i="3"/>
  <c r="G58" i="3"/>
  <c r="F58" i="3"/>
  <c r="E58" i="3"/>
  <c r="G75" i="3"/>
  <c r="F75" i="3"/>
  <c r="E75" i="3"/>
  <c r="G73" i="3"/>
  <c r="F73" i="3"/>
  <c r="E73" i="3"/>
  <c r="G108" i="3"/>
  <c r="F108" i="3"/>
  <c r="E108" i="3"/>
  <c r="G38" i="3"/>
  <c r="F38" i="3"/>
  <c r="E38" i="3"/>
  <c r="G34" i="3"/>
  <c r="F34" i="3"/>
  <c r="E34" i="3"/>
  <c r="G30" i="3"/>
  <c r="F30" i="3"/>
  <c r="E30" i="3"/>
  <c r="G95" i="3"/>
  <c r="F95" i="3"/>
  <c r="E95" i="3"/>
  <c r="G81" i="3"/>
  <c r="F81" i="3"/>
  <c r="E81" i="3"/>
  <c r="G72" i="3"/>
  <c r="F72" i="3"/>
  <c r="E72" i="3"/>
  <c r="G39" i="3"/>
  <c r="F39" i="3"/>
  <c r="E39" i="3"/>
  <c r="G35" i="3"/>
  <c r="F35" i="3"/>
  <c r="E35" i="3"/>
  <c r="G33" i="3"/>
  <c r="F33" i="3"/>
  <c r="E33" i="3"/>
  <c r="G26" i="3"/>
  <c r="F26" i="3"/>
  <c r="E26" i="3"/>
  <c r="G25" i="3"/>
  <c r="F25" i="3"/>
  <c r="E25" i="3"/>
  <c r="G27" i="3"/>
  <c r="F27" i="3"/>
  <c r="E27" i="3"/>
  <c r="G20" i="3"/>
  <c r="F20" i="3"/>
  <c r="E20" i="3"/>
  <c r="G76" i="3"/>
  <c r="F76" i="3"/>
  <c r="E76" i="3"/>
  <c r="G22" i="3"/>
  <c r="F22" i="3"/>
  <c r="E22" i="3"/>
  <c r="G18" i="3"/>
  <c r="F18" i="3"/>
  <c r="E18" i="3"/>
  <c r="G111" i="3"/>
  <c r="F111" i="3"/>
  <c r="E111" i="3"/>
  <c r="G109" i="3"/>
  <c r="F109" i="3"/>
  <c r="E109" i="3"/>
  <c r="G106" i="3"/>
  <c r="F106" i="3"/>
  <c r="E106" i="3"/>
  <c r="G105" i="3"/>
  <c r="F105" i="3"/>
  <c r="E105" i="3"/>
  <c r="G101" i="3"/>
  <c r="F101" i="3"/>
  <c r="E101" i="3"/>
  <c r="G98" i="3"/>
  <c r="F98" i="3"/>
  <c r="E98" i="3"/>
  <c r="G97" i="3"/>
  <c r="F97" i="3"/>
  <c r="E97" i="3"/>
  <c r="G92" i="3"/>
  <c r="F92" i="3"/>
  <c r="E92" i="3"/>
  <c r="G87" i="3"/>
  <c r="F87" i="3"/>
  <c r="E87" i="3"/>
  <c r="G86" i="3"/>
  <c r="F86" i="3"/>
  <c r="E86" i="3"/>
  <c r="G66" i="3"/>
  <c r="F66" i="3"/>
  <c r="E66" i="3"/>
  <c r="G64" i="3"/>
  <c r="F64" i="3"/>
  <c r="E64" i="3"/>
  <c r="G57" i="3"/>
  <c r="F57" i="3"/>
  <c r="E57" i="3"/>
  <c r="G56" i="3"/>
  <c r="F56" i="3"/>
  <c r="E56" i="3"/>
  <c r="G55" i="3"/>
  <c r="F55" i="3"/>
  <c r="E55" i="3"/>
  <c r="G53" i="3"/>
  <c r="F53" i="3"/>
  <c r="E53" i="3"/>
  <c r="G42" i="3"/>
  <c r="F42" i="3"/>
  <c r="E42" i="3"/>
  <c r="G41" i="3"/>
  <c r="F41" i="3"/>
  <c r="E41" i="3"/>
  <c r="G37" i="3"/>
  <c r="F37" i="3"/>
  <c r="E37" i="3"/>
  <c r="G31" i="3"/>
  <c r="F31" i="3"/>
  <c r="E31" i="3"/>
  <c r="G23" i="3"/>
  <c r="F23" i="3"/>
  <c r="E23" i="3"/>
  <c r="G17" i="3"/>
  <c r="F17" i="3"/>
  <c r="E17" i="3"/>
  <c r="G16" i="3"/>
  <c r="F16" i="3"/>
  <c r="E16" i="3"/>
  <c r="G12" i="3"/>
  <c r="F12" i="3"/>
  <c r="E12" i="3"/>
  <c r="G10" i="3"/>
  <c r="F10" i="3"/>
  <c r="E10" i="3"/>
  <c r="G8" i="3"/>
  <c r="F8" i="3"/>
  <c r="E8" i="3"/>
  <c r="G7" i="3"/>
  <c r="F7" i="3"/>
  <c r="E7" i="3"/>
  <c r="G6" i="3"/>
  <c r="F6" i="3"/>
  <c r="E6" i="3"/>
</calcChain>
</file>

<file path=xl/sharedStrings.xml><?xml version="1.0" encoding="utf-8"?>
<sst xmlns="http://schemas.openxmlformats.org/spreadsheetml/2006/main" count="1654" uniqueCount="570">
  <si>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</si>
  <si>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</si>
  <si>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</si>
  <si>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</si>
  <si>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</si>
  <si>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</si>
  <si>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</si>
  <si>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</si>
  <si>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</si>
  <si>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</si>
  <si>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</si>
  <si>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</si>
  <si>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</si>
  <si>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</si>
  <si>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</si>
  <si>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</si>
  <si>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</si>
  <si>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</si>
  <si>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</si>
  <si>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4d</t>
  </si>
  <si>
    <t>1.1.2</t>
  </si>
  <si>
    <t>team subcontractor</t>
  </si>
  <si>
    <t>MOVIMIENTO DE TIERRAS</t>
  </si>
  <si>
    <t>mason</t>
  </si>
  <si>
    <t>carpenter</t>
  </si>
  <si>
    <t>1.2.1</t>
  </si>
  <si>
    <t>1.2.1.1</t>
  </si>
  <si>
    <t>1.2.2</t>
  </si>
  <si>
    <t>1.2.2.1</t>
  </si>
  <si>
    <t>2d</t>
  </si>
  <si>
    <t>painter</t>
  </si>
  <si>
    <t>1.2.2.2</t>
  </si>
  <si>
    <t>1.2.2.3</t>
  </si>
  <si>
    <t>1.2.3</t>
  </si>
  <si>
    <t>1.2.3.1</t>
  </si>
  <si>
    <t>5d</t>
  </si>
  <si>
    <t>1.2.3.2</t>
  </si>
  <si>
    <t>1.2.3.3</t>
  </si>
  <si>
    <t>VARIOS</t>
  </si>
  <si>
    <t>1.3.1.1</t>
  </si>
  <si>
    <t>1.3.2</t>
  </si>
  <si>
    <t>3d</t>
  </si>
  <si>
    <t>1.4.1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</si>
  <si>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</si>
  <si>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</si>
  <si>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</si>
  <si>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</si>
  <si>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</si>
  <si>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</si>
  <si>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</si>
  <si>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</si>
  <si>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</si>
  <si>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</si>
  <si>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</si>
  <si>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</si>
  <si>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</si>
  <si>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</si>
  <si>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</si>
  <si>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</si>
  <si>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</si>
  <si>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</si>
  <si>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</si>
  <si>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</si>
  <si>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</si>
  <si>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</si>
  <si>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</si>
  <si>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</si>
  <si>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</si>
  <si>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</si>
  <si>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</si>
  <si>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</si>
  <si>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</si>
  <si>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</si>
  <si>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</si>
  <si>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</si>
  <si>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</si>
  <si>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</si>
  <si>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</si>
  <si>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</si>
  <si>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</si>
  <si>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</si>
  <si>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</si>
  <si>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</si>
  <si>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</si>
  <si>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</si>
  <si>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</si>
  <si>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</si>
  <si>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</si>
  <si>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</si>
  <si>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</si>
  <si>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</si>
  <si>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</si>
  <si>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</si>
  <si>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</si>
  <si>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</si>
  <si>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</si>
  <si>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</si>
  <si>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</si>
  <si>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</si>
  <si>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</si>
  <si>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</si>
  <si>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</si>
  <si>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</si>
  <si>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</si>
  <si>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</si>
  <si>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</si>
  <si>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</si>
  <si>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</si>
  <si>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</si>
  <si>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</si>
  <si>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</si>
  <si>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</si>
  <si>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</si>
  <si>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ELIMINACION DE MATERIAL EXCEDENTE</t>
  </si>
  <si>
    <t>6d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</si>
  <si>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</si>
  <si>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</si>
  <si>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</si>
  <si>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</si>
  <si>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</si>
  <si>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</si>
  <si>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</si>
  <si>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1.2.3.4</t>
  </si>
  <si>
    <t>1.3.1</t>
  </si>
  <si>
    <t>1.3.2.1</t>
  </si>
  <si>
    <t>1.3.2.2</t>
  </si>
  <si>
    <t>1.3.2.3</t>
  </si>
  <si>
    <t>1.4.1.1</t>
  </si>
  <si>
    <t>12 people</t>
  </si>
  <si>
    <t>PINTURA</t>
  </si>
  <si>
    <t>LIMPIEZA FINAL DE OBRA</t>
  </si>
  <si>
    <t>1.1.1.1</t>
  </si>
  <si>
    <t>1.1.1.2</t>
  </si>
  <si>
    <t>1.1.1.3</t>
  </si>
  <si>
    <t>1.1.2.1</t>
  </si>
  <si>
    <t>1.1.3</t>
  </si>
  <si>
    <t>1.1.3.1</t>
  </si>
  <si>
    <t>1.2.1.1.1</t>
  </si>
  <si>
    <t>1.2.1.1.2</t>
  </si>
  <si>
    <t>1.2.1.2</t>
  </si>
  <si>
    <t>1.2.1.2.1</t>
  </si>
  <si>
    <t>1.2.1.3</t>
  </si>
  <si>
    <t>1.2.1.3.1</t>
  </si>
  <si>
    <t>1.2.3.1.1</t>
  </si>
  <si>
    <t>1.2.3.1.2</t>
  </si>
  <si>
    <t>1.2.3.2.1</t>
  </si>
  <si>
    <t>1.2.3.2.2</t>
  </si>
  <si>
    <t>1.2.3.2.3</t>
  </si>
  <si>
    <t>1.2.3.3.1</t>
  </si>
  <si>
    <t>1.2.3.3.2</t>
  </si>
  <si>
    <t>1.2.3.3.3</t>
  </si>
  <si>
    <t>1.2.3.4.1</t>
  </si>
  <si>
    <t>1.3.1.2</t>
  </si>
  <si>
    <t>1.3.1.3</t>
  </si>
  <si>
    <t>1.5.1</t>
  </si>
  <si>
    <t>1.5.2</t>
  </si>
  <si>
    <t>plumber</t>
  </si>
  <si>
    <t>plumber [1,00 #8]</t>
  </si>
  <si>
    <t>7 people</t>
  </si>
  <si>
    <t>16 people</t>
  </si>
  <si>
    <t>8 people</t>
  </si>
  <si>
    <t>"CONSTRUCCION DE TECHOS PERMANENTES CONVERTIBLES; EN EL(LA) IE AGROPECUARIO VALLE DEL SISA - SAN JOSE DE SISA EN LA LOCALIDAD SAN JOSE DE SISA, DISTRITO DE SAN JOSE DE SISA, PROVINCIA EL DORADO, DEPARTAMENTO SAN MARTIN"</t>
  </si>
  <si>
    <t>OBRAS PROVISIONALES Y TRABAJOS PRELIMINARES</t>
  </si>
  <si>
    <t>LIMPIEZA GENERAL DE TERRENO</t>
  </si>
  <si>
    <t>CERCO PERIMETRICO PROVISIONAL</t>
  </si>
  <si>
    <t>CARTEL DE IDENTIFICACION DE LA OBRA DE 3.60X2.40M</t>
  </si>
  <si>
    <t>FLETE TERRESTRE Y TRASLADO DE HERRAMIENTAS</t>
  </si>
  <si>
    <t>TRAZOS, NIVELES Y REPLANTEO</t>
  </si>
  <si>
    <t>TRAZO, NIVELES Y REPLANTEO PRELIMINAR</t>
  </si>
  <si>
    <t>ESTRUCTURAS</t>
  </si>
  <si>
    <t>EXCAVACIONES</t>
  </si>
  <si>
    <t>EXCAVACIÓN MANUAL PARA ZAPATAS TERRENO NORMAL</t>
  </si>
  <si>
    <t>EXCAVACIÓN PARA VIGAS DE CIMENTACIÓN TERRENO NORMAL</t>
  </si>
  <si>
    <t>EXCAVACIÓN PARA CUNETAS DE DRENAJE</t>
  </si>
  <si>
    <t>RELLENOS</t>
  </si>
  <si>
    <t>RELLENO COMPACTADO CON MATERIAL PROPIO</t>
  </si>
  <si>
    <t>ACARREO DE MATERIAL EXCEDENTE PARA ELIMINACIÓN, Dmax=50 m.</t>
  </si>
  <si>
    <t>ELIMINACION DE EXCAVACIÓN CON EQUIPO PESADO</t>
  </si>
  <si>
    <t>OBRAS DE CONCRETO SIMPLE</t>
  </si>
  <si>
    <t>CONCRETO F´C=100 KG/CM2 PARA SOLADOS EN CIMENTACIONES E=0.10M</t>
  </si>
  <si>
    <t>CONCRETO F´C=175 KG/CM2 PARA CUNETAS DE SISTEMA DE DRENAJE</t>
  </si>
  <si>
    <t>ENCOFRADO Y DESENCOFRADO NORMAL EN CUNETAS</t>
  </si>
  <si>
    <t>OBRAS DE CONCRETO ARMADO</t>
  </si>
  <si>
    <t>ZAPATAS</t>
  </si>
  <si>
    <t>CONCRETO PARA ZAPATAS F'C=210 KG/CM2</t>
  </si>
  <si>
    <t>ACERO ESTRUCTURAL F'Y= 4200KG/CM2 TRABAJADO PARA ZAPATAS</t>
  </si>
  <si>
    <t>VIGAS DE CIMENTACION</t>
  </si>
  <si>
    <t>CONCRETO F'c=210 KG/CM2 EN VIGAS DE CIMENTACIÓN</t>
  </si>
  <si>
    <t>ENCOFRADO Y DESENCOFRADO EN VIGAS DE CIMENTACIÓN</t>
  </si>
  <si>
    <t>ACERO ESTRUCTURAL F'Y= 4200KG/CM2 TRABAJADO PARA VIGAS DE CIMENTACIÓN</t>
  </si>
  <si>
    <t>COLUMNAS</t>
  </si>
  <si>
    <t>CONCRETO F'c=210 KG/CM2 EN COLUMNAS Y PLACAS</t>
  </si>
  <si>
    <t>ENCOFRADO Y DESENCOFRADO EN COLUMNAS Y PLACAS</t>
  </si>
  <si>
    <t>ACERO ESTRUCTURAL F'Y= 4200KG/CM2 TRABAJADO PARA COLUMNAS Y PLACAS</t>
  </si>
  <si>
    <t>OTROS ELEMENTOS DE CONCRETO ARMADO</t>
  </si>
  <si>
    <t>CONCRETO F'c=175 KG/CM2 PARA DADOS DE PROTECCIÓN DE MONTANTE</t>
  </si>
  <si>
    <t>ENCOFRADO Y DESENCOFRADO NORMAL EN DADOS DE CONCRETO PARA MONTANTES</t>
  </si>
  <si>
    <t>ACERO ESTRUCTURAL F'Y= 4200KG/CM2 TRABAJADO PARA DADOS DE PROTECCIÓN DE MONTANTES</t>
  </si>
  <si>
    <t>CONCRETO F'C = 175 KG/CM2 PARA MURETE</t>
  </si>
  <si>
    <t>ENCOFRADO Y DESENCOFRADO NORMAL PARA MURETE</t>
  </si>
  <si>
    <t>ACERO ESTRUCTURAL  F'Y=4200 KG/CM2 TRABAJADO PARA MURETE</t>
  </si>
  <si>
    <t>ESTRUCTURAS METÁLICAS</t>
  </si>
  <si>
    <t>COLUMNAS  METALICA CM (.30X.30) INCLUYEN BASES</t>
  </si>
  <si>
    <t>PLANCHA BASE DE 0.5MX0.5M E=1/4"INCLUYE PERNOS DE ANCLAJE Ø 3/4"</t>
  </si>
  <si>
    <t>VIGAS</t>
  </si>
  <si>
    <t>VIGA METALICA VM (.25X.50)</t>
  </si>
  <si>
    <t>VIGA COLLARIN (.15X.30)</t>
  </si>
  <si>
    <t>CORREA METALICA VT-1</t>
  </si>
  <si>
    <t>CORREA METALICA VT-2</t>
  </si>
  <si>
    <t>TEMPLADORES PARA VIENTOS EN CRUZ DE 5/8"</t>
  </si>
  <si>
    <t>TEMPLADORES EN VM (.25X.50) DE 5/8"</t>
  </si>
  <si>
    <t>COLGANTES PARA TEMPLADORES EN VM (.25X.50) DE 1/2"</t>
  </si>
  <si>
    <t>ARRIOSTRES DE D=3/8"</t>
  </si>
  <si>
    <t>MONTAJE DE COLUMNAS METÁLICAS</t>
  </si>
  <si>
    <t>MONTAJE DE COLUMNAS  METALICA VM (.30X.30)</t>
  </si>
  <si>
    <t>MONTAJE DE VIGAS METÁLICAS</t>
  </si>
  <si>
    <t>MONTAJE DE VIGA METALICA VM (.25X.50)</t>
  </si>
  <si>
    <t>MONTAJE DE VIGA COLLARÍN (.15X.30)</t>
  </si>
  <si>
    <t>MONTAJE DE CORREA METÁLICA VT-1</t>
  </si>
  <si>
    <t>MONTAJE DE CORREA METÁLICA VT-2</t>
  </si>
  <si>
    <t>MONTAJE DE TEMPLADORES PARA TECHO METÁLICO</t>
  </si>
  <si>
    <t>COBERTURAS METÁLICAS</t>
  </si>
  <si>
    <t>COBERTURA DE CALAMINÓN DE CU-6 DE 1024MM DE ANCHO DE 0.4MM.</t>
  </si>
  <si>
    <t>TRIBUNA METALICA</t>
  </si>
  <si>
    <t>PORTICO METALICO PARA TRIBUNA DE F°G° TUBO CUADRADO 0.15X0.15X1/4"</t>
  </si>
  <si>
    <t>VIGA METÁLICA TUBO CUADRADO F° G° 0.15X0.15X1/4"</t>
  </si>
  <si>
    <t>TUBO CUADRADO F° G° 0.10X0.10X1/4"</t>
  </si>
  <si>
    <t>TUBO CUADRADO F° G° 2"X2"X2MM</t>
  </si>
  <si>
    <t>TUBO CUADRADO F° G° 40X80X2MM</t>
  </si>
  <si>
    <t>TUBO RECTANGULAR F° G° 1"X2"X2MM</t>
  </si>
  <si>
    <t>ANGULO METALICO DE 3/4"X3/4"X1/8"</t>
  </si>
  <si>
    <t>PLANCHA DE DE FIBROCEMENTO EP 20MM</t>
  </si>
  <si>
    <t>BARANDA METÁLICA TUBO REDONDO F° G° D=2"X2MM</t>
  </si>
  <si>
    <t>REJILLAS METALICAS</t>
  </si>
  <si>
    <t>REJILLA METALICA SOBRE CUNETA SEGUN DISEÑO</t>
  </si>
  <si>
    <t>ARQUITECTURA</t>
  </si>
  <si>
    <t>REVOQUES Y REVESTIMIENTOS</t>
  </si>
  <si>
    <t>TARRAJEO DE  DADOS PARA MONTANTE</t>
  </si>
  <si>
    <t>TARRAJEO DE MURETE</t>
  </si>
  <si>
    <t>TARRAJEO EN SUPERFICIES DE CUNETAS DE DRENAJE</t>
  </si>
  <si>
    <t>PINTURA CON PROTECCION ANTICORROSIVA EN ESTRUCTURAS METALICA, LINEAS DE LOSA, ARCOS Y TABLEROS</t>
  </si>
  <si>
    <t>PINTURA EN ESTRUCTURA DE CONCRETO- DADOS PARA MONTANTE</t>
  </si>
  <si>
    <t>PINTURA DE MURETE</t>
  </si>
  <si>
    <t>INSTALACIONES SANITARIAS</t>
  </si>
  <si>
    <t>DRENAJE PLUVIAL</t>
  </si>
  <si>
    <t>CANALETA METALICA</t>
  </si>
  <si>
    <t>MONTANTES DE TUBERIA DE PVC SAL 4"</t>
  </si>
  <si>
    <t>CODO DE PVC SAL DE 4" x 90º</t>
  </si>
  <si>
    <t>CODO DE PVC SAL DE 4" x 45º</t>
  </si>
  <si>
    <t>INSTALACIONES ELECTRICAS</t>
  </si>
  <si>
    <t>SALIDAS</t>
  </si>
  <si>
    <t>SALIDA PARA CENTROS DE LUZ</t>
  </si>
  <si>
    <t>SALIDA PARA TOMACORRIENTE DOBLE 2P+T, 220 V</t>
  </si>
  <si>
    <t>CANALIZACION Y/O TUBERIAS</t>
  </si>
  <si>
    <t>TUBERIA PVC-SEL DE 20MM P/ALUMBRADO</t>
  </si>
  <si>
    <t>TUBERIA PVC-SEL DE 20MM P/TOMACORRIENTE</t>
  </si>
  <si>
    <t>CURVA DE PVC SEL DE 20MM</t>
  </si>
  <si>
    <t>CONDUCTORES Y/O CABLES</t>
  </si>
  <si>
    <t>CABLE ELECTRICO NH-80; 2-1X2.5 MM2 + 1x2.5MM2 (T), (Alumbrado)</t>
  </si>
  <si>
    <t>CABLE ELECTRICO NH-80; 2X4.0 MM2 + 1X2.5 MM2 (T) (Tomacorriente)</t>
  </si>
  <si>
    <t>ARTEFACTOS Y LUMINARIAS</t>
  </si>
  <si>
    <t>SUMINISTRO E INSTALACION DE LUMINARIA INCANDESCENTE PARA LOSA DE USO MÚLTIPLE</t>
  </si>
  <si>
    <t>TABLEROS E INTERRUPTORES TERMOMAGNETICOS</t>
  </si>
  <si>
    <t>TABLERO ELECTRICO P/DISTRIBUCIÓN DE CIRCUITOS TD/INCLUYE LLAVES</t>
  </si>
  <si>
    <t>1</t>
  </si>
  <si>
    <t>1.1</t>
  </si>
  <si>
    <t>1.2</t>
  </si>
  <si>
    <t>1.2.1.1.3</t>
  </si>
  <si>
    <t>1.2.1.3.2</t>
  </si>
  <si>
    <t>1.2.3.4.2</t>
  </si>
  <si>
    <t>1.2.3.4.3</t>
  </si>
  <si>
    <t>1.2.3.4.4</t>
  </si>
  <si>
    <t>1.2.3.4.5</t>
  </si>
  <si>
    <t>1.2.3.4.6</t>
  </si>
  <si>
    <t>1.2.4</t>
  </si>
  <si>
    <t>1.2.4.1</t>
  </si>
  <si>
    <t>1.2.4.1.1</t>
  </si>
  <si>
    <t>1.2.4.1.2</t>
  </si>
  <si>
    <t>1.2.4.2</t>
  </si>
  <si>
    <t>1.2.4.2.1</t>
  </si>
  <si>
    <t>1.2.4.2.2</t>
  </si>
  <si>
    <t>1.2.4.2.3</t>
  </si>
  <si>
    <t>1.2.4.2.4</t>
  </si>
  <si>
    <t>1.2.4.2.5</t>
  </si>
  <si>
    <t>1.2.4.2.6</t>
  </si>
  <si>
    <t>1.2.4.2.7</t>
  </si>
  <si>
    <t>1.2.4.2.8</t>
  </si>
  <si>
    <t>1.2.4.3</t>
  </si>
  <si>
    <t>1.2.4.3.1</t>
  </si>
  <si>
    <t>1.2.4.4</t>
  </si>
  <si>
    <t>1.2.4.4.1</t>
  </si>
  <si>
    <t>1.2.4.4.2</t>
  </si>
  <si>
    <t>1.2.4.4.3</t>
  </si>
  <si>
    <t>1.2.4.4.4</t>
  </si>
  <si>
    <t>1.2.4.4.5</t>
  </si>
  <si>
    <t>1.2.4.5</t>
  </si>
  <si>
    <t>1.2.4.5.1</t>
  </si>
  <si>
    <t>1.2.4.6</t>
  </si>
  <si>
    <t>1.2.4.6.1</t>
  </si>
  <si>
    <t>1.2.4.6.2</t>
  </si>
  <si>
    <t>1.2.4.6.3</t>
  </si>
  <si>
    <t>1.2.4.6.4</t>
  </si>
  <si>
    <t>1.2.4.6.5</t>
  </si>
  <si>
    <t>1.2.4.6.6</t>
  </si>
  <si>
    <t>1.2.4.6.7</t>
  </si>
  <si>
    <t>1.2.4.6.8</t>
  </si>
  <si>
    <t>1.2.4.6.9</t>
  </si>
  <si>
    <t>1.2.4.7</t>
  </si>
  <si>
    <t>1.2.4.7.1</t>
  </si>
  <si>
    <t>1.2.4.8</t>
  </si>
  <si>
    <t>1.2.4.8.1</t>
  </si>
  <si>
    <t>1.3</t>
  </si>
  <si>
    <t>1.4</t>
  </si>
  <si>
    <t>1.4.1.2</t>
  </si>
  <si>
    <t>1.4.1.3</t>
  </si>
  <si>
    <t>1.4.1.4</t>
  </si>
  <si>
    <t>1.5</t>
  </si>
  <si>
    <t>1.5.1.1</t>
  </si>
  <si>
    <t>1.5.1.2</t>
  </si>
  <si>
    <t>1.5.2.1</t>
  </si>
  <si>
    <t>1.5.2.2</t>
  </si>
  <si>
    <t>1.5.2.3</t>
  </si>
  <si>
    <t>1.5.3</t>
  </si>
  <si>
    <t>1.5.3.1</t>
  </si>
  <si>
    <t>1.5.3.2</t>
  </si>
  <si>
    <t>1.5.4</t>
  </si>
  <si>
    <t>1.5.4.1</t>
  </si>
  <si>
    <t>1.5.5</t>
  </si>
  <si>
    <t>1.5.5.1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</si>
  <si>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</si>
  <si>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</si>
  <si>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</si>
  <si>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</si>
  <si>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</si>
  <si>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</si>
  <si>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</si>
  <si>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</si>
  <si>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</si>
  <si>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</si>
  <si>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</si>
  <si>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</si>
  <si>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</si>
  <si>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</si>
  <si>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</si>
  <si>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</si>
  <si>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</si>
  <si>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</si>
  <si>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</si>
  <si>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</si>
  <si>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</si>
  <si>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</si>
  <si>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</si>
  <si>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</si>
  <si>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</si>
  <si>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</si>
  <si>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</si>
  <si>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</si>
  <si>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</si>
  <si>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</si>
  <si>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</si>
  <si>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</si>
  <si>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</si>
  <si>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</si>
  <si>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</si>
  <si>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</si>
  <si>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</si>
  <si>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</si>
  <si>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</si>
  <si>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</si>
  <si>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</si>
  <si>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</si>
  <si>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</si>
  <si>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</si>
  <si>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</si>
  <si>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</si>
  <si>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</si>
  <si>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</si>
  <si>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</si>
  <si>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</si>
  <si>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</si>
  <si>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</si>
  <si>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</si>
  <si>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</si>
  <si>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</si>
  <si>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</si>
  <si>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</si>
  <si>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</si>
  <si>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</si>
  <si>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</si>
  <si>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</si>
  <si>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</si>
  <si>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</si>
  <si>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</si>
  <si>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</si>
  <si>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</si>
  <si>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</si>
  <si>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</si>
  <si>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</si>
  <si>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</si>
  <si>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</si>
  <si>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</si>
  <si>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</si>
  <si>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</si>
  <si>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</si>
  <si>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</si>
  <si>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</si>
  <si>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</si>
  <si>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</si>
  <si>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</si>
  <si>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</si>
  <si>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</si>
  <si>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</si>
  <si>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</si>
  <si>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</si>
  <si>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</si>
  <si>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</si>
  <si>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</si>
  <si>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</si>
  <si>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</si>
  <si>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</si>
  <si>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</si>
  <si>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</si>
  <si>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</si>
  <si>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</si>
  <si>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</si>
  <si>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</si>
  <si>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</si>
  <si>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</si>
  <si>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</si>
  <si>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</si>
  <si>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</si>
  <si>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</si>
  <si>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</si>
  <si>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</si>
  <si>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</si>
  <si>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</si>
  <si>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</si>
  <si>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</si>
  <si>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</si>
  <si>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25FF</t>
  </si>
  <si>
    <t>35FF</t>
  </si>
  <si>
    <t>52FF</t>
  </si>
  <si>
    <t>50FF</t>
  </si>
  <si>
    <t>54FF</t>
  </si>
  <si>
    <t>63FF</t>
  </si>
  <si>
    <t>74FF</t>
  </si>
  <si>
    <t>75FF</t>
  </si>
  <si>
    <t>93FF</t>
  </si>
  <si>
    <t>94FF</t>
  </si>
  <si>
    <t>102FF</t>
  </si>
  <si>
    <t>7d</t>
  </si>
  <si>
    <t>10d</t>
  </si>
  <si>
    <t>Steel work</t>
  </si>
  <si>
    <t>"CONSTRUSSION DE TECHOS PERMANENTES CONVERTIBLES; EN EL(LA) IE AGROPECUARIO VALLE DEL SISA - SAN JOSE DE SISA EN LA LOCALIDAD SAN JOSE DE SISA, DISTRITO DE SAN JOSE DE SISA, PROVINCIA EL DORADO, DEPARTAMENTO SAN MARTIN"</t>
  </si>
  <si>
    <t>6SS</t>
  </si>
  <si>
    <t>14SS+2d</t>
  </si>
  <si>
    <t>14SS+1d</t>
  </si>
  <si>
    <t>16SS+2d</t>
  </si>
  <si>
    <t>28SS</t>
  </si>
  <si>
    <t>CONCRETO F'c=175 KG/CM2 PARA DADOS DE PROTESSIÓN DE MONTANTE</t>
  </si>
  <si>
    <t>ACERO ESTRUCTURAL F'Y= 4200KG/CM2 TRABAJADO PARA DADOS DE PROTESSIÓN DE MONTANTES</t>
  </si>
  <si>
    <t>39SS</t>
  </si>
  <si>
    <t>40SS</t>
  </si>
  <si>
    <t>41SS</t>
  </si>
  <si>
    <t>72SS</t>
  </si>
  <si>
    <t>84SS</t>
  </si>
  <si>
    <t>PINTURA CON PROTESSION ANTICORROSIVA EN ESTRUCTURAS METALICA, LINEAS DE LOSA, ARCOS Y TABLEROS</t>
  </si>
  <si>
    <t>47SS</t>
  </si>
  <si>
    <t>89SS</t>
  </si>
  <si>
    <t>102SS</t>
  </si>
  <si>
    <t>111SS</t>
  </si>
  <si>
    <t>10FS</t>
  </si>
  <si>
    <t>4FS</t>
  </si>
  <si>
    <t>15FS</t>
  </si>
  <si>
    <t>35FS</t>
  </si>
  <si>
    <t>20FS</t>
  </si>
  <si>
    <t>18FS</t>
  </si>
  <si>
    <t>29FS</t>
  </si>
  <si>
    <t>86FS</t>
  </si>
  <si>
    <t>32FS</t>
  </si>
  <si>
    <t>23FS</t>
  </si>
  <si>
    <t>37FS</t>
  </si>
  <si>
    <t>33FS</t>
  </si>
  <si>
    <t>36FS</t>
  </si>
  <si>
    <t>31FS</t>
  </si>
  <si>
    <t>40FS</t>
  </si>
  <si>
    <t>41FS</t>
  </si>
  <si>
    <t>84FS</t>
  </si>
  <si>
    <t>48FS</t>
  </si>
  <si>
    <t>47FS</t>
  </si>
  <si>
    <t>50FS</t>
  </si>
  <si>
    <t>52FS</t>
  </si>
  <si>
    <t>51FS</t>
  </si>
  <si>
    <t>63FS</t>
  </si>
  <si>
    <t>65FS</t>
  </si>
  <si>
    <t>54FS</t>
  </si>
  <si>
    <t>61FS</t>
  </si>
  <si>
    <t>59FS</t>
  </si>
  <si>
    <t>62FS</t>
  </si>
  <si>
    <t>57FS</t>
  </si>
  <si>
    <t>93FS</t>
  </si>
  <si>
    <t>70FS</t>
  </si>
  <si>
    <t>69FS</t>
  </si>
  <si>
    <t>71FS</t>
  </si>
  <si>
    <t>73FS</t>
  </si>
  <si>
    <t>72FS</t>
  </si>
  <si>
    <t>111FS</t>
  </si>
  <si>
    <t>43FS</t>
  </si>
  <si>
    <t>24FS</t>
  </si>
  <si>
    <t>67FS</t>
  </si>
  <si>
    <t>102FS</t>
  </si>
  <si>
    <t>103FS</t>
  </si>
  <si>
    <t>106FS</t>
  </si>
  <si>
    <t>100FS</t>
  </si>
  <si>
    <t>99FS</t>
  </si>
  <si>
    <t>Successors</t>
  </si>
  <si>
    <t>FS10</t>
  </si>
  <si>
    <t>SS4;SS5;SS8</t>
  </si>
  <si>
    <t>FS14</t>
  </si>
  <si>
    <t>SS15+2d;SS23+1d</t>
  </si>
  <si>
    <t>FS16</t>
  </si>
  <si>
    <t>SS25+2d</t>
  </si>
  <si>
    <t>FS20</t>
  </si>
  <si>
    <t>FS21</t>
  </si>
  <si>
    <t>FS29</t>
  </si>
  <si>
    <t>FS86</t>
  </si>
  <si>
    <t>FF24</t>
  </si>
  <si>
    <t>SS31</t>
  </si>
  <si>
    <t>FS37</t>
  </si>
  <si>
    <t>FS36</t>
  </si>
  <si>
    <t>FS28</t>
  </si>
  <si>
    <t>FS32</t>
  </si>
  <si>
    <t>FF48;FS41;FS18</t>
  </si>
  <si>
    <t>FS35</t>
  </si>
  <si>
    <t>FS33</t>
  </si>
  <si>
    <t>SS42</t>
  </si>
  <si>
    <t>FS39;SS43</t>
  </si>
  <si>
    <t>SS44;FS40</t>
  </si>
  <si>
    <t>FS84</t>
  </si>
  <si>
    <t>FS50;SS88</t>
  </si>
  <si>
    <t>FS47</t>
  </si>
  <si>
    <t>FS51;FF55</t>
  </si>
  <si>
    <t>FF53;FS54</t>
  </si>
  <si>
    <t>FF56;FS59</t>
  </si>
  <si>
    <t>FS65</t>
  </si>
  <si>
    <t>FS61</t>
  </si>
  <si>
    <t>FS62</t>
  </si>
  <si>
    <t>FS63</t>
  </si>
  <si>
    <t>FF64;FS57</t>
  </si>
  <si>
    <t>FS67;FS69</t>
  </si>
  <si>
    <t>FS93</t>
  </si>
  <si>
    <t>FS70</t>
  </si>
  <si>
    <t>FS71</t>
  </si>
  <si>
    <t>FS73</t>
  </si>
  <si>
    <t>SS74;FS77</t>
  </si>
  <si>
    <t>FS72</t>
  </si>
  <si>
    <t>FF75</t>
  </si>
  <si>
    <t>FF76</t>
  </si>
  <si>
    <t>SS85;FS89</t>
  </si>
  <si>
    <t>FS79</t>
  </si>
  <si>
    <t>SS90</t>
  </si>
  <si>
    <t>FF94;FS102</t>
  </si>
  <si>
    <t>FF95;FF96</t>
  </si>
  <si>
    <t>FS106</t>
  </si>
  <si>
    <t>FS107</t>
  </si>
  <si>
    <t>FS99;SS103;FF104</t>
  </si>
  <si>
    <t>FS100</t>
  </si>
  <si>
    <t>FS111</t>
  </si>
  <si>
    <t>FS81;SS109</t>
  </si>
  <si>
    <t>FS52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</si>
</sst>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8:00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969696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0" fontId="1" fillId="0" borderId="0"/>
  </cellStyleXfs>
  <cellXfs count="64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164" fontId="6" fillId="10" borderId="5" xfId="0" applyNumberFormat="1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right" vertical="top" wrapText="1"/>
    </xf>
    <xf numFmtId="0" fontId="7" fillId="9" borderId="5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/>
    </xf>
    <xf numFmtId="0" fontId="6" fillId="9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6" fontId="6" fillId="9" borderId="5" xfId="3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7" fillId="11" borderId="3" xfId="0" applyFont="1" applyFill="1" applyBorder="1" applyAlignment="1">
      <alignment wrapText="1"/>
    </xf>
    <xf numFmtId="165" fontId="7" fillId="12" borderId="3" xfId="0" applyNumberFormat="1" applyFont="1" applyFill="1" applyBorder="1" applyAlignment="1">
      <alignment wrapText="1"/>
    </xf>
    <xf numFmtId="166" fontId="7" fillId="12" borderId="3" xfId="0" applyNumberFormat="1" applyFont="1" applyFill="1" applyBorder="1" applyAlignment="1">
      <alignment wrapText="1"/>
    </xf>
    <xf numFmtId="166" fontId="7" fillId="5" borderId="3" xfId="0" applyNumberFormat="1" applyFont="1" applyFill="1" applyBorder="1" applyAlignment="1">
      <alignment wrapText="1"/>
    </xf>
    <xf numFmtId="0" fontId="7" fillId="13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2" borderId="3" xfId="0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0" fontId="6" fillId="8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right" vertical="top" wrapText="1"/>
    </xf>
    <xf numFmtId="0" fontId="6" fillId="14" borderId="5" xfId="0" applyFont="1" applyFill="1" applyBorder="1" applyAlignment="1">
      <alignment horizontal="left" vertical="top" wrapText="1"/>
    </xf>
    <xf numFmtId="164" fontId="6" fillId="14" borderId="5" xfId="0" applyNumberFormat="1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center" vertical="top" wrapText="1"/>
    </xf>
    <xf numFmtId="167" fontId="6" fillId="14" borderId="5" xfId="0" applyNumberFormat="1" applyFont="1" applyFill="1" applyBorder="1" applyAlignment="1">
      <alignment horizontal="left" vertical="top" wrapText="1"/>
    </xf>
    <xf numFmtId="168" fontId="6" fillId="14" borderId="5" xfId="0" applyNumberFormat="1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center" vertical="center" wrapText="1"/>
    </xf>
    <xf numFmtId="22" fontId="6" fillId="14" borderId="5" xfId="0" applyNumberFormat="1" applyFont="1" applyFill="1" applyBorder="1" applyAlignment="1">
      <alignment horizontal="center" vertical="top" wrapText="1"/>
    </xf>
    <xf numFmtId="0" fontId="6" fillId="15" borderId="5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164" fontId="6" fillId="14" borderId="5" xfId="0" applyNumberFormat="1" applyFont="1" applyFill="1" applyBorder="1" applyAlignment="1">
      <alignment horizontal="center" vertical="center" wrapText="1"/>
    </xf>
    <xf numFmtId="22" fontId="6" fillId="14" borderId="5" xfId="0" applyNumberFormat="1" applyFont="1" applyFill="1" applyBorder="1" applyAlignment="1">
      <alignment horizontal="center" vertical="center" wrapText="1"/>
    </xf>
    <xf numFmtId="169" fontId="7" fillId="0" borderId="0" xfId="0" applyNumberFormat="1" applyFont="1" applyAlignment="1">
      <alignment wrapText="1"/>
    </xf>
    <xf numFmtId="169" fontId="7" fillId="5" borderId="3" xfId="0" applyNumberFormat="1" applyFont="1" applyFill="1" applyBorder="1" applyAlignment="1">
      <alignment horizontal="center" vertical="center" wrapText="1"/>
    </xf>
    <xf numFmtId="169" fontId="7" fillId="5" borderId="3" xfId="0" applyNumberFormat="1" applyFont="1" applyFill="1" applyBorder="1" applyAlignment="1">
      <alignment horizontal="right" wrapText="1"/>
    </xf>
    <xf numFmtId="169" fontId="6" fillId="14" borderId="5" xfId="0" applyNumberFormat="1" applyFont="1" applyFill="1" applyBorder="1" applyAlignment="1">
      <alignment horizontal="left" vertical="top" wrapText="1"/>
    </xf>
    <xf numFmtId="165" fontId="6" fillId="14" borderId="5" xfId="0" applyNumberFormat="1" applyFont="1" applyFill="1" applyBorder="1" applyAlignment="1">
      <alignment horizontal="center" vertical="top" wrapText="1"/>
    </xf>
    <xf numFmtId="165" fontId="7" fillId="5" borderId="3" xfId="0" applyNumberFormat="1" applyFont="1" applyFill="1" applyBorder="1" applyAlignment="1">
      <alignment horizontal="right" wrapText="1"/>
    </xf>
    <xf numFmtId="169" fontId="7" fillId="5" borderId="3" xfId="0" applyNumberFormat="1" applyFont="1" applyFill="1" applyBorder="1" applyAlignment="1">
      <alignment horizontal="center" wrapText="1"/>
    </xf>
    <xf numFmtId="1" fontId="7" fillId="11" borderId="3" xfId="0" applyNumberFormat="1" applyFon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/>
    </xf>
    <xf numFmtId="0" fontId="7" fillId="5" borderId="3" xfId="4" applyFont="1" applyFill="1" applyBorder="1" applyAlignment="1">
      <alignment wrapText="1"/>
    </xf>
    <xf numFmtId="166" fontId="7" fillId="12" borderId="3" xfId="4" applyNumberFormat="1" applyFont="1" applyFill="1" applyBorder="1" applyAlignment="1">
      <alignment wrapText="1"/>
    </xf>
    <xf numFmtId="166" fontId="7" fillId="5" borderId="3" xfId="4" applyNumberFormat="1" applyFont="1" applyFill="1" applyBorder="1" applyAlignment="1">
      <alignment wrapText="1"/>
    </xf>
    <xf numFmtId="0" fontId="7" fillId="12" borderId="3" xfId="4" applyFont="1" applyFill="1" applyBorder="1" applyAlignment="1">
      <alignment wrapText="1"/>
    </xf>
    <xf numFmtId="166" fontId="7" fillId="11" borderId="3" xfId="4" applyNumberFormat="1" applyFont="1" applyFill="1" applyBorder="1" applyAlignment="1">
      <alignment wrapText="1"/>
    </xf>
    <xf numFmtId="9" fontId="7" fillId="5" borderId="3" xfId="4" applyNumberFormat="1" applyFont="1" applyFill="1" applyBorder="1" applyAlignment="1">
      <alignment horizontal="center" vertical="center" wrapText="1"/>
    </xf>
    <xf numFmtId="169" fontId="7" fillId="5" borderId="3" xfId="4" applyNumberFormat="1" applyFont="1" applyFill="1" applyBorder="1" applyAlignment="1">
      <alignment horizontal="right" wrapText="1"/>
    </xf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6">
    <cellStyle name="Comma" xfId="3" builtinId="3"/>
    <cellStyle name="Normal" xfId="0" builtinId="0"/>
    <cellStyle name="Normal 2" xfId="1" xr:uid="{00000000-0005-0000-0000-000001000000}"/>
    <cellStyle name="Normal 2 2" xfId="5" xr:uid="{089DCA13-B55F-4A41-BFA1-8B50612E3B37}"/>
    <cellStyle name="Normal 3" xfId="4" xr:uid="{9020CFE9-955E-4CDE-AFFF-209AD0BD5009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zoomScaleNormal="100" workbookViewId="0">
      <selection activeCell="B22" sqref="B22"/>
    </sheetView>
  </sheetViews>
  <sheetFormatPr defaultColWidth="8.875" defaultRowHeight="15.75" x14ac:dyDescent="0.25"/>
  <cols>
    <col min="1" max="1" width="5.625" customWidth="1"/>
    <col min="2" max="2" width="40.625" customWidth="1"/>
    <col min="3" max="3" width="8" customWidth="1"/>
    <col min="4" max="4" width="11.375" customWidth="1"/>
    <col min="5" max="5" width="13.625" customWidth="1"/>
    <col min="6" max="6" width="16.125" customWidth="1"/>
    <col min="7" max="7" width="15.125" customWidth="1"/>
    <col min="8" max="8" width="7.125" customWidth="1"/>
    <col min="9" max="9" width="19.375" customWidth="1"/>
    <col min="10" max="10" width="18" customWidth="1"/>
    <col min="11" max="11" width="10.125" customWidth="1"/>
    <col min="12" max="12" width="6.875" customWidth="1"/>
    <col min="13" max="13" width="9.875" customWidth="1"/>
    <col min="14" max="14" width="11.625" customWidth="1"/>
    <col min="15" max="15" width="1.875" customWidth="1"/>
  </cols>
  <sheetData>
    <row r="1" spans="1:17" ht="15" customHeight="1" x14ac:dyDescent="0.25">
      <c r="A1" s="60" t="s">
        <v>0</v>
      </c>
      <c r="B1" s="60"/>
      <c r="C1" s="60"/>
      <c r="D1" s="60" t="s">
        <v>1</v>
      </c>
      <c r="E1" s="60"/>
      <c r="F1" s="60" t="s">
        <v>2</v>
      </c>
      <c r="G1" s="60"/>
      <c r="H1" s="60"/>
      <c r="I1" s="60" t="s">
        <v>3</v>
      </c>
      <c r="J1" s="60"/>
      <c r="K1" s="60" t="s">
        <v>4</v>
      </c>
      <c r="L1" s="60"/>
      <c r="M1" s="60"/>
      <c r="N1" s="60"/>
    </row>
    <row r="2" spans="1:17" ht="24.6" customHeight="1" x14ac:dyDescent="0.25">
      <c r="A2" s="2" t="s">
        <v>5</v>
      </c>
      <c r="B2" s="2" t="s">
        <v>6</v>
      </c>
      <c r="C2" s="1" t="s">
        <v>7</v>
      </c>
      <c r="D2" s="1" t="s">
        <v>8</v>
      </c>
      <c r="E2" s="1" t="s">
        <v>515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45" x14ac:dyDescent="0.25">
      <c r="A3" s="40" t="s">
        <v>264</v>
      </c>
      <c r="B3" s="36" t="s">
        <v>453</v>
      </c>
      <c r="C3" s="38" t="s">
        <v>264</v>
      </c>
      <c r="D3" s="29"/>
      <c r="E3" s="29"/>
      <c r="F3" s="48"/>
      <c r="G3" s="29"/>
      <c r="H3" s="29"/>
      <c r="I3" s="29"/>
      <c r="J3" s="29"/>
      <c r="K3" s="33"/>
      <c r="L3" s="29"/>
      <c r="M3" s="33"/>
      <c r="N3" s="30"/>
    </row>
    <row r="4" spans="1:17" x14ac:dyDescent="0.25">
      <c r="A4" s="40" t="s">
        <v>329</v>
      </c>
      <c r="B4" s="36" t="s">
        <v>162</v>
      </c>
      <c r="C4" s="38" t="s">
        <v>265</v>
      </c>
      <c r="D4" s="34"/>
      <c r="E4" s="34"/>
      <c r="F4" s="48"/>
      <c r="G4" s="29"/>
      <c r="H4" s="29"/>
      <c r="I4" s="29"/>
      <c r="J4" s="29"/>
      <c r="K4" s="33"/>
      <c r="L4" s="29"/>
      <c r="M4" s="33"/>
      <c r="N4" s="30"/>
    </row>
    <row r="5" spans="1:17" x14ac:dyDescent="0.25">
      <c r="A5" s="40" t="s">
        <v>330</v>
      </c>
      <c r="B5" s="36" t="s">
        <v>112</v>
      </c>
      <c r="C5" s="38" t="s">
        <v>17</v>
      </c>
      <c r="D5" s="34"/>
      <c r="E5" s="34"/>
      <c r="F5" s="48"/>
      <c r="G5" s="29"/>
      <c r="H5" s="29"/>
      <c r="I5" s="29"/>
      <c r="J5" s="29"/>
      <c r="K5" s="29"/>
      <c r="L5" s="29"/>
      <c r="M5" s="29"/>
      <c r="N5" s="29"/>
      <c r="Q5" s="24"/>
    </row>
    <row r="6" spans="1:17" x14ac:dyDescent="0.25">
      <c r="A6" s="41" t="s">
        <v>331</v>
      </c>
      <c r="B6" s="27" t="s">
        <v>163</v>
      </c>
      <c r="C6" s="38" t="s">
        <v>131</v>
      </c>
      <c r="D6" s="37" t="s">
        <v>454</v>
      </c>
      <c r="E6" s="37" t="s">
        <v>516</v>
      </c>
      <c r="F6" s="50">
        <v>45047.333333333336</v>
      </c>
      <c r="G6" s="21"/>
      <c r="H6" s="37" t="s">
        <v>18</v>
      </c>
      <c r="I6" s="19" t="s">
        <v>115</v>
      </c>
      <c r="J6" s="21"/>
      <c r="K6" s="22">
        <v>1531.25</v>
      </c>
      <c r="L6" s="21"/>
      <c r="M6" s="22">
        <v>0</v>
      </c>
      <c r="N6" s="21"/>
      <c r="Q6" s="24"/>
    </row>
    <row r="7" spans="1:17" x14ac:dyDescent="0.25">
      <c r="A7" s="41" t="s">
        <v>332</v>
      </c>
      <c r="B7" s="27" t="s">
        <v>164</v>
      </c>
      <c r="C7" s="38" t="s">
        <v>132</v>
      </c>
      <c r="D7" s="37" t="s">
        <v>454</v>
      </c>
      <c r="E7" s="37"/>
      <c r="F7" s="50">
        <v>45047.333333333336</v>
      </c>
      <c r="G7" s="21"/>
      <c r="H7" s="37" t="s">
        <v>18</v>
      </c>
      <c r="I7" s="19" t="s">
        <v>115</v>
      </c>
      <c r="J7" s="21"/>
      <c r="K7" s="22">
        <v>3391.2</v>
      </c>
      <c r="L7" s="21"/>
      <c r="M7" s="22">
        <v>0</v>
      </c>
      <c r="N7" s="21"/>
      <c r="Q7" s="24"/>
    </row>
    <row r="8" spans="1:17" x14ac:dyDescent="0.25">
      <c r="A8" s="41" t="s">
        <v>333</v>
      </c>
      <c r="B8" s="27" t="s">
        <v>165</v>
      </c>
      <c r="C8" s="38" t="s">
        <v>133</v>
      </c>
      <c r="D8" s="37"/>
      <c r="E8" s="37" t="s">
        <v>517</v>
      </c>
      <c r="F8" s="50">
        <v>45047.333333333336</v>
      </c>
      <c r="G8" s="21"/>
      <c r="H8" s="37" t="s">
        <v>18</v>
      </c>
      <c r="I8" s="19" t="s">
        <v>115</v>
      </c>
      <c r="J8" s="21"/>
      <c r="K8" s="22">
        <v>729.94</v>
      </c>
      <c r="L8" s="21"/>
      <c r="M8" s="22">
        <v>0</v>
      </c>
      <c r="N8" s="21"/>
    </row>
    <row r="9" spans="1:17" x14ac:dyDescent="0.25">
      <c r="A9" s="40" t="s">
        <v>334</v>
      </c>
      <c r="B9" s="36" t="s">
        <v>166</v>
      </c>
      <c r="C9" s="38" t="s">
        <v>20</v>
      </c>
      <c r="D9" s="34"/>
      <c r="E9" s="34"/>
      <c r="F9" s="48"/>
      <c r="G9" s="29"/>
      <c r="H9" s="34"/>
      <c r="I9" s="29"/>
      <c r="J9" s="29"/>
      <c r="K9" s="33"/>
      <c r="L9" s="29"/>
      <c r="M9" s="33"/>
      <c r="N9" s="30"/>
      <c r="Q9" s="24"/>
    </row>
    <row r="10" spans="1:17" x14ac:dyDescent="0.25">
      <c r="A10" s="41" t="s">
        <v>335</v>
      </c>
      <c r="B10" s="27" t="s">
        <v>166</v>
      </c>
      <c r="C10" s="38" t="s">
        <v>134</v>
      </c>
      <c r="D10" s="37" t="s">
        <v>454</v>
      </c>
      <c r="E10" s="37"/>
      <c r="F10" s="50">
        <v>45047.333333333336</v>
      </c>
      <c r="G10" s="21"/>
      <c r="H10" s="37" t="s">
        <v>18</v>
      </c>
      <c r="I10" s="19" t="s">
        <v>115</v>
      </c>
      <c r="J10" s="21"/>
      <c r="K10" s="22">
        <v>4000</v>
      </c>
      <c r="L10" s="21"/>
      <c r="M10" s="22">
        <v>0</v>
      </c>
      <c r="N10" s="21"/>
    </row>
    <row r="11" spans="1:17" x14ac:dyDescent="0.25">
      <c r="A11" s="40" t="s">
        <v>336</v>
      </c>
      <c r="B11" s="36" t="s">
        <v>167</v>
      </c>
      <c r="C11" s="38" t="s">
        <v>135</v>
      </c>
      <c r="D11" s="34"/>
      <c r="E11" s="34"/>
      <c r="F11" s="48"/>
      <c r="G11" s="29"/>
      <c r="H11" s="34"/>
      <c r="I11" s="29"/>
      <c r="J11" s="29"/>
      <c r="K11" s="33"/>
      <c r="L11" s="29"/>
      <c r="M11" s="33"/>
      <c r="N11" s="30"/>
      <c r="Q11" s="24"/>
    </row>
    <row r="12" spans="1:17" x14ac:dyDescent="0.25">
      <c r="A12" s="41" t="s">
        <v>337</v>
      </c>
      <c r="B12" s="27" t="s">
        <v>168</v>
      </c>
      <c r="C12" s="38" t="s">
        <v>136</v>
      </c>
      <c r="D12" s="37" t="s">
        <v>472</v>
      </c>
      <c r="E12" s="37" t="s">
        <v>518</v>
      </c>
      <c r="F12" s="50">
        <v>45047.333333333336</v>
      </c>
      <c r="G12" s="21"/>
      <c r="H12" s="37" t="s">
        <v>18</v>
      </c>
      <c r="I12" s="19" t="s">
        <v>115</v>
      </c>
      <c r="J12" s="21"/>
      <c r="K12" s="22">
        <v>2097.92</v>
      </c>
      <c r="L12" s="21"/>
      <c r="M12" s="22">
        <v>0</v>
      </c>
      <c r="N12" s="29"/>
      <c r="Q12" s="24"/>
    </row>
    <row r="13" spans="1:17" x14ac:dyDescent="0.25">
      <c r="A13" s="40" t="s">
        <v>338</v>
      </c>
      <c r="B13" s="36" t="s">
        <v>169</v>
      </c>
      <c r="C13" s="38" t="s">
        <v>266</v>
      </c>
      <c r="D13" s="34"/>
      <c r="E13" s="34"/>
      <c r="F13" s="48"/>
      <c r="G13" s="29"/>
      <c r="H13" s="34"/>
      <c r="I13" s="29"/>
      <c r="J13" s="29"/>
      <c r="K13" s="33"/>
      <c r="L13" s="29"/>
      <c r="M13" s="33"/>
      <c r="N13" s="30"/>
      <c r="Q13" s="24"/>
    </row>
    <row r="14" spans="1:17" x14ac:dyDescent="0.25">
      <c r="A14" s="40" t="s">
        <v>339</v>
      </c>
      <c r="B14" s="36" t="s">
        <v>22</v>
      </c>
      <c r="C14" s="38" t="s">
        <v>25</v>
      </c>
      <c r="D14" s="34"/>
      <c r="E14" s="34"/>
      <c r="F14" s="48"/>
      <c r="G14" s="29"/>
      <c r="H14" s="34"/>
      <c r="I14" s="29"/>
      <c r="J14" s="29"/>
      <c r="K14" s="33"/>
      <c r="L14" s="29"/>
      <c r="M14" s="33"/>
      <c r="N14" s="30"/>
      <c r="Q14" s="24"/>
    </row>
    <row r="15" spans="1:17" x14ac:dyDescent="0.25">
      <c r="A15" s="40" t="s">
        <v>340</v>
      </c>
      <c r="B15" s="36" t="s">
        <v>170</v>
      </c>
      <c r="C15" s="38" t="s">
        <v>26</v>
      </c>
      <c r="D15" s="34"/>
      <c r="E15" s="34"/>
      <c r="F15" s="48"/>
      <c r="G15" s="29"/>
      <c r="H15" s="34"/>
      <c r="I15" s="29"/>
      <c r="J15" s="29"/>
      <c r="K15" s="33"/>
      <c r="L15" s="29"/>
      <c r="M15" s="33"/>
      <c r="N15" s="30"/>
    </row>
    <row r="16" spans="1:17" x14ac:dyDescent="0.25">
      <c r="A16" s="41" t="s">
        <v>341</v>
      </c>
      <c r="B16" s="27" t="s">
        <v>171</v>
      </c>
      <c r="C16" s="38" t="s">
        <v>137</v>
      </c>
      <c r="D16" s="37" t="s">
        <v>471</v>
      </c>
      <c r="E16" s="37" t="s">
        <v>519</v>
      </c>
      <c r="F16" s="50">
        <v>45049.333333333336</v>
      </c>
      <c r="G16" s="21"/>
      <c r="H16" s="37" t="s">
        <v>19</v>
      </c>
      <c r="I16" s="19" t="s">
        <v>115</v>
      </c>
      <c r="J16" s="21"/>
      <c r="K16" s="22">
        <v>3631.92</v>
      </c>
      <c r="L16" s="21"/>
      <c r="M16" s="22">
        <v>0</v>
      </c>
      <c r="N16" s="29"/>
      <c r="Q16" s="24"/>
    </row>
    <row r="17" spans="1:17" x14ac:dyDescent="0.25">
      <c r="A17" s="41" t="s">
        <v>342</v>
      </c>
      <c r="B17" s="27" t="s">
        <v>172</v>
      </c>
      <c r="C17" s="38" t="s">
        <v>138</v>
      </c>
      <c r="D17" s="37" t="s">
        <v>455</v>
      </c>
      <c r="E17" s="37" t="s">
        <v>520</v>
      </c>
      <c r="F17" s="50">
        <v>45051.333333333336</v>
      </c>
      <c r="G17" s="21"/>
      <c r="H17" s="37" t="s">
        <v>19</v>
      </c>
      <c r="I17" s="19" t="s">
        <v>118</v>
      </c>
      <c r="J17" s="21"/>
      <c r="K17" s="22">
        <v>3196.8</v>
      </c>
      <c r="L17" s="21"/>
      <c r="M17" s="22">
        <v>0</v>
      </c>
      <c r="N17" s="21"/>
      <c r="Q17" s="24"/>
    </row>
    <row r="18" spans="1:17" x14ac:dyDescent="0.25">
      <c r="A18" s="41" t="s">
        <v>343</v>
      </c>
      <c r="B18" s="27" t="s">
        <v>173</v>
      </c>
      <c r="C18" s="38" t="s">
        <v>267</v>
      </c>
      <c r="D18" s="37" t="s">
        <v>473</v>
      </c>
      <c r="E18" s="37" t="s">
        <v>521</v>
      </c>
      <c r="F18" s="50">
        <v>45055.333333333336</v>
      </c>
      <c r="G18" s="21"/>
      <c r="H18" s="37" t="s">
        <v>19</v>
      </c>
      <c r="I18" s="19" t="s">
        <v>115</v>
      </c>
      <c r="J18" s="21"/>
      <c r="K18" s="22">
        <v>2263.0700000000002</v>
      </c>
      <c r="L18" s="21"/>
      <c r="M18" s="22">
        <v>0</v>
      </c>
      <c r="N18" s="21"/>
      <c r="Q18" s="24"/>
    </row>
    <row r="19" spans="1:17" x14ac:dyDescent="0.25">
      <c r="A19" s="40">
        <v>17</v>
      </c>
      <c r="B19" s="36" t="s">
        <v>174</v>
      </c>
      <c r="C19" s="38" t="s">
        <v>139</v>
      </c>
      <c r="D19" s="34"/>
      <c r="E19" s="34"/>
      <c r="F19" s="48"/>
      <c r="G19" s="29"/>
      <c r="H19" s="34"/>
      <c r="I19" s="29"/>
      <c r="J19" s="29"/>
      <c r="K19" s="33"/>
      <c r="L19" s="29"/>
      <c r="M19" s="33"/>
      <c r="N19" s="30"/>
      <c r="Q19" s="24"/>
    </row>
    <row r="20" spans="1:17" x14ac:dyDescent="0.25">
      <c r="A20" s="41" t="s">
        <v>345</v>
      </c>
      <c r="B20" s="27" t="s">
        <v>175</v>
      </c>
      <c r="C20" s="38" t="s">
        <v>140</v>
      </c>
      <c r="D20" s="37" t="s">
        <v>474</v>
      </c>
      <c r="E20" s="37" t="s">
        <v>522</v>
      </c>
      <c r="F20" s="50">
        <v>45065.333333333336</v>
      </c>
      <c r="G20" s="21"/>
      <c r="H20" s="37" t="s">
        <v>19</v>
      </c>
      <c r="I20" s="19" t="s">
        <v>23</v>
      </c>
      <c r="J20" s="21"/>
      <c r="K20" s="22">
        <v>5544.53</v>
      </c>
      <c r="L20" s="21"/>
      <c r="M20" s="22">
        <v>0</v>
      </c>
      <c r="N20" s="21"/>
      <c r="Q20" s="24"/>
    </row>
    <row r="21" spans="1:17" x14ac:dyDescent="0.25">
      <c r="A21" s="40" t="s">
        <v>346</v>
      </c>
      <c r="B21" s="36" t="s">
        <v>113</v>
      </c>
      <c r="C21" s="38" t="s">
        <v>141</v>
      </c>
      <c r="D21" s="34"/>
      <c r="E21" s="34"/>
      <c r="F21" s="48"/>
      <c r="G21" s="29"/>
      <c r="H21" s="34"/>
      <c r="I21" s="29"/>
      <c r="J21" s="29"/>
      <c r="K21" s="33"/>
      <c r="L21" s="29"/>
      <c r="M21" s="33"/>
      <c r="N21" s="30"/>
    </row>
    <row r="22" spans="1:17" x14ac:dyDescent="0.25">
      <c r="A22" s="41" t="s">
        <v>347</v>
      </c>
      <c r="B22" s="27" t="s">
        <v>176</v>
      </c>
      <c r="C22" s="38" t="s">
        <v>142</v>
      </c>
      <c r="D22" s="37" t="s">
        <v>476</v>
      </c>
      <c r="E22" s="37" t="s">
        <v>523</v>
      </c>
      <c r="F22" s="50">
        <v>45069.333333333336</v>
      </c>
      <c r="G22" s="21"/>
      <c r="H22" s="37" t="s">
        <v>19</v>
      </c>
      <c r="I22" s="19" t="s">
        <v>23</v>
      </c>
      <c r="J22" s="21"/>
      <c r="K22" s="22">
        <v>2673.92</v>
      </c>
      <c r="L22" s="21"/>
      <c r="M22" s="22">
        <v>0</v>
      </c>
      <c r="N22" s="21"/>
      <c r="Q22" s="24"/>
    </row>
    <row r="23" spans="1:17" x14ac:dyDescent="0.25">
      <c r="A23" s="41" t="s">
        <v>348</v>
      </c>
      <c r="B23" s="27" t="s">
        <v>177</v>
      </c>
      <c r="C23" s="38" t="s">
        <v>268</v>
      </c>
      <c r="D23" s="37" t="s">
        <v>475</v>
      </c>
      <c r="E23" s="37"/>
      <c r="F23" s="50">
        <v>45073.333333333336</v>
      </c>
      <c r="G23" s="21"/>
      <c r="H23" s="37" t="s">
        <v>18</v>
      </c>
      <c r="I23" s="19" t="s">
        <v>119</v>
      </c>
      <c r="J23" s="29"/>
      <c r="K23" s="22">
        <v>1239.9100000000001</v>
      </c>
      <c r="L23" s="21"/>
      <c r="M23" s="22">
        <v>0</v>
      </c>
      <c r="N23" s="29"/>
      <c r="Q23" s="24"/>
    </row>
    <row r="24" spans="1:17" x14ac:dyDescent="0.25">
      <c r="A24" s="40" t="s">
        <v>349</v>
      </c>
      <c r="B24" s="36" t="s">
        <v>178</v>
      </c>
      <c r="C24" s="38" t="s">
        <v>27</v>
      </c>
      <c r="D24" s="34"/>
      <c r="E24" s="34"/>
      <c r="F24" s="48"/>
      <c r="G24" s="29"/>
      <c r="H24" s="29"/>
      <c r="I24" s="29"/>
      <c r="J24" s="29"/>
      <c r="K24" s="33"/>
      <c r="L24" s="29"/>
      <c r="M24" s="33"/>
      <c r="N24" s="30"/>
      <c r="Q24" s="24"/>
    </row>
    <row r="25" spans="1:17" ht="22.5" x14ac:dyDescent="0.25">
      <c r="A25" s="41" t="s">
        <v>350</v>
      </c>
      <c r="B25" s="27" t="s">
        <v>179</v>
      </c>
      <c r="C25" s="38" t="s">
        <v>28</v>
      </c>
      <c r="D25" s="37" t="s">
        <v>456</v>
      </c>
      <c r="E25" s="37" t="s">
        <v>524</v>
      </c>
      <c r="F25" s="50">
        <v>45049.333333333336</v>
      </c>
      <c r="G25" s="21"/>
      <c r="H25" s="37" t="s">
        <v>19</v>
      </c>
      <c r="I25" s="19" t="s">
        <v>30</v>
      </c>
      <c r="J25" s="21"/>
      <c r="K25" s="22">
        <v>6794.79</v>
      </c>
      <c r="L25" s="21"/>
      <c r="M25" s="22">
        <v>0</v>
      </c>
      <c r="N25" s="21"/>
    </row>
    <row r="26" spans="1:17" x14ac:dyDescent="0.25">
      <c r="A26" s="41" t="s">
        <v>351</v>
      </c>
      <c r="B26" s="27" t="s">
        <v>180</v>
      </c>
      <c r="C26" s="38" t="s">
        <v>31</v>
      </c>
      <c r="D26" s="37" t="s">
        <v>439</v>
      </c>
      <c r="E26" s="37" t="s">
        <v>525</v>
      </c>
      <c r="F26" s="50">
        <v>45059.333333333336</v>
      </c>
      <c r="G26" s="21"/>
      <c r="H26" s="37" t="s">
        <v>29</v>
      </c>
      <c r="I26" s="19" t="s">
        <v>23</v>
      </c>
      <c r="J26" s="21"/>
      <c r="K26" s="22">
        <v>3991.91</v>
      </c>
      <c r="L26" s="21"/>
      <c r="M26" s="22">
        <v>0</v>
      </c>
      <c r="N26" s="35"/>
      <c r="Q26" s="24"/>
    </row>
    <row r="27" spans="1:17" x14ac:dyDescent="0.25">
      <c r="A27" s="41" t="s">
        <v>352</v>
      </c>
      <c r="B27" s="27" t="s">
        <v>181</v>
      </c>
      <c r="C27" s="38" t="s">
        <v>32</v>
      </c>
      <c r="D27" s="37" t="s">
        <v>457</v>
      </c>
      <c r="E27" s="37" t="s">
        <v>526</v>
      </c>
      <c r="F27" s="50">
        <v>45056.333333333336</v>
      </c>
      <c r="G27" s="21"/>
      <c r="H27" s="37" t="s">
        <v>19</v>
      </c>
      <c r="I27" s="19" t="s">
        <v>119</v>
      </c>
      <c r="J27" s="21"/>
      <c r="K27" s="22">
        <v>12123.07</v>
      </c>
      <c r="L27" s="21"/>
      <c r="M27" s="22">
        <v>0</v>
      </c>
      <c r="N27" s="35"/>
    </row>
    <row r="28" spans="1:17" x14ac:dyDescent="0.25">
      <c r="A28" s="40" t="s">
        <v>353</v>
      </c>
      <c r="B28" s="36" t="s">
        <v>182</v>
      </c>
      <c r="C28" s="38" t="s">
        <v>33</v>
      </c>
      <c r="D28" s="34"/>
      <c r="E28" s="34"/>
      <c r="F28" s="48"/>
      <c r="G28" s="29"/>
      <c r="H28" s="29"/>
      <c r="I28" s="29"/>
      <c r="J28" s="29"/>
      <c r="K28" s="33"/>
      <c r="L28" s="29"/>
      <c r="M28" s="33"/>
      <c r="N28" s="30"/>
      <c r="Q28" s="24"/>
    </row>
    <row r="29" spans="1:17" x14ac:dyDescent="0.25">
      <c r="A29" s="40" t="s">
        <v>354</v>
      </c>
      <c r="B29" s="36" t="s">
        <v>183</v>
      </c>
      <c r="C29" s="38" t="s">
        <v>34</v>
      </c>
      <c r="D29" s="34"/>
      <c r="E29" s="34"/>
      <c r="F29" s="48"/>
      <c r="G29" s="29"/>
      <c r="H29" s="29"/>
      <c r="I29" s="29"/>
      <c r="J29" s="29"/>
      <c r="K29" s="33"/>
      <c r="L29" s="29"/>
      <c r="M29" s="33"/>
      <c r="N29" s="30"/>
      <c r="Q29" s="24"/>
    </row>
    <row r="30" spans="1:17" x14ac:dyDescent="0.25">
      <c r="A30" s="41" t="s">
        <v>355</v>
      </c>
      <c r="B30" s="27" t="s">
        <v>184</v>
      </c>
      <c r="C30" s="38" t="s">
        <v>143</v>
      </c>
      <c r="D30" s="37" t="s">
        <v>479</v>
      </c>
      <c r="E30" s="37" t="s">
        <v>527</v>
      </c>
      <c r="F30" s="50">
        <v>45060.333333333336</v>
      </c>
      <c r="G30" s="21"/>
      <c r="H30" s="37" t="s">
        <v>29</v>
      </c>
      <c r="I30" s="19" t="s">
        <v>119</v>
      </c>
      <c r="J30" s="21"/>
      <c r="K30" s="22">
        <v>6285.6</v>
      </c>
      <c r="L30" s="21"/>
      <c r="M30" s="22">
        <v>0</v>
      </c>
      <c r="N30" s="21"/>
    </row>
    <row r="31" spans="1:17" x14ac:dyDescent="0.25">
      <c r="A31" s="41" t="s">
        <v>356</v>
      </c>
      <c r="B31" s="27" t="s">
        <v>185</v>
      </c>
      <c r="C31" s="38" t="s">
        <v>144</v>
      </c>
      <c r="D31" s="37" t="s">
        <v>480</v>
      </c>
      <c r="E31" s="37" t="s">
        <v>528</v>
      </c>
      <c r="F31" s="50">
        <v>45053.333333333336</v>
      </c>
      <c r="G31" s="21"/>
      <c r="H31" s="37" t="s">
        <v>18</v>
      </c>
      <c r="I31" s="19" t="s">
        <v>23</v>
      </c>
      <c r="J31" s="21"/>
      <c r="K31" s="22">
        <v>1841.62</v>
      </c>
      <c r="L31" s="21"/>
      <c r="M31" s="22">
        <v>0</v>
      </c>
      <c r="N31" s="29"/>
    </row>
    <row r="32" spans="1:17" x14ac:dyDescent="0.25">
      <c r="A32" s="40" t="s">
        <v>357</v>
      </c>
      <c r="B32" s="36" t="s">
        <v>186</v>
      </c>
      <c r="C32" s="38" t="s">
        <v>36</v>
      </c>
      <c r="D32" s="34"/>
      <c r="E32" s="34"/>
      <c r="F32" s="48"/>
      <c r="G32" s="29"/>
      <c r="H32" s="29"/>
      <c r="I32" s="29"/>
      <c r="J32" s="29"/>
      <c r="K32" s="33"/>
      <c r="L32" s="29"/>
      <c r="M32" s="33"/>
      <c r="N32" s="30"/>
      <c r="Q32" s="24"/>
    </row>
    <row r="33" spans="1:17" x14ac:dyDescent="0.25">
      <c r="A33" s="41" t="s">
        <v>358</v>
      </c>
      <c r="B33" s="27" t="s">
        <v>187</v>
      </c>
      <c r="C33" s="38" t="s">
        <v>145</v>
      </c>
      <c r="D33" s="37" t="s">
        <v>458</v>
      </c>
      <c r="E33" s="37" t="s">
        <v>529</v>
      </c>
      <c r="F33" s="50">
        <v>45060.333333333336</v>
      </c>
      <c r="G33" s="21"/>
      <c r="H33" s="37" t="s">
        <v>29</v>
      </c>
      <c r="I33" s="19" t="s">
        <v>117</v>
      </c>
      <c r="J33" s="21"/>
      <c r="K33" s="22">
        <v>3479.1</v>
      </c>
      <c r="L33" s="21"/>
      <c r="M33" s="22">
        <v>0</v>
      </c>
      <c r="N33" s="21"/>
    </row>
    <row r="34" spans="1:17" x14ac:dyDescent="0.25">
      <c r="A34" s="41" t="s">
        <v>359</v>
      </c>
      <c r="B34" s="27" t="s">
        <v>188</v>
      </c>
      <c r="C34" s="38" t="s">
        <v>146</v>
      </c>
      <c r="D34" s="37" t="s">
        <v>482</v>
      </c>
      <c r="E34" s="37" t="s">
        <v>530</v>
      </c>
      <c r="F34" s="50">
        <v>45058</v>
      </c>
      <c r="G34" s="21"/>
      <c r="H34" s="37" t="s">
        <v>29</v>
      </c>
      <c r="I34" s="19" t="s">
        <v>120</v>
      </c>
      <c r="J34" s="21"/>
      <c r="K34" s="22">
        <v>3118.54</v>
      </c>
      <c r="L34" s="21"/>
      <c r="M34" s="22">
        <v>0</v>
      </c>
      <c r="N34" s="21"/>
      <c r="Q34" s="24"/>
    </row>
    <row r="35" spans="1:17" ht="22.5" x14ac:dyDescent="0.25">
      <c r="A35" s="41" t="s">
        <v>360</v>
      </c>
      <c r="B35" s="27" t="s">
        <v>189</v>
      </c>
      <c r="C35" s="38" t="s">
        <v>147</v>
      </c>
      <c r="D35" s="37" t="s">
        <v>481</v>
      </c>
      <c r="E35" s="37" t="s">
        <v>531</v>
      </c>
      <c r="F35" s="50">
        <v>45056.333333333336</v>
      </c>
      <c r="G35" s="21"/>
      <c r="H35" s="37" t="s">
        <v>29</v>
      </c>
      <c r="I35" s="19" t="s">
        <v>117</v>
      </c>
      <c r="J35" s="21"/>
      <c r="K35" s="22">
        <v>9045.6</v>
      </c>
      <c r="L35" s="21"/>
      <c r="M35" s="22">
        <v>0</v>
      </c>
      <c r="N35" s="21"/>
      <c r="Q35" s="24"/>
    </row>
    <row r="36" spans="1:17" x14ac:dyDescent="0.25">
      <c r="A36" s="40" t="s">
        <v>361</v>
      </c>
      <c r="B36" s="36" t="s">
        <v>190</v>
      </c>
      <c r="C36" s="38" t="s">
        <v>37</v>
      </c>
      <c r="D36" s="34"/>
      <c r="E36" s="34"/>
      <c r="F36" s="48"/>
      <c r="G36" s="29"/>
      <c r="H36" s="29"/>
      <c r="I36" s="29"/>
      <c r="J36" s="29"/>
      <c r="K36" s="33"/>
      <c r="L36" s="29"/>
      <c r="M36" s="33"/>
      <c r="N36" s="30"/>
      <c r="Q36" s="24"/>
    </row>
    <row r="37" spans="1:17" x14ac:dyDescent="0.25">
      <c r="A37" s="41" t="s">
        <v>362</v>
      </c>
      <c r="B37" s="27" t="s">
        <v>191</v>
      </c>
      <c r="C37" s="38" t="s">
        <v>148</v>
      </c>
      <c r="D37" s="37" t="s">
        <v>483</v>
      </c>
      <c r="E37" s="37" t="s">
        <v>532</v>
      </c>
      <c r="F37" s="50">
        <v>45063.333333333336</v>
      </c>
      <c r="G37" s="21"/>
      <c r="H37" s="37" t="s">
        <v>18</v>
      </c>
      <c r="I37" s="19" t="s">
        <v>118</v>
      </c>
      <c r="J37" s="21"/>
      <c r="K37" s="22">
        <v>2442.7800000000002</v>
      </c>
      <c r="L37" s="21"/>
      <c r="M37" s="22">
        <v>0</v>
      </c>
      <c r="N37" s="21"/>
    </row>
    <row r="38" spans="1:17" x14ac:dyDescent="0.25">
      <c r="A38" s="41" t="s">
        <v>363</v>
      </c>
      <c r="B38" s="27" t="s">
        <v>192</v>
      </c>
      <c r="C38" s="38" t="s">
        <v>149</v>
      </c>
      <c r="D38" s="37" t="s">
        <v>484</v>
      </c>
      <c r="E38" s="37" t="s">
        <v>533</v>
      </c>
      <c r="F38" s="50">
        <v>45062.333333333336</v>
      </c>
      <c r="G38" s="21"/>
      <c r="H38" s="37" t="s">
        <v>29</v>
      </c>
      <c r="I38" s="19" t="s">
        <v>118</v>
      </c>
      <c r="J38" s="21"/>
      <c r="K38" s="22">
        <v>803.67</v>
      </c>
      <c r="L38" s="21"/>
      <c r="M38" s="22">
        <v>0</v>
      </c>
      <c r="N38" s="29"/>
      <c r="Q38" s="24"/>
    </row>
    <row r="39" spans="1:17" ht="22.5" x14ac:dyDescent="0.25">
      <c r="A39" s="41" t="s">
        <v>364</v>
      </c>
      <c r="B39" s="27" t="s">
        <v>193</v>
      </c>
      <c r="C39" s="38" t="s">
        <v>150</v>
      </c>
      <c r="D39" s="37" t="s">
        <v>477</v>
      </c>
      <c r="E39" s="37" t="s">
        <v>534</v>
      </c>
      <c r="F39" s="50">
        <v>45054.333333333336</v>
      </c>
      <c r="G39" s="21"/>
      <c r="H39" s="37" t="s">
        <v>29</v>
      </c>
      <c r="I39" s="19" t="s">
        <v>117</v>
      </c>
      <c r="J39" s="21"/>
      <c r="K39" s="22">
        <v>5576.82</v>
      </c>
      <c r="L39" s="21"/>
      <c r="M39" s="22">
        <v>0</v>
      </c>
      <c r="N39" s="21"/>
      <c r="Q39" s="24"/>
    </row>
    <row r="40" spans="1:17" x14ac:dyDescent="0.25">
      <c r="A40" s="40" t="s">
        <v>365</v>
      </c>
      <c r="B40" s="36" t="s">
        <v>194</v>
      </c>
      <c r="C40" s="38" t="s">
        <v>122</v>
      </c>
      <c r="D40" s="34"/>
      <c r="E40" s="34"/>
      <c r="F40" s="48"/>
      <c r="G40" s="29"/>
      <c r="H40" s="29"/>
      <c r="I40" s="29"/>
      <c r="J40" s="29"/>
      <c r="K40" s="33"/>
      <c r="L40" s="29"/>
      <c r="M40" s="33"/>
      <c r="N40" s="30"/>
      <c r="Q40" s="24"/>
    </row>
    <row r="41" spans="1:17" ht="22.5" x14ac:dyDescent="0.25">
      <c r="A41" s="41" t="s">
        <v>366</v>
      </c>
      <c r="B41" s="27" t="s">
        <v>459</v>
      </c>
      <c r="C41" s="38" t="s">
        <v>151</v>
      </c>
      <c r="D41" s="37" t="s">
        <v>485</v>
      </c>
      <c r="E41" s="37" t="s">
        <v>535</v>
      </c>
      <c r="F41" s="50">
        <v>45066.333333333336</v>
      </c>
      <c r="G41" s="21"/>
      <c r="H41" s="37" t="s">
        <v>18</v>
      </c>
      <c r="I41" s="19" t="s">
        <v>118</v>
      </c>
      <c r="J41" s="21"/>
      <c r="K41" s="22">
        <v>173.06</v>
      </c>
      <c r="L41" s="21"/>
      <c r="M41" s="22">
        <v>0</v>
      </c>
      <c r="N41" s="21"/>
      <c r="Q41" s="24"/>
    </row>
    <row r="42" spans="1:17" ht="22.5" x14ac:dyDescent="0.25">
      <c r="A42" s="41" t="s">
        <v>367</v>
      </c>
      <c r="B42" s="27" t="s">
        <v>196</v>
      </c>
      <c r="C42" s="38" t="s">
        <v>269</v>
      </c>
      <c r="D42" s="37" t="s">
        <v>486</v>
      </c>
      <c r="E42" s="37" t="s">
        <v>536</v>
      </c>
      <c r="F42" s="50">
        <v>45065.333333333336</v>
      </c>
      <c r="G42" s="21"/>
      <c r="H42" s="37" t="s">
        <v>18</v>
      </c>
      <c r="I42" s="19" t="s">
        <v>118</v>
      </c>
      <c r="J42" s="21"/>
      <c r="K42" s="22">
        <v>164.19</v>
      </c>
      <c r="L42" s="21"/>
      <c r="M42" s="22">
        <v>0</v>
      </c>
      <c r="N42" s="21"/>
    </row>
    <row r="43" spans="1:17" ht="22.5" x14ac:dyDescent="0.25">
      <c r="A43" s="41" t="s">
        <v>368</v>
      </c>
      <c r="B43" s="27" t="s">
        <v>460</v>
      </c>
      <c r="C43" s="38" t="s">
        <v>270</v>
      </c>
      <c r="D43" s="37" t="s">
        <v>474</v>
      </c>
      <c r="E43" s="37" t="s">
        <v>537</v>
      </c>
      <c r="F43" s="50">
        <v>45064.333333333336</v>
      </c>
      <c r="G43" s="21"/>
      <c r="H43" s="37" t="s">
        <v>18</v>
      </c>
      <c r="I43" s="19" t="s">
        <v>23</v>
      </c>
      <c r="J43" s="21"/>
      <c r="K43" s="22">
        <v>217.13</v>
      </c>
      <c r="L43" s="21"/>
      <c r="M43" s="22">
        <v>0</v>
      </c>
      <c r="N43" s="21"/>
      <c r="Q43" s="24"/>
    </row>
    <row r="44" spans="1:17" x14ac:dyDescent="0.25">
      <c r="A44" s="41" t="s">
        <v>369</v>
      </c>
      <c r="B44" s="27" t="s">
        <v>198</v>
      </c>
      <c r="C44" s="38" t="s">
        <v>271</v>
      </c>
      <c r="D44" s="37" t="s">
        <v>461</v>
      </c>
      <c r="E44" s="37"/>
      <c r="F44" s="50">
        <v>45066.333333333336</v>
      </c>
      <c r="G44" s="21"/>
      <c r="H44" s="37" t="s">
        <v>18</v>
      </c>
      <c r="I44" s="19" t="s">
        <v>23</v>
      </c>
      <c r="J44" s="21"/>
      <c r="K44" s="22">
        <v>128.79</v>
      </c>
      <c r="L44" s="21"/>
      <c r="M44" s="22">
        <v>0</v>
      </c>
      <c r="N44" s="21"/>
    </row>
    <row r="45" spans="1:17" x14ac:dyDescent="0.25">
      <c r="A45" s="41" t="s">
        <v>370</v>
      </c>
      <c r="B45" s="27" t="s">
        <v>199</v>
      </c>
      <c r="C45" s="38" t="s">
        <v>272</v>
      </c>
      <c r="D45" s="37" t="s">
        <v>462</v>
      </c>
      <c r="E45" s="37" t="s">
        <v>538</v>
      </c>
      <c r="F45" s="50">
        <v>45065.333333333336</v>
      </c>
      <c r="G45" s="21"/>
      <c r="H45" s="37" t="s">
        <v>18</v>
      </c>
      <c r="I45" s="19" t="s">
        <v>30</v>
      </c>
      <c r="J45" s="21"/>
      <c r="K45" s="22">
        <v>229</v>
      </c>
      <c r="L45" s="21"/>
      <c r="M45" s="22">
        <v>0</v>
      </c>
      <c r="N45" s="21"/>
      <c r="Q45" s="24"/>
    </row>
    <row r="46" spans="1:17" x14ac:dyDescent="0.25">
      <c r="A46" s="41" t="s">
        <v>371</v>
      </c>
      <c r="B46" s="27" t="s">
        <v>200</v>
      </c>
      <c r="C46" s="38" t="s">
        <v>273</v>
      </c>
      <c r="D46" s="37" t="s">
        <v>463</v>
      </c>
      <c r="E46" s="37"/>
      <c r="F46" s="50">
        <v>45064.333333333336</v>
      </c>
      <c r="G46" s="21"/>
      <c r="H46" s="37" t="s">
        <v>18</v>
      </c>
      <c r="I46" s="19" t="s">
        <v>118</v>
      </c>
      <c r="J46" s="21"/>
      <c r="K46" s="22">
        <v>178.15</v>
      </c>
      <c r="L46" s="21"/>
      <c r="M46" s="22">
        <v>0</v>
      </c>
      <c r="N46" s="29"/>
    </row>
    <row r="47" spans="1:17" x14ac:dyDescent="0.25">
      <c r="A47" s="40" t="s">
        <v>372</v>
      </c>
      <c r="B47" s="36" t="s">
        <v>201</v>
      </c>
      <c r="C47" s="38" t="s">
        <v>274</v>
      </c>
      <c r="D47" s="34"/>
      <c r="E47" s="34"/>
      <c r="F47" s="48"/>
      <c r="G47" s="29"/>
      <c r="H47" s="29"/>
      <c r="I47" s="29"/>
      <c r="J47" s="29"/>
      <c r="K47" s="33"/>
      <c r="L47" s="29"/>
      <c r="M47" s="33"/>
      <c r="N47" s="30"/>
      <c r="Q47" s="24"/>
    </row>
    <row r="48" spans="1:17" x14ac:dyDescent="0.25">
      <c r="A48" s="40" t="s">
        <v>373</v>
      </c>
      <c r="B48" s="36" t="s">
        <v>190</v>
      </c>
      <c r="C48" s="38" t="s">
        <v>275</v>
      </c>
      <c r="D48" s="34"/>
      <c r="E48" s="34"/>
      <c r="F48" s="48"/>
      <c r="G48" s="29"/>
      <c r="H48" s="29"/>
      <c r="I48" s="29"/>
      <c r="J48" s="29"/>
      <c r="K48" s="33"/>
      <c r="L48" s="29"/>
      <c r="M48" s="33"/>
      <c r="N48" s="30"/>
    </row>
    <row r="49" spans="1:17" x14ac:dyDescent="0.25">
      <c r="A49" s="41" t="s">
        <v>374</v>
      </c>
      <c r="B49" s="27" t="s">
        <v>202</v>
      </c>
      <c r="C49" s="38" t="s">
        <v>276</v>
      </c>
      <c r="D49" s="37" t="s">
        <v>488</v>
      </c>
      <c r="E49" s="37" t="s">
        <v>539</v>
      </c>
      <c r="F49" s="50">
        <v>45064.333333333336</v>
      </c>
      <c r="G49" s="21"/>
      <c r="H49" s="37" t="s">
        <v>29</v>
      </c>
      <c r="I49" s="19" t="s">
        <v>119</v>
      </c>
      <c r="J49" s="21"/>
      <c r="K49" s="22">
        <v>33183.24</v>
      </c>
      <c r="L49" s="21"/>
      <c r="M49" s="22">
        <v>0</v>
      </c>
      <c r="N49" s="21"/>
      <c r="Q49" s="24"/>
    </row>
    <row r="50" spans="1:17" ht="22.5" x14ac:dyDescent="0.25">
      <c r="A50" s="41" t="s">
        <v>375</v>
      </c>
      <c r="B50" s="27" t="s">
        <v>203</v>
      </c>
      <c r="C50" s="38" t="s">
        <v>277</v>
      </c>
      <c r="D50" s="37" t="s">
        <v>440</v>
      </c>
      <c r="E50" s="37" t="s">
        <v>540</v>
      </c>
      <c r="F50" s="50">
        <v>45064.333333333336</v>
      </c>
      <c r="G50" s="21"/>
      <c r="H50" s="37" t="s">
        <v>18</v>
      </c>
      <c r="I50" s="19" t="s">
        <v>119</v>
      </c>
      <c r="J50" s="21"/>
      <c r="K50" s="22">
        <v>3171.12</v>
      </c>
      <c r="L50" s="21"/>
      <c r="M50" s="22">
        <v>0</v>
      </c>
      <c r="N50" s="21"/>
    </row>
    <row r="51" spans="1:17" x14ac:dyDescent="0.25">
      <c r="A51" s="40" t="s">
        <v>376</v>
      </c>
      <c r="B51" s="36" t="s">
        <v>204</v>
      </c>
      <c r="C51" s="38" t="s">
        <v>278</v>
      </c>
      <c r="D51" s="34"/>
      <c r="E51" s="34"/>
      <c r="F51" s="48"/>
      <c r="G51" s="29"/>
      <c r="H51" s="29"/>
      <c r="I51" s="29"/>
      <c r="J51" s="29"/>
      <c r="K51" s="33"/>
      <c r="L51" s="29"/>
      <c r="M51" s="33"/>
      <c r="N51" s="30"/>
    </row>
    <row r="52" spans="1:17" x14ac:dyDescent="0.25">
      <c r="A52" s="41" t="s">
        <v>377</v>
      </c>
      <c r="B52" s="27" t="s">
        <v>205</v>
      </c>
      <c r="C52" s="38" t="s">
        <v>279</v>
      </c>
      <c r="D52" s="37" t="s">
        <v>489</v>
      </c>
      <c r="E52" s="37" t="s">
        <v>541</v>
      </c>
      <c r="F52" s="50">
        <v>45066.333333333336</v>
      </c>
      <c r="G52" s="21"/>
      <c r="H52" s="37" t="s">
        <v>114</v>
      </c>
      <c r="I52" s="19" t="s">
        <v>115</v>
      </c>
      <c r="J52" s="21"/>
      <c r="K52" s="22">
        <v>22575.9</v>
      </c>
      <c r="L52" s="21"/>
      <c r="M52" s="22">
        <v>0</v>
      </c>
      <c r="N52" s="29"/>
      <c r="Q52" s="24"/>
    </row>
    <row r="53" spans="1:17" x14ac:dyDescent="0.25">
      <c r="A53" s="41" t="s">
        <v>378</v>
      </c>
      <c r="B53" s="27" t="s">
        <v>206</v>
      </c>
      <c r="C53" s="38" t="s">
        <v>280</v>
      </c>
      <c r="D53" s="37" t="s">
        <v>490</v>
      </c>
      <c r="E53" s="37" t="s">
        <v>569</v>
      </c>
      <c r="F53" s="50">
        <v>45072.333333333336</v>
      </c>
      <c r="G53" s="21"/>
      <c r="H53" s="37" t="s">
        <v>18</v>
      </c>
      <c r="I53" s="19" t="s">
        <v>115</v>
      </c>
      <c r="J53" s="21"/>
      <c r="K53" s="22">
        <v>12121.9</v>
      </c>
      <c r="L53" s="21"/>
      <c r="M53" s="22">
        <v>0</v>
      </c>
      <c r="N53" s="29"/>
      <c r="Q53" s="24"/>
    </row>
    <row r="54" spans="1:17" x14ac:dyDescent="0.25">
      <c r="A54" s="41" t="s">
        <v>379</v>
      </c>
      <c r="B54" s="27" t="s">
        <v>207</v>
      </c>
      <c r="C54" s="38" t="s">
        <v>281</v>
      </c>
      <c r="D54" s="37" t="s">
        <v>492</v>
      </c>
      <c r="E54" s="37" t="s">
        <v>542</v>
      </c>
      <c r="F54" s="50">
        <v>45073.333333333336</v>
      </c>
      <c r="G54" s="21"/>
      <c r="H54" s="37" t="s">
        <v>35</v>
      </c>
      <c r="I54" s="19" t="s">
        <v>120</v>
      </c>
      <c r="J54" s="21"/>
      <c r="K54" s="22">
        <v>18167.8</v>
      </c>
      <c r="L54" s="21"/>
      <c r="M54" s="22">
        <v>0</v>
      </c>
      <c r="N54" s="21"/>
    </row>
    <row r="55" spans="1:17" x14ac:dyDescent="0.25">
      <c r="A55" s="41" t="s">
        <v>380</v>
      </c>
      <c r="B55" s="27" t="s">
        <v>208</v>
      </c>
      <c r="C55" s="38" t="s">
        <v>282</v>
      </c>
      <c r="D55" s="37" t="s">
        <v>441</v>
      </c>
      <c r="E55" s="37"/>
      <c r="F55" s="50">
        <v>45078.333333333336</v>
      </c>
      <c r="G55" s="21"/>
      <c r="H55" s="37" t="s">
        <v>18</v>
      </c>
      <c r="I55" s="19" t="s">
        <v>120</v>
      </c>
      <c r="J55" s="21"/>
      <c r="K55" s="22">
        <v>1342.32</v>
      </c>
      <c r="L55" s="21"/>
      <c r="M55" s="22">
        <v>0</v>
      </c>
      <c r="N55" s="21"/>
      <c r="Q55" s="24"/>
    </row>
    <row r="56" spans="1:17" x14ac:dyDescent="0.25">
      <c r="A56" s="41" t="s">
        <v>381</v>
      </c>
      <c r="B56" s="27" t="s">
        <v>209</v>
      </c>
      <c r="C56" s="38" t="s">
        <v>283</v>
      </c>
      <c r="D56" s="37" t="s">
        <v>491</v>
      </c>
      <c r="E56" s="37" t="s">
        <v>543</v>
      </c>
      <c r="F56" s="50">
        <v>45078.333333333336</v>
      </c>
      <c r="G56" s="21"/>
      <c r="H56" s="37" t="s">
        <v>18</v>
      </c>
      <c r="I56" s="19" t="s">
        <v>115</v>
      </c>
      <c r="J56" s="21"/>
      <c r="K56" s="22">
        <v>6992.96</v>
      </c>
      <c r="L56" s="21"/>
      <c r="M56" s="22">
        <v>0</v>
      </c>
      <c r="N56" s="29"/>
      <c r="Q56" s="24"/>
    </row>
    <row r="57" spans="1:17" x14ac:dyDescent="0.25">
      <c r="A57" s="41" t="s">
        <v>382</v>
      </c>
      <c r="B57" s="27" t="s">
        <v>210</v>
      </c>
      <c r="C57" s="38" t="s">
        <v>284</v>
      </c>
      <c r="D57" s="37" t="s">
        <v>442</v>
      </c>
      <c r="E57" s="37"/>
      <c r="F57" s="50">
        <v>45072.333333333336</v>
      </c>
      <c r="G57" s="21"/>
      <c r="H57" s="37" t="s">
        <v>18</v>
      </c>
      <c r="I57" s="19" t="s">
        <v>23</v>
      </c>
      <c r="J57" s="21"/>
      <c r="K57" s="22">
        <v>1903.2</v>
      </c>
      <c r="L57" s="21"/>
      <c r="M57" s="22">
        <v>0</v>
      </c>
      <c r="N57" s="21"/>
      <c r="Q57" s="24"/>
    </row>
    <row r="58" spans="1:17" x14ac:dyDescent="0.25">
      <c r="A58" s="41" t="s">
        <v>383</v>
      </c>
      <c r="B58" s="27" t="s">
        <v>211</v>
      </c>
      <c r="C58" s="38" t="s">
        <v>285</v>
      </c>
      <c r="D58" s="37" t="s">
        <v>443</v>
      </c>
      <c r="E58" s="37"/>
      <c r="F58" s="50">
        <v>45079.333333333336</v>
      </c>
      <c r="G58" s="21"/>
      <c r="H58" s="37" t="s">
        <v>18</v>
      </c>
      <c r="I58" s="19" t="s">
        <v>23</v>
      </c>
      <c r="J58" s="21"/>
      <c r="K58" s="22">
        <v>759.6</v>
      </c>
      <c r="L58" s="21"/>
      <c r="M58" s="22">
        <v>0</v>
      </c>
      <c r="N58" s="21"/>
    </row>
    <row r="59" spans="1:17" x14ac:dyDescent="0.25">
      <c r="A59" s="41" t="s">
        <v>384</v>
      </c>
      <c r="B59" s="27" t="s">
        <v>212</v>
      </c>
      <c r="C59" s="38" t="s">
        <v>286</v>
      </c>
      <c r="D59" s="37" t="s">
        <v>493</v>
      </c>
      <c r="E59" s="37" t="s">
        <v>544</v>
      </c>
      <c r="F59" s="50">
        <v>45089.333333333336</v>
      </c>
      <c r="G59" s="21"/>
      <c r="H59" s="37" t="s">
        <v>29</v>
      </c>
      <c r="I59" s="19" t="s">
        <v>115</v>
      </c>
      <c r="J59" s="21"/>
      <c r="K59" s="22">
        <v>3514.31</v>
      </c>
      <c r="L59" s="21"/>
      <c r="M59" s="22">
        <v>0</v>
      </c>
      <c r="N59" s="21"/>
      <c r="Q59" s="24"/>
    </row>
    <row r="60" spans="1:17" x14ac:dyDescent="0.25">
      <c r="A60" s="40" t="s">
        <v>385</v>
      </c>
      <c r="B60" s="36" t="s">
        <v>213</v>
      </c>
      <c r="C60" s="38" t="s">
        <v>287</v>
      </c>
      <c r="D60" s="34"/>
      <c r="E60" s="34"/>
      <c r="F60" s="48"/>
      <c r="G60" s="29"/>
      <c r="H60" s="34"/>
      <c r="I60" s="29"/>
      <c r="J60" s="29"/>
      <c r="K60" s="33"/>
      <c r="L60" s="29"/>
      <c r="M60" s="33"/>
      <c r="N60" s="30"/>
      <c r="Q60" s="24"/>
    </row>
    <row r="61" spans="1:17" x14ac:dyDescent="0.25">
      <c r="A61" s="41" t="s">
        <v>386</v>
      </c>
      <c r="B61" s="27" t="s">
        <v>214</v>
      </c>
      <c r="C61" s="38" t="s">
        <v>288</v>
      </c>
      <c r="D61" s="37" t="s">
        <v>495</v>
      </c>
      <c r="E61" s="37" t="s">
        <v>545</v>
      </c>
      <c r="F61" s="50">
        <v>45080.333333333336</v>
      </c>
      <c r="G61" s="21"/>
      <c r="H61" s="37" t="s">
        <v>29</v>
      </c>
      <c r="I61" s="19" t="s">
        <v>115</v>
      </c>
      <c r="J61" s="21"/>
      <c r="K61" s="22">
        <v>3600</v>
      </c>
      <c r="L61" s="21"/>
      <c r="M61" s="22">
        <v>0</v>
      </c>
      <c r="N61" s="29"/>
      <c r="Q61" s="24"/>
    </row>
    <row r="62" spans="1:17" x14ac:dyDescent="0.25">
      <c r="A62" s="40" t="s">
        <v>387</v>
      </c>
      <c r="B62" s="36" t="s">
        <v>215</v>
      </c>
      <c r="C62" s="38" t="s">
        <v>289</v>
      </c>
      <c r="D62" s="34"/>
      <c r="E62" s="34"/>
      <c r="F62" s="48"/>
      <c r="G62" s="29"/>
      <c r="H62" s="34"/>
      <c r="I62" s="29"/>
      <c r="J62" s="29"/>
      <c r="K62" s="33"/>
      <c r="L62" s="29"/>
      <c r="M62" s="33"/>
      <c r="N62" s="30"/>
      <c r="Q62" s="24"/>
    </row>
    <row r="63" spans="1:17" x14ac:dyDescent="0.25">
      <c r="A63" s="41" t="s">
        <v>388</v>
      </c>
      <c r="B63" s="27" t="s">
        <v>216</v>
      </c>
      <c r="C63" s="38" t="s">
        <v>290</v>
      </c>
      <c r="D63" s="37" t="s">
        <v>497</v>
      </c>
      <c r="E63" s="37" t="s">
        <v>546</v>
      </c>
      <c r="F63" s="50">
        <v>45082.333333333336</v>
      </c>
      <c r="G63" s="21"/>
      <c r="H63" s="37" t="s">
        <v>29</v>
      </c>
      <c r="I63" s="19" t="s">
        <v>117</v>
      </c>
      <c r="J63" s="21"/>
      <c r="K63" s="22">
        <v>2400</v>
      </c>
      <c r="L63" s="21"/>
      <c r="M63" s="22">
        <v>0</v>
      </c>
      <c r="N63" s="21"/>
      <c r="Q63" s="24"/>
    </row>
    <row r="64" spans="1:17" x14ac:dyDescent="0.25">
      <c r="A64" s="41" t="s">
        <v>389</v>
      </c>
      <c r="B64" s="27" t="s">
        <v>217</v>
      </c>
      <c r="C64" s="38" t="s">
        <v>291</v>
      </c>
      <c r="D64" s="37" t="s">
        <v>496</v>
      </c>
      <c r="E64" s="37" t="s">
        <v>547</v>
      </c>
      <c r="F64" s="50">
        <v>45084.333333333336</v>
      </c>
      <c r="G64" s="21"/>
      <c r="H64" s="37" t="s">
        <v>18</v>
      </c>
      <c r="I64" s="19" t="s">
        <v>30</v>
      </c>
      <c r="J64" s="21"/>
      <c r="K64" s="22">
        <v>2500</v>
      </c>
      <c r="L64" s="21"/>
      <c r="M64" s="22">
        <v>0</v>
      </c>
      <c r="N64" s="21"/>
      <c r="Q64" s="24"/>
    </row>
    <row r="65" spans="1:17" x14ac:dyDescent="0.25">
      <c r="A65" s="41" t="s">
        <v>390</v>
      </c>
      <c r="B65" s="27" t="s">
        <v>218</v>
      </c>
      <c r="C65" s="38" t="s">
        <v>292</v>
      </c>
      <c r="D65" s="37" t="s">
        <v>498</v>
      </c>
      <c r="E65" s="37" t="s">
        <v>548</v>
      </c>
      <c r="F65" s="50">
        <v>45085.333333333336</v>
      </c>
      <c r="G65" s="21"/>
      <c r="H65" s="37" t="s">
        <v>35</v>
      </c>
      <c r="I65" s="19" t="s">
        <v>30</v>
      </c>
      <c r="J65" s="21"/>
      <c r="K65" s="22">
        <v>4200</v>
      </c>
      <c r="L65" s="21"/>
      <c r="M65" s="22">
        <v>0</v>
      </c>
      <c r="N65" s="21"/>
      <c r="Q65" s="24"/>
    </row>
    <row r="66" spans="1:17" x14ac:dyDescent="0.25">
      <c r="A66" s="41" t="s">
        <v>391</v>
      </c>
      <c r="B66" s="27" t="s">
        <v>219</v>
      </c>
      <c r="C66" s="38" t="s">
        <v>293</v>
      </c>
      <c r="D66" s="37" t="s">
        <v>444</v>
      </c>
      <c r="E66" s="37"/>
      <c r="F66" s="50">
        <v>45089.333333333336</v>
      </c>
      <c r="G66" s="21"/>
      <c r="H66" s="37" t="s">
        <v>18</v>
      </c>
      <c r="I66" s="19" t="s">
        <v>116</v>
      </c>
      <c r="J66" s="21"/>
      <c r="K66" s="22">
        <v>980</v>
      </c>
      <c r="L66" s="21"/>
      <c r="M66" s="22">
        <v>0</v>
      </c>
      <c r="N66" s="21"/>
      <c r="Q66" s="24"/>
    </row>
    <row r="67" spans="1:17" x14ac:dyDescent="0.25">
      <c r="A67" s="41" t="s">
        <v>392</v>
      </c>
      <c r="B67" s="27" t="s">
        <v>220</v>
      </c>
      <c r="C67" s="38" t="s">
        <v>294</v>
      </c>
      <c r="D67" s="37" t="s">
        <v>499</v>
      </c>
      <c r="E67" s="37" t="s">
        <v>549</v>
      </c>
      <c r="F67" s="50">
        <v>45092.333333333336</v>
      </c>
      <c r="G67" s="21"/>
      <c r="H67" s="37" t="s">
        <v>18</v>
      </c>
      <c r="I67" s="19" t="s">
        <v>120</v>
      </c>
      <c r="J67" s="21"/>
      <c r="K67" s="22">
        <v>1200</v>
      </c>
      <c r="L67" s="21"/>
      <c r="M67" s="22">
        <v>0</v>
      </c>
      <c r="N67" s="21"/>
      <c r="Q67" s="24"/>
    </row>
    <row r="68" spans="1:17" x14ac:dyDescent="0.25">
      <c r="A68" s="40" t="s">
        <v>393</v>
      </c>
      <c r="B68" s="36" t="s">
        <v>221</v>
      </c>
      <c r="C68" s="38" t="s">
        <v>295</v>
      </c>
      <c r="D68" s="34"/>
      <c r="E68" s="34"/>
      <c r="F68" s="48"/>
      <c r="G68" s="29"/>
      <c r="H68" s="34"/>
      <c r="I68" s="29"/>
      <c r="J68" s="29"/>
      <c r="K68" s="33"/>
      <c r="L68" s="29"/>
      <c r="M68" s="33"/>
      <c r="N68" s="30"/>
      <c r="Q68" s="24"/>
    </row>
    <row r="69" spans="1:17" ht="22.5" x14ac:dyDescent="0.25">
      <c r="A69" s="41" t="s">
        <v>394</v>
      </c>
      <c r="B69" s="27" t="s">
        <v>222</v>
      </c>
      <c r="C69" s="38" t="s">
        <v>296</v>
      </c>
      <c r="D69" s="37" t="s">
        <v>494</v>
      </c>
      <c r="E69" s="37" t="s">
        <v>550</v>
      </c>
      <c r="F69" s="50">
        <v>45092.333333333336</v>
      </c>
      <c r="G69" s="21"/>
      <c r="H69" s="37" t="s">
        <v>450</v>
      </c>
      <c r="I69" s="19" t="s">
        <v>120</v>
      </c>
      <c r="J69" s="21"/>
      <c r="K69" s="22">
        <v>40673.279999999999</v>
      </c>
      <c r="L69" s="21"/>
      <c r="M69" s="22">
        <v>0</v>
      </c>
      <c r="N69" s="21"/>
      <c r="Q69" s="24"/>
    </row>
    <row r="70" spans="1:17" x14ac:dyDescent="0.25">
      <c r="A70" s="40" t="s">
        <v>395</v>
      </c>
      <c r="B70" s="36" t="s">
        <v>223</v>
      </c>
      <c r="C70" s="38" t="s">
        <v>297</v>
      </c>
      <c r="D70" s="34"/>
      <c r="E70" s="34"/>
      <c r="F70" s="48"/>
      <c r="G70" s="29"/>
      <c r="H70" s="34"/>
      <c r="I70" s="29"/>
      <c r="J70" s="29"/>
      <c r="K70" s="33"/>
      <c r="L70" s="29"/>
      <c r="M70" s="33"/>
      <c r="N70" s="30"/>
      <c r="Q70" s="24"/>
    </row>
    <row r="71" spans="1:17" ht="22.5" x14ac:dyDescent="0.25">
      <c r="A71" s="41" t="s">
        <v>396</v>
      </c>
      <c r="B71" s="27" t="s">
        <v>224</v>
      </c>
      <c r="C71" s="38" t="s">
        <v>298</v>
      </c>
      <c r="D71" s="37" t="s">
        <v>494</v>
      </c>
      <c r="E71" s="37" t="s">
        <v>551</v>
      </c>
      <c r="F71" s="50">
        <v>45092.333333333336</v>
      </c>
      <c r="G71" s="21"/>
      <c r="H71" s="37" t="s">
        <v>41</v>
      </c>
      <c r="I71" s="19" t="s">
        <v>117</v>
      </c>
      <c r="J71" s="21"/>
      <c r="K71" s="22">
        <v>7189.0050000000001</v>
      </c>
      <c r="L71" s="21"/>
      <c r="M71" s="22">
        <v>0</v>
      </c>
      <c r="N71" s="29"/>
      <c r="Q71" s="24"/>
    </row>
    <row r="72" spans="1:17" x14ac:dyDescent="0.25">
      <c r="A72" s="41" t="s">
        <v>397</v>
      </c>
      <c r="B72" s="27" t="s">
        <v>225</v>
      </c>
      <c r="C72" s="38" t="s">
        <v>299</v>
      </c>
      <c r="D72" s="37" t="s">
        <v>502</v>
      </c>
      <c r="E72" s="37" t="s">
        <v>552</v>
      </c>
      <c r="F72" s="50">
        <v>45095.333333333336</v>
      </c>
      <c r="G72" s="21"/>
      <c r="H72" s="37" t="s">
        <v>29</v>
      </c>
      <c r="I72" s="19" t="s">
        <v>120</v>
      </c>
      <c r="J72" s="21"/>
      <c r="K72" s="22">
        <v>11165.15</v>
      </c>
      <c r="L72" s="21"/>
      <c r="M72" s="22">
        <v>0</v>
      </c>
      <c r="N72" s="21"/>
      <c r="Q72" s="24"/>
    </row>
    <row r="73" spans="1:17" x14ac:dyDescent="0.25">
      <c r="A73" s="41" t="s">
        <v>398</v>
      </c>
      <c r="B73" s="27" t="s">
        <v>226</v>
      </c>
      <c r="C73" s="38" t="s">
        <v>300</v>
      </c>
      <c r="D73" s="37" t="s">
        <v>501</v>
      </c>
      <c r="E73" s="37" t="s">
        <v>553</v>
      </c>
      <c r="F73" s="50">
        <v>45097.333333333336</v>
      </c>
      <c r="G73" s="21"/>
      <c r="H73" s="37" t="s">
        <v>18</v>
      </c>
      <c r="I73" s="19" t="s">
        <v>30</v>
      </c>
      <c r="J73" s="21"/>
      <c r="K73" s="22">
        <v>486.2</v>
      </c>
      <c r="L73" s="21"/>
      <c r="M73" s="22">
        <v>0</v>
      </c>
      <c r="N73" s="29"/>
      <c r="Q73" s="24"/>
    </row>
    <row r="74" spans="1:17" x14ac:dyDescent="0.25">
      <c r="A74" s="41" t="s">
        <v>399</v>
      </c>
      <c r="B74" s="27" t="s">
        <v>227</v>
      </c>
      <c r="C74" s="38" t="s">
        <v>301</v>
      </c>
      <c r="D74" s="37" t="s">
        <v>504</v>
      </c>
      <c r="E74" s="37" t="s">
        <v>554</v>
      </c>
      <c r="F74" s="50">
        <v>45099.333333333336</v>
      </c>
      <c r="G74" s="21"/>
      <c r="H74" s="37" t="s">
        <v>29</v>
      </c>
      <c r="I74" s="19" t="s">
        <v>30</v>
      </c>
      <c r="J74" s="21"/>
      <c r="K74" s="22">
        <v>2171.02</v>
      </c>
      <c r="L74" s="21"/>
      <c r="M74" s="22">
        <v>0</v>
      </c>
      <c r="N74" s="29"/>
      <c r="Q74" s="24"/>
    </row>
    <row r="75" spans="1:17" x14ac:dyDescent="0.25">
      <c r="A75" s="41" t="s">
        <v>400</v>
      </c>
      <c r="B75" s="27" t="s">
        <v>228</v>
      </c>
      <c r="C75" s="38" t="s">
        <v>302</v>
      </c>
      <c r="D75" s="37" t="s">
        <v>503</v>
      </c>
      <c r="E75" s="37" t="s">
        <v>555</v>
      </c>
      <c r="F75" s="50">
        <v>45098.333333333336</v>
      </c>
      <c r="G75" s="21"/>
      <c r="H75" s="37" t="s">
        <v>18</v>
      </c>
      <c r="I75" s="19" t="s">
        <v>116</v>
      </c>
      <c r="J75" s="21"/>
      <c r="K75" s="22">
        <v>703.85</v>
      </c>
      <c r="L75" s="21"/>
      <c r="M75" s="22">
        <v>0</v>
      </c>
      <c r="N75" s="21"/>
      <c r="Q75" s="24"/>
    </row>
    <row r="76" spans="1:17" x14ac:dyDescent="0.25">
      <c r="A76" s="41" t="s">
        <v>401</v>
      </c>
      <c r="B76" s="27" t="s">
        <v>229</v>
      </c>
      <c r="C76" s="38" t="s">
        <v>303</v>
      </c>
      <c r="D76" s="37" t="s">
        <v>464</v>
      </c>
      <c r="E76" s="37" t="s">
        <v>556</v>
      </c>
      <c r="F76" s="50">
        <v>45099.333333333336</v>
      </c>
      <c r="G76" s="21"/>
      <c r="H76" s="37" t="s">
        <v>19</v>
      </c>
      <c r="I76" s="19" t="s">
        <v>116</v>
      </c>
      <c r="J76" s="21"/>
      <c r="K76" s="22">
        <v>8760.9</v>
      </c>
      <c r="L76" s="21"/>
      <c r="M76" s="22">
        <v>0</v>
      </c>
      <c r="N76" s="21"/>
      <c r="Q76" s="24"/>
    </row>
    <row r="77" spans="1:17" x14ac:dyDescent="0.25">
      <c r="A77" s="41" t="s">
        <v>402</v>
      </c>
      <c r="B77" s="27" t="s">
        <v>230</v>
      </c>
      <c r="C77" s="38" t="s">
        <v>304</v>
      </c>
      <c r="D77" s="37" t="s">
        <v>445</v>
      </c>
      <c r="E77" s="37" t="s">
        <v>557</v>
      </c>
      <c r="F77" s="50">
        <v>45101.333333333336</v>
      </c>
      <c r="G77" s="21"/>
      <c r="H77" s="37" t="s">
        <v>41</v>
      </c>
      <c r="I77" s="19" t="s">
        <v>120</v>
      </c>
      <c r="J77" s="21"/>
      <c r="K77" s="22">
        <v>14499.44</v>
      </c>
      <c r="L77" s="21"/>
      <c r="M77" s="22">
        <v>0</v>
      </c>
      <c r="N77" s="29"/>
    </row>
    <row r="78" spans="1:17" x14ac:dyDescent="0.25">
      <c r="A78" s="41" t="s">
        <v>403</v>
      </c>
      <c r="B78" s="27" t="s">
        <v>231</v>
      </c>
      <c r="C78" s="38" t="s">
        <v>305</v>
      </c>
      <c r="D78" s="37" t="s">
        <v>446</v>
      </c>
      <c r="E78" s="37"/>
      <c r="F78" s="50">
        <v>45103.333333333336</v>
      </c>
      <c r="G78" s="21"/>
      <c r="H78" s="37" t="s">
        <v>18</v>
      </c>
      <c r="I78" s="19" t="s">
        <v>23</v>
      </c>
      <c r="J78" s="21"/>
      <c r="K78" s="22">
        <v>10249.65</v>
      </c>
      <c r="L78" s="21"/>
      <c r="M78" s="22">
        <v>0</v>
      </c>
      <c r="N78" s="21"/>
    </row>
    <row r="79" spans="1:17" x14ac:dyDescent="0.25">
      <c r="A79" s="41" t="s">
        <v>404</v>
      </c>
      <c r="B79" s="27" t="s">
        <v>232</v>
      </c>
      <c r="C79" s="38" t="s">
        <v>306</v>
      </c>
      <c r="D79" s="37" t="s">
        <v>505</v>
      </c>
      <c r="E79" s="37"/>
      <c r="F79" s="50">
        <v>45101.333333333336</v>
      </c>
      <c r="G79" s="21"/>
      <c r="H79" s="37" t="s">
        <v>18</v>
      </c>
      <c r="I79" s="19" t="s">
        <v>23</v>
      </c>
      <c r="J79" s="21"/>
      <c r="K79" s="22">
        <v>521.12</v>
      </c>
      <c r="L79" s="21"/>
      <c r="M79" s="22">
        <v>0</v>
      </c>
      <c r="N79" s="21"/>
    </row>
    <row r="80" spans="1:17" x14ac:dyDescent="0.25">
      <c r="A80" s="40" t="s">
        <v>405</v>
      </c>
      <c r="B80" s="36" t="s">
        <v>233</v>
      </c>
      <c r="C80" s="38" t="s">
        <v>307</v>
      </c>
      <c r="D80" s="34"/>
      <c r="E80" s="34"/>
      <c r="F80" s="48"/>
      <c r="G80" s="29"/>
      <c r="H80" s="34"/>
      <c r="I80" s="29"/>
      <c r="J80" s="29"/>
      <c r="K80" s="33"/>
      <c r="L80" s="29"/>
      <c r="M80" s="33"/>
      <c r="N80" s="30"/>
    </row>
    <row r="81" spans="1:14" x14ac:dyDescent="0.25">
      <c r="A81" s="41" t="s">
        <v>406</v>
      </c>
      <c r="B81" s="27" t="s">
        <v>234</v>
      </c>
      <c r="C81" s="38" t="s">
        <v>308</v>
      </c>
      <c r="D81" s="37" t="s">
        <v>478</v>
      </c>
      <c r="E81" s="37"/>
      <c r="F81" s="50">
        <v>45067.333333333336</v>
      </c>
      <c r="G81" s="21"/>
      <c r="H81" s="37" t="s">
        <v>29</v>
      </c>
      <c r="I81" s="19" t="s">
        <v>24</v>
      </c>
      <c r="J81" s="21"/>
      <c r="K81" s="22">
        <v>15763.95</v>
      </c>
      <c r="L81" s="21"/>
      <c r="M81" s="22">
        <v>0</v>
      </c>
      <c r="N81" s="21"/>
    </row>
    <row r="82" spans="1:14" x14ac:dyDescent="0.25">
      <c r="A82" s="40" t="s">
        <v>407</v>
      </c>
      <c r="B82" s="36" t="s">
        <v>38</v>
      </c>
      <c r="C82" s="38" t="s">
        <v>309</v>
      </c>
      <c r="D82" s="34"/>
      <c r="E82" s="34"/>
      <c r="F82" s="48"/>
      <c r="G82" s="29"/>
      <c r="H82" s="34"/>
      <c r="I82" s="29"/>
      <c r="J82" s="29"/>
      <c r="K82" s="33"/>
      <c r="L82" s="29"/>
      <c r="M82" s="33"/>
      <c r="N82" s="30"/>
    </row>
    <row r="83" spans="1:14" x14ac:dyDescent="0.25">
      <c r="A83" s="41" t="s">
        <v>408</v>
      </c>
      <c r="B83" s="27" t="s">
        <v>130</v>
      </c>
      <c r="C83" s="38" t="s">
        <v>310</v>
      </c>
      <c r="D83" s="37" t="s">
        <v>506</v>
      </c>
      <c r="E83" s="37"/>
      <c r="F83" s="50">
        <v>45106.333333333336</v>
      </c>
      <c r="G83" s="21"/>
      <c r="H83" s="37" t="s">
        <v>18</v>
      </c>
      <c r="I83" s="19" t="s">
        <v>119</v>
      </c>
      <c r="J83" s="21"/>
      <c r="K83" s="22">
        <v>1531.25</v>
      </c>
      <c r="L83" s="21"/>
      <c r="M83" s="22">
        <v>0</v>
      </c>
      <c r="N83" s="29"/>
    </row>
    <row r="84" spans="1:14" x14ac:dyDescent="0.25">
      <c r="A84" s="40" t="s">
        <v>409</v>
      </c>
      <c r="B84" s="36" t="s">
        <v>235</v>
      </c>
      <c r="C84" s="38" t="s">
        <v>311</v>
      </c>
      <c r="D84" s="34"/>
      <c r="E84" s="34"/>
      <c r="F84" s="48"/>
      <c r="G84" s="29"/>
      <c r="H84" s="34"/>
      <c r="I84" s="29"/>
      <c r="J84" s="29"/>
      <c r="K84" s="33"/>
      <c r="L84" s="29"/>
      <c r="M84" s="33"/>
      <c r="N84" s="30"/>
    </row>
    <row r="85" spans="1:14" x14ac:dyDescent="0.25">
      <c r="A85" s="40" t="s">
        <v>410</v>
      </c>
      <c r="B85" s="36" t="s">
        <v>236</v>
      </c>
      <c r="C85" s="38" t="s">
        <v>123</v>
      </c>
      <c r="D85" s="34"/>
      <c r="E85" s="34"/>
      <c r="F85" s="48"/>
      <c r="G85" s="29"/>
      <c r="H85" s="34"/>
      <c r="I85" s="29"/>
      <c r="J85" s="29"/>
      <c r="K85" s="33"/>
      <c r="L85" s="29"/>
      <c r="M85" s="33"/>
      <c r="N85" s="30"/>
    </row>
    <row r="86" spans="1:14" x14ac:dyDescent="0.25">
      <c r="A86" s="41" t="s">
        <v>411</v>
      </c>
      <c r="B86" s="27" t="s">
        <v>237</v>
      </c>
      <c r="C86" s="38" t="s">
        <v>39</v>
      </c>
      <c r="D86" s="37" t="s">
        <v>507</v>
      </c>
      <c r="E86" s="37" t="s">
        <v>558</v>
      </c>
      <c r="F86" s="50">
        <v>45066.333333333336</v>
      </c>
      <c r="G86" s="21"/>
      <c r="H86" s="37" t="s">
        <v>18</v>
      </c>
      <c r="I86" s="19" t="s">
        <v>24</v>
      </c>
      <c r="J86" s="21"/>
      <c r="K86" s="22">
        <v>70.239999999999995</v>
      </c>
      <c r="L86" s="21"/>
      <c r="M86" s="22">
        <v>0</v>
      </c>
      <c r="N86" s="21"/>
    </row>
    <row r="87" spans="1:14" x14ac:dyDescent="0.25">
      <c r="A87" s="41" t="s">
        <v>412</v>
      </c>
      <c r="B87" s="27" t="s">
        <v>238</v>
      </c>
      <c r="C87" s="38" t="s">
        <v>152</v>
      </c>
      <c r="D87" s="37" t="s">
        <v>465</v>
      </c>
      <c r="E87" s="37"/>
      <c r="F87" s="50">
        <v>45066.333333333336</v>
      </c>
      <c r="G87" s="21"/>
      <c r="H87" s="37" t="s">
        <v>18</v>
      </c>
      <c r="I87" s="19" t="s">
        <v>119</v>
      </c>
      <c r="J87" s="21"/>
      <c r="K87" s="22">
        <v>119.88</v>
      </c>
      <c r="L87" s="21"/>
      <c r="M87" s="22">
        <v>0</v>
      </c>
      <c r="N87" s="21"/>
    </row>
    <row r="88" spans="1:14" x14ac:dyDescent="0.25">
      <c r="A88" s="41" t="s">
        <v>413</v>
      </c>
      <c r="B88" s="27" t="s">
        <v>239</v>
      </c>
      <c r="C88" s="38" t="s">
        <v>153</v>
      </c>
      <c r="D88" s="37" t="s">
        <v>508</v>
      </c>
      <c r="E88" s="37" t="s">
        <v>559</v>
      </c>
      <c r="F88" s="50">
        <v>45060.333333333336</v>
      </c>
      <c r="G88" s="21"/>
      <c r="H88" s="37" t="s">
        <v>450</v>
      </c>
      <c r="I88" s="19" t="s">
        <v>30</v>
      </c>
      <c r="J88" s="21"/>
      <c r="K88" s="22">
        <v>4612.62</v>
      </c>
      <c r="L88" s="21"/>
      <c r="M88" s="22">
        <v>0</v>
      </c>
      <c r="N88" s="29"/>
    </row>
    <row r="89" spans="1:14" x14ac:dyDescent="0.25">
      <c r="A89" s="40" t="s">
        <v>414</v>
      </c>
      <c r="B89" s="36" t="s">
        <v>129</v>
      </c>
      <c r="C89" s="38" t="s">
        <v>40</v>
      </c>
      <c r="D89" s="34"/>
      <c r="E89" s="34"/>
      <c r="F89" s="48"/>
      <c r="G89" s="29"/>
      <c r="H89" s="34"/>
      <c r="I89" s="29"/>
      <c r="J89" s="29"/>
      <c r="K89" s="33"/>
      <c r="L89" s="29"/>
      <c r="M89" s="33"/>
      <c r="N89" s="30"/>
    </row>
    <row r="90" spans="1:14" ht="22.5" x14ac:dyDescent="0.25">
      <c r="A90" s="41" t="s">
        <v>415</v>
      </c>
      <c r="B90" s="27" t="s">
        <v>466</v>
      </c>
      <c r="C90" s="38" t="s">
        <v>124</v>
      </c>
      <c r="D90" s="37" t="s">
        <v>467</v>
      </c>
      <c r="E90" s="37"/>
      <c r="F90" s="50">
        <v>45065.333333333336</v>
      </c>
      <c r="G90" s="21"/>
      <c r="H90" s="37" t="s">
        <v>451</v>
      </c>
      <c r="I90" s="19" t="s">
        <v>24</v>
      </c>
      <c r="J90" s="21"/>
      <c r="K90" s="22">
        <v>6534.4</v>
      </c>
      <c r="L90" s="21"/>
      <c r="M90" s="22">
        <v>0</v>
      </c>
      <c r="N90" s="29"/>
    </row>
    <row r="91" spans="1:14" x14ac:dyDescent="0.25">
      <c r="A91" s="41" t="s">
        <v>416</v>
      </c>
      <c r="B91" s="27" t="s">
        <v>241</v>
      </c>
      <c r="C91" s="38" t="s">
        <v>125</v>
      </c>
      <c r="D91" s="37" t="s">
        <v>487</v>
      </c>
      <c r="E91" s="37" t="s">
        <v>560</v>
      </c>
      <c r="F91" s="50">
        <v>45067.333333333336</v>
      </c>
      <c r="G91" s="21"/>
      <c r="H91" s="37" t="s">
        <v>18</v>
      </c>
      <c r="I91" s="19" t="s">
        <v>119</v>
      </c>
      <c r="J91" s="21"/>
      <c r="K91" s="22">
        <v>33.61</v>
      </c>
      <c r="L91" s="21"/>
      <c r="M91" s="22">
        <v>0</v>
      </c>
      <c r="N91" s="21"/>
    </row>
    <row r="92" spans="1:14" x14ac:dyDescent="0.25">
      <c r="A92" s="41" t="s">
        <v>417</v>
      </c>
      <c r="B92" s="27" t="s">
        <v>242</v>
      </c>
      <c r="C92" s="38" t="s">
        <v>126</v>
      </c>
      <c r="D92" s="37" t="s">
        <v>468</v>
      </c>
      <c r="E92" s="37"/>
      <c r="F92" s="50">
        <v>45067.333333333336</v>
      </c>
      <c r="G92" s="21"/>
      <c r="H92" s="37" t="s">
        <v>18</v>
      </c>
      <c r="I92" s="19" t="s">
        <v>157</v>
      </c>
      <c r="J92" s="21"/>
      <c r="K92" s="22">
        <v>54.64</v>
      </c>
      <c r="L92" s="21"/>
      <c r="M92" s="22">
        <v>0</v>
      </c>
      <c r="N92" s="29"/>
    </row>
    <row r="93" spans="1:14" x14ac:dyDescent="0.25">
      <c r="A93" s="40" t="s">
        <v>418</v>
      </c>
      <c r="B93" s="36" t="s">
        <v>243</v>
      </c>
      <c r="C93" s="38" t="s">
        <v>312</v>
      </c>
      <c r="D93" s="34"/>
      <c r="E93" s="34"/>
      <c r="F93" s="48"/>
      <c r="G93" s="29"/>
      <c r="H93" s="34"/>
      <c r="I93" s="29"/>
      <c r="J93" s="29"/>
      <c r="K93" s="33"/>
      <c r="L93" s="29"/>
      <c r="M93" s="33"/>
      <c r="N93" s="30"/>
    </row>
    <row r="94" spans="1:14" x14ac:dyDescent="0.25">
      <c r="A94" s="40" t="s">
        <v>419</v>
      </c>
      <c r="B94" s="36" t="s">
        <v>244</v>
      </c>
      <c r="C94" s="38" t="s">
        <v>42</v>
      </c>
      <c r="D94" s="34"/>
      <c r="E94" s="34"/>
      <c r="F94" s="48"/>
      <c r="G94" s="29"/>
      <c r="H94" s="34"/>
      <c r="I94" s="29"/>
      <c r="J94" s="29"/>
      <c r="K94" s="33"/>
      <c r="L94" s="29"/>
      <c r="M94" s="33"/>
      <c r="N94" s="30"/>
    </row>
    <row r="95" spans="1:14" x14ac:dyDescent="0.25">
      <c r="A95" s="41" t="s">
        <v>420</v>
      </c>
      <c r="B95" s="27" t="s">
        <v>245</v>
      </c>
      <c r="C95" s="38" t="s">
        <v>127</v>
      </c>
      <c r="D95" s="37" t="s">
        <v>509</v>
      </c>
      <c r="E95" s="37" t="s">
        <v>561</v>
      </c>
      <c r="F95" s="50">
        <v>45099.333333333336</v>
      </c>
      <c r="G95" s="21"/>
      <c r="H95" s="37" t="s">
        <v>29</v>
      </c>
      <c r="I95" s="19" t="s">
        <v>24</v>
      </c>
      <c r="J95" s="21"/>
      <c r="K95" s="22">
        <v>7991.49</v>
      </c>
      <c r="L95" s="21"/>
      <c r="M95" s="22">
        <v>0</v>
      </c>
      <c r="N95" s="21"/>
    </row>
    <row r="96" spans="1:14" x14ac:dyDescent="0.25">
      <c r="A96" s="41" t="s">
        <v>421</v>
      </c>
      <c r="B96" s="27" t="s">
        <v>246</v>
      </c>
      <c r="C96" s="38" t="s">
        <v>313</v>
      </c>
      <c r="D96" s="37" t="s">
        <v>447</v>
      </c>
      <c r="E96" s="37" t="s">
        <v>562</v>
      </c>
      <c r="F96" s="50">
        <v>45101.333333333336</v>
      </c>
      <c r="G96" s="21"/>
      <c r="H96" s="37" t="s">
        <v>18</v>
      </c>
      <c r="I96" s="19" t="s">
        <v>157</v>
      </c>
      <c r="J96" s="21"/>
      <c r="K96" s="22">
        <v>720</v>
      </c>
      <c r="L96" s="21"/>
      <c r="M96" s="22">
        <v>0</v>
      </c>
      <c r="N96" s="21"/>
    </row>
    <row r="97" spans="1:14" x14ac:dyDescent="0.25">
      <c r="A97" s="41" t="s">
        <v>422</v>
      </c>
      <c r="B97" s="27" t="s">
        <v>247</v>
      </c>
      <c r="C97" s="38" t="s">
        <v>314</v>
      </c>
      <c r="D97" s="37" t="s">
        <v>448</v>
      </c>
      <c r="E97" s="37"/>
      <c r="F97" s="50">
        <v>45101.333333333336</v>
      </c>
      <c r="G97" s="21"/>
      <c r="H97" s="37" t="s">
        <v>18</v>
      </c>
      <c r="I97" s="19" t="s">
        <v>116</v>
      </c>
      <c r="J97" s="21"/>
      <c r="K97" s="22">
        <v>223.68</v>
      </c>
      <c r="L97" s="21"/>
      <c r="M97" s="22">
        <v>0</v>
      </c>
      <c r="N97" s="21"/>
    </row>
    <row r="98" spans="1:14" x14ac:dyDescent="0.25">
      <c r="A98" s="41" t="s">
        <v>423</v>
      </c>
      <c r="B98" s="27" t="s">
        <v>248</v>
      </c>
      <c r="C98" s="38" t="s">
        <v>315</v>
      </c>
      <c r="D98" s="37" t="s">
        <v>448</v>
      </c>
      <c r="E98" s="37"/>
      <c r="F98" s="50">
        <v>45101.333333333336</v>
      </c>
      <c r="G98" s="21"/>
      <c r="H98" s="37" t="s">
        <v>18</v>
      </c>
      <c r="I98" s="19" t="s">
        <v>24</v>
      </c>
      <c r="J98" s="21"/>
      <c r="K98" s="22">
        <v>139.91999999999999</v>
      </c>
      <c r="L98" s="21"/>
      <c r="M98" s="22">
        <v>0</v>
      </c>
      <c r="N98" s="29"/>
    </row>
    <row r="99" spans="1:14" x14ac:dyDescent="0.25">
      <c r="A99" s="40" t="s">
        <v>424</v>
      </c>
      <c r="B99" s="36" t="s">
        <v>249</v>
      </c>
      <c r="C99" s="38" t="s">
        <v>316</v>
      </c>
      <c r="D99" s="34"/>
      <c r="E99" s="34"/>
      <c r="F99" s="48"/>
      <c r="G99" s="29"/>
      <c r="H99" s="34"/>
      <c r="I99" s="29"/>
      <c r="J99" s="29"/>
      <c r="K99" s="33"/>
      <c r="L99" s="29"/>
      <c r="M99" s="33"/>
      <c r="N99" s="30"/>
    </row>
    <row r="100" spans="1:14" x14ac:dyDescent="0.25">
      <c r="A100" s="40" t="s">
        <v>425</v>
      </c>
      <c r="B100" s="36" t="s">
        <v>250</v>
      </c>
      <c r="C100" s="38" t="s">
        <v>154</v>
      </c>
      <c r="D100" s="34"/>
      <c r="E100" s="34"/>
      <c r="F100" s="48"/>
      <c r="G100" s="29"/>
      <c r="H100" s="34"/>
      <c r="I100" s="29"/>
      <c r="J100" s="29"/>
      <c r="K100" s="33"/>
      <c r="L100" s="29"/>
      <c r="M100" s="33"/>
      <c r="N100" s="30"/>
    </row>
    <row r="101" spans="1:14" x14ac:dyDescent="0.25">
      <c r="A101" s="41" t="s">
        <v>426</v>
      </c>
      <c r="B101" s="27" t="s">
        <v>251</v>
      </c>
      <c r="C101" s="38" t="s">
        <v>317</v>
      </c>
      <c r="D101" s="37" t="s">
        <v>510</v>
      </c>
      <c r="E101" s="37" t="s">
        <v>563</v>
      </c>
      <c r="F101" s="50">
        <v>45102.333333333336</v>
      </c>
      <c r="G101" s="21"/>
      <c r="H101" s="37" t="s">
        <v>18</v>
      </c>
      <c r="I101" s="19" t="s">
        <v>157</v>
      </c>
      <c r="J101" s="21"/>
      <c r="K101" s="22">
        <v>169.92</v>
      </c>
      <c r="L101" s="21"/>
      <c r="M101" s="22">
        <v>0</v>
      </c>
      <c r="N101" s="21"/>
    </row>
    <row r="102" spans="1:14" x14ac:dyDescent="0.25">
      <c r="A102" s="41" t="s">
        <v>427</v>
      </c>
      <c r="B102" s="27" t="s">
        <v>252</v>
      </c>
      <c r="C102" s="38" t="s">
        <v>318</v>
      </c>
      <c r="D102" s="37" t="s">
        <v>511</v>
      </c>
      <c r="E102" s="37" t="s">
        <v>564</v>
      </c>
      <c r="F102" s="50">
        <v>45102.333333333336</v>
      </c>
      <c r="G102" s="21"/>
      <c r="H102" s="37" t="s">
        <v>18</v>
      </c>
      <c r="I102" s="19" t="s">
        <v>116</v>
      </c>
      <c r="J102" s="21"/>
      <c r="K102" s="22">
        <v>122.6</v>
      </c>
      <c r="L102" s="21"/>
      <c r="M102" s="22">
        <v>0</v>
      </c>
      <c r="N102" s="21"/>
    </row>
    <row r="103" spans="1:14" x14ac:dyDescent="0.25">
      <c r="A103" s="40" t="s">
        <v>428</v>
      </c>
      <c r="B103" s="36" t="s">
        <v>253</v>
      </c>
      <c r="C103" s="38" t="s">
        <v>155</v>
      </c>
      <c r="D103" s="34"/>
      <c r="E103" s="34"/>
      <c r="F103" s="48"/>
      <c r="G103" s="29"/>
      <c r="H103" s="34"/>
      <c r="I103" s="29"/>
      <c r="J103" s="29"/>
      <c r="K103" s="33"/>
      <c r="L103" s="29"/>
      <c r="M103" s="33"/>
      <c r="N103" s="30"/>
    </row>
    <row r="104" spans="1:14" x14ac:dyDescent="0.25">
      <c r="A104" s="41" t="s">
        <v>429</v>
      </c>
      <c r="B104" s="27" t="s">
        <v>254</v>
      </c>
      <c r="C104" s="38" t="s">
        <v>319</v>
      </c>
      <c r="D104" s="37" t="s">
        <v>500</v>
      </c>
      <c r="E104" s="37" t="s">
        <v>565</v>
      </c>
      <c r="F104" s="50">
        <v>45101.333333333336</v>
      </c>
      <c r="G104" s="21"/>
      <c r="H104" s="37" t="s">
        <v>18</v>
      </c>
      <c r="I104" s="19" t="s">
        <v>116</v>
      </c>
      <c r="J104" s="21"/>
      <c r="K104" s="22">
        <v>732.16</v>
      </c>
      <c r="L104" s="21"/>
      <c r="M104" s="22">
        <v>0</v>
      </c>
      <c r="N104" s="21"/>
    </row>
    <row r="105" spans="1:14" x14ac:dyDescent="0.25">
      <c r="A105" s="41" t="s">
        <v>430</v>
      </c>
      <c r="B105" s="27" t="s">
        <v>255</v>
      </c>
      <c r="C105" s="38" t="s">
        <v>320</v>
      </c>
      <c r="D105" s="37" t="s">
        <v>469</v>
      </c>
      <c r="E105" s="37" t="s">
        <v>566</v>
      </c>
      <c r="F105" s="50">
        <v>45101.333333333336</v>
      </c>
      <c r="G105" s="21"/>
      <c r="H105" s="37" t="s">
        <v>18</v>
      </c>
      <c r="I105" s="19" t="s">
        <v>23</v>
      </c>
      <c r="J105" s="21"/>
      <c r="K105" s="22">
        <v>242</v>
      </c>
      <c r="L105" s="21"/>
      <c r="M105" s="22">
        <v>0</v>
      </c>
      <c r="N105" s="29"/>
    </row>
    <row r="106" spans="1:14" x14ac:dyDescent="0.25">
      <c r="A106" s="41" t="s">
        <v>431</v>
      </c>
      <c r="B106" s="27" t="s">
        <v>256</v>
      </c>
      <c r="C106" s="38" t="s">
        <v>321</v>
      </c>
      <c r="D106" s="37" t="s">
        <v>449</v>
      </c>
      <c r="E106" s="37"/>
      <c r="F106" s="50">
        <v>45102.333333333336</v>
      </c>
      <c r="G106" s="21"/>
      <c r="H106" s="37" t="s">
        <v>18</v>
      </c>
      <c r="I106" s="19" t="s">
        <v>23</v>
      </c>
      <c r="J106" s="21"/>
      <c r="K106" s="22">
        <v>178.24</v>
      </c>
      <c r="L106" s="21"/>
      <c r="M106" s="22">
        <v>0</v>
      </c>
      <c r="N106" s="21"/>
    </row>
    <row r="107" spans="1:14" x14ac:dyDescent="0.25">
      <c r="A107" s="40" t="s">
        <v>432</v>
      </c>
      <c r="B107" s="36" t="s">
        <v>257</v>
      </c>
      <c r="C107" s="38" t="s">
        <v>322</v>
      </c>
      <c r="D107" s="34"/>
      <c r="E107" s="34"/>
      <c r="F107" s="48"/>
      <c r="G107" s="29"/>
      <c r="H107" s="34"/>
      <c r="I107" s="29"/>
      <c r="J107" s="29"/>
      <c r="K107" s="33"/>
      <c r="L107" s="29"/>
      <c r="M107" s="33"/>
      <c r="N107" s="30"/>
    </row>
    <row r="108" spans="1:14" x14ac:dyDescent="0.25">
      <c r="A108" s="41" t="s">
        <v>433</v>
      </c>
      <c r="B108" s="27" t="s">
        <v>258</v>
      </c>
      <c r="C108" s="38" t="s">
        <v>323</v>
      </c>
      <c r="D108" s="37" t="s">
        <v>514</v>
      </c>
      <c r="E108" s="37" t="s">
        <v>567</v>
      </c>
      <c r="F108" s="50">
        <v>45103.333333333336</v>
      </c>
      <c r="G108" s="21"/>
      <c r="H108" s="37" t="s">
        <v>18</v>
      </c>
      <c r="I108" s="19" t="s">
        <v>157</v>
      </c>
      <c r="J108" s="21"/>
      <c r="K108" s="22">
        <v>1569.15</v>
      </c>
      <c r="L108" s="21"/>
      <c r="M108" s="22">
        <v>0</v>
      </c>
      <c r="N108" s="21"/>
    </row>
    <row r="109" spans="1:14" ht="22.5" x14ac:dyDescent="0.25">
      <c r="A109" s="41" t="s">
        <v>434</v>
      </c>
      <c r="B109" s="27" t="s">
        <v>259</v>
      </c>
      <c r="C109" s="38" t="s">
        <v>324</v>
      </c>
      <c r="D109" s="37" t="s">
        <v>513</v>
      </c>
      <c r="E109" s="37"/>
      <c r="F109" s="50">
        <v>45103.333333333336</v>
      </c>
      <c r="G109" s="21"/>
      <c r="H109" s="37" t="s">
        <v>18</v>
      </c>
      <c r="I109" s="19" t="s">
        <v>157</v>
      </c>
      <c r="J109" s="21"/>
      <c r="K109" s="22">
        <v>628.65</v>
      </c>
      <c r="L109" s="21"/>
      <c r="M109" s="22">
        <v>0</v>
      </c>
      <c r="N109" s="29"/>
    </row>
    <row r="110" spans="1:14" x14ac:dyDescent="0.25">
      <c r="A110" s="40" t="s">
        <v>435</v>
      </c>
      <c r="B110" s="36" t="s">
        <v>260</v>
      </c>
      <c r="C110" s="38" t="s">
        <v>325</v>
      </c>
      <c r="D110" s="34"/>
      <c r="E110" s="34"/>
      <c r="F110" s="48"/>
      <c r="G110" s="29"/>
      <c r="H110" s="34"/>
      <c r="I110" s="29"/>
      <c r="J110" s="29"/>
      <c r="K110" s="33"/>
      <c r="L110" s="29"/>
      <c r="M110" s="33"/>
      <c r="N110" s="30"/>
    </row>
    <row r="111" spans="1:14" ht="22.5" x14ac:dyDescent="0.25">
      <c r="A111" s="41" t="s">
        <v>436</v>
      </c>
      <c r="B111" s="27" t="s">
        <v>261</v>
      </c>
      <c r="C111" s="38" t="s">
        <v>326</v>
      </c>
      <c r="D111" s="37" t="s">
        <v>470</v>
      </c>
      <c r="E111" s="37"/>
      <c r="F111" s="50">
        <v>45104.333333333336</v>
      </c>
      <c r="G111" s="21"/>
      <c r="H111" s="37" t="s">
        <v>18</v>
      </c>
      <c r="I111" s="19" t="s">
        <v>157</v>
      </c>
      <c r="J111" s="21"/>
      <c r="K111" s="22">
        <v>5392.08</v>
      </c>
      <c r="L111" s="21"/>
      <c r="M111" s="22">
        <v>0</v>
      </c>
      <c r="N111" s="29"/>
    </row>
    <row r="112" spans="1:14" x14ac:dyDescent="0.25">
      <c r="A112" s="40" t="s">
        <v>437</v>
      </c>
      <c r="B112" s="36" t="s">
        <v>262</v>
      </c>
      <c r="C112" s="38" t="s">
        <v>327</v>
      </c>
      <c r="D112" s="34"/>
      <c r="E112" s="34"/>
      <c r="F112" s="48"/>
      <c r="G112" s="29"/>
      <c r="H112" s="34"/>
      <c r="I112" s="29"/>
      <c r="J112" s="29"/>
      <c r="K112" s="33"/>
      <c r="L112" s="29"/>
      <c r="M112" s="33"/>
      <c r="N112" s="30"/>
    </row>
    <row r="113" spans="1:14" ht="22.5" x14ac:dyDescent="0.25">
      <c r="A113" s="41" t="s">
        <v>438</v>
      </c>
      <c r="B113" s="27" t="s">
        <v>263</v>
      </c>
      <c r="C113" s="38" t="s">
        <v>328</v>
      </c>
      <c r="D113" s="37" t="s">
        <v>512</v>
      </c>
      <c r="E113" s="37" t="s">
        <v>568</v>
      </c>
      <c r="F113" s="50">
        <v>45104.333333333336</v>
      </c>
      <c r="G113" s="21"/>
      <c r="H113" s="37" t="s">
        <v>18</v>
      </c>
      <c r="I113" s="19" t="s">
        <v>116</v>
      </c>
      <c r="J113" s="21"/>
      <c r="K113" s="22">
        <v>801.53</v>
      </c>
      <c r="L113" s="21"/>
      <c r="M113" s="22">
        <v>0</v>
      </c>
      <c r="N113" s="29"/>
    </row>
    <row r="114" spans="1:14" x14ac:dyDescent="0.25">
      <c r="A114" s="41"/>
      <c r="B114" s="27"/>
      <c r="C114" s="38"/>
      <c r="D114" s="37"/>
      <c r="E114" s="37"/>
      <c r="F114" s="49"/>
      <c r="G114" s="21"/>
      <c r="H114" s="37"/>
      <c r="I114" s="19"/>
      <c r="J114" s="21"/>
      <c r="K114" s="22"/>
      <c r="L114" s="21"/>
      <c r="M114" s="22"/>
      <c r="N114" s="21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/>
  <ignoredErrors>
    <ignoredError sqref="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opLeftCell="A2" zoomScale="125" zoomScaleNormal="125" workbookViewId="0">
      <selection activeCell="E28" sqref="E27:E28"/>
    </sheetView>
  </sheetViews>
  <sheetFormatPr defaultColWidth="8.875" defaultRowHeight="15.75" x14ac:dyDescent="0.25"/>
  <cols>
    <col min="1" max="1" width="6.875" customWidth="1"/>
    <col min="2" max="2" width="12.875" customWidth="1"/>
    <col min="4" max="4" width="8.625" customWidth="1"/>
    <col min="5" max="5" width="7.625" customWidth="1"/>
    <col min="6" max="6" width="7.875" customWidth="1"/>
    <col min="7" max="7" width="8.875" customWidth="1"/>
  </cols>
  <sheetData>
    <row r="1" spans="1:8" ht="15" customHeight="1" x14ac:dyDescent="0.25">
      <c r="A1" s="60" t="s">
        <v>0</v>
      </c>
      <c r="B1" s="60"/>
      <c r="C1" s="60"/>
      <c r="D1" s="60"/>
      <c r="E1" s="60" t="s">
        <v>12</v>
      </c>
      <c r="F1" s="60"/>
      <c r="G1" s="60" t="s">
        <v>3</v>
      </c>
      <c r="H1" s="60"/>
    </row>
    <row r="2" spans="1:8" x14ac:dyDescent="0.25">
      <c r="A2" s="2" t="s">
        <v>5</v>
      </c>
      <c r="B2" s="2" t="s">
        <v>6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16</v>
      </c>
    </row>
    <row r="3" spans="1:8" x14ac:dyDescent="0.25">
      <c r="A3" s="5">
        <v>1</v>
      </c>
      <c r="B3" s="6" t="s">
        <v>21</v>
      </c>
      <c r="C3" s="3" t="s">
        <v>48</v>
      </c>
      <c r="D3" s="3" t="s">
        <v>128</v>
      </c>
      <c r="E3" s="17">
        <v>0</v>
      </c>
      <c r="F3" s="17">
        <v>32</v>
      </c>
      <c r="G3" s="4"/>
      <c r="H3" s="4"/>
    </row>
    <row r="4" spans="1:8" x14ac:dyDescent="0.25">
      <c r="A4" s="5">
        <v>2</v>
      </c>
      <c r="B4" s="6" t="s">
        <v>23</v>
      </c>
      <c r="C4" s="3" t="s">
        <v>48</v>
      </c>
      <c r="D4" s="3" t="s">
        <v>159</v>
      </c>
      <c r="E4" s="17">
        <v>0</v>
      </c>
      <c r="F4" s="17">
        <v>36</v>
      </c>
      <c r="G4" s="4"/>
      <c r="H4" s="4"/>
    </row>
    <row r="5" spans="1:8" x14ac:dyDescent="0.25">
      <c r="A5" s="5">
        <v>3</v>
      </c>
      <c r="B5" s="6" t="s">
        <v>24</v>
      </c>
      <c r="C5" s="3" t="s">
        <v>48</v>
      </c>
      <c r="D5" s="3" t="s">
        <v>160</v>
      </c>
      <c r="E5" s="17">
        <v>0</v>
      </c>
      <c r="F5" s="17">
        <v>27</v>
      </c>
      <c r="G5" s="4"/>
      <c r="H5" s="4"/>
    </row>
    <row r="6" spans="1:8" x14ac:dyDescent="0.25">
      <c r="A6" s="5">
        <v>4</v>
      </c>
      <c r="B6" s="6" t="s">
        <v>30</v>
      </c>
      <c r="C6" s="3" t="s">
        <v>48</v>
      </c>
      <c r="D6" s="3" t="s">
        <v>111</v>
      </c>
      <c r="E6" s="17">
        <v>0</v>
      </c>
      <c r="F6" s="17">
        <v>26</v>
      </c>
      <c r="G6" s="4"/>
      <c r="H6" s="4"/>
    </row>
    <row r="7" spans="1:8" x14ac:dyDescent="0.25">
      <c r="A7" s="5">
        <v>5</v>
      </c>
      <c r="B7" s="6" t="s">
        <v>121</v>
      </c>
      <c r="C7" s="3" t="s">
        <v>48</v>
      </c>
      <c r="D7" s="3" t="s">
        <v>110</v>
      </c>
      <c r="E7" s="17">
        <v>0</v>
      </c>
      <c r="F7" s="17">
        <v>25</v>
      </c>
      <c r="G7" s="4"/>
      <c r="H7" s="4"/>
    </row>
    <row r="8" spans="1:8" x14ac:dyDescent="0.25">
      <c r="A8" s="5">
        <v>6</v>
      </c>
      <c r="B8" s="6" t="s">
        <v>156</v>
      </c>
      <c r="C8" s="3" t="s">
        <v>48</v>
      </c>
      <c r="D8" s="3" t="s">
        <v>158</v>
      </c>
      <c r="E8" s="17">
        <v>0</v>
      </c>
      <c r="F8" s="17">
        <v>32.6</v>
      </c>
      <c r="G8" s="4"/>
      <c r="H8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3"/>
  <sheetViews>
    <sheetView topLeftCell="A108" zoomScale="125" zoomScaleNormal="125" workbookViewId="0">
      <selection activeCell="A114" sqref="A114:XFD114"/>
    </sheetView>
  </sheetViews>
  <sheetFormatPr defaultColWidth="8.875" defaultRowHeight="15.75" x14ac:dyDescent="0.25"/>
  <cols>
    <col min="1" max="1" width="6" customWidth="1"/>
    <col min="2" max="2" width="31.5" customWidth="1"/>
    <col min="3" max="3" width="7.125" customWidth="1"/>
    <col min="4" max="4" width="14.625" customWidth="1"/>
    <col min="6" max="6" width="11.5" customWidth="1"/>
  </cols>
  <sheetData>
    <row r="1" spans="1:25" ht="15" customHeight="1" x14ac:dyDescent="0.25">
      <c r="A1" s="60" t="s">
        <v>0</v>
      </c>
      <c r="B1" s="60"/>
      <c r="C1" s="1" t="s">
        <v>2</v>
      </c>
      <c r="D1" s="60" t="s">
        <v>49</v>
      </c>
      <c r="E1" s="60"/>
      <c r="F1" s="60"/>
      <c r="G1" s="60"/>
    </row>
    <row r="2" spans="1:25" x14ac:dyDescent="0.25">
      <c r="A2" s="2" t="s">
        <v>5</v>
      </c>
      <c r="B2" s="2" t="s">
        <v>6</v>
      </c>
      <c r="C2" s="2" t="s">
        <v>11</v>
      </c>
      <c r="D2" s="2" t="s">
        <v>50</v>
      </c>
      <c r="E2" s="1" t="s">
        <v>51</v>
      </c>
      <c r="F2" s="1" t="s">
        <v>52</v>
      </c>
      <c r="G2" s="1" t="s">
        <v>53</v>
      </c>
    </row>
    <row r="3" spans="1:25" ht="67.5" x14ac:dyDescent="0.25">
      <c r="A3" s="40" t="s">
        <v>264</v>
      </c>
      <c r="B3" s="36" t="s">
        <v>161</v>
      </c>
      <c r="C3" s="25"/>
      <c r="D3" s="19"/>
      <c r="E3" s="19"/>
      <c r="F3" s="19"/>
      <c r="G3" s="19"/>
      <c r="W3" s="23"/>
      <c r="X3" s="23"/>
      <c r="Y3" s="23"/>
    </row>
    <row r="4" spans="1:25" x14ac:dyDescent="0.25">
      <c r="A4" s="40" t="s">
        <v>329</v>
      </c>
      <c r="B4" s="36" t="s">
        <v>162</v>
      </c>
      <c r="C4" s="25"/>
      <c r="D4" s="19"/>
      <c r="E4" s="19"/>
      <c r="F4" s="19"/>
      <c r="G4" s="19"/>
      <c r="W4" s="23"/>
      <c r="X4" s="23"/>
      <c r="Y4" s="23"/>
    </row>
    <row r="5" spans="1:25" x14ac:dyDescent="0.25">
      <c r="A5" s="40" t="s">
        <v>330</v>
      </c>
      <c r="B5" s="36" t="s">
        <v>112</v>
      </c>
      <c r="C5" s="25"/>
      <c r="D5" s="19"/>
      <c r="E5" s="19"/>
      <c r="F5" s="19"/>
      <c r="G5" s="19"/>
      <c r="W5" s="23"/>
      <c r="X5" s="23"/>
      <c r="Y5" s="23"/>
    </row>
    <row r="6" spans="1:25" x14ac:dyDescent="0.25">
      <c r="A6" s="41" t="s">
        <v>331</v>
      </c>
      <c r="B6" s="27" t="s">
        <v>163</v>
      </c>
      <c r="C6" s="25"/>
      <c r="D6" s="19" t="s">
        <v>54</v>
      </c>
      <c r="E6" s="51">
        <f>0.5/1*100</f>
        <v>50</v>
      </c>
      <c r="F6" s="51">
        <f>1/1*100</f>
        <v>100</v>
      </c>
      <c r="G6" s="51">
        <f>1.5/1*100</f>
        <v>150</v>
      </c>
      <c r="W6" s="23"/>
      <c r="X6" s="23"/>
      <c r="Y6" s="23"/>
    </row>
    <row r="7" spans="1:25" x14ac:dyDescent="0.25">
      <c r="A7" s="41" t="s">
        <v>332</v>
      </c>
      <c r="B7" s="27" t="s">
        <v>164</v>
      </c>
      <c r="C7" s="25"/>
      <c r="D7" s="19" t="s">
        <v>54</v>
      </c>
      <c r="E7" s="51">
        <f>0.5/1*100</f>
        <v>50</v>
      </c>
      <c r="F7" s="51">
        <f>1/1*100</f>
        <v>100</v>
      </c>
      <c r="G7" s="51">
        <f>1.5/1*100</f>
        <v>150</v>
      </c>
      <c r="W7" s="23"/>
      <c r="X7" s="23"/>
      <c r="Y7" s="23"/>
    </row>
    <row r="8" spans="1:25" ht="22.5" x14ac:dyDescent="0.25">
      <c r="A8" s="41" t="s">
        <v>333</v>
      </c>
      <c r="B8" s="27" t="s">
        <v>165</v>
      </c>
      <c r="C8" s="25"/>
      <c r="D8" s="19" t="s">
        <v>54</v>
      </c>
      <c r="E8" s="51">
        <f>0.5/1*100</f>
        <v>50</v>
      </c>
      <c r="F8" s="51">
        <f>1/1*100</f>
        <v>100</v>
      </c>
      <c r="G8" s="51">
        <f>1.5/1*100</f>
        <v>150</v>
      </c>
      <c r="W8" s="23"/>
      <c r="X8" s="23"/>
      <c r="Y8" s="23"/>
    </row>
    <row r="9" spans="1:25" x14ac:dyDescent="0.25">
      <c r="A9" s="40" t="s">
        <v>334</v>
      </c>
      <c r="B9" s="36" t="s">
        <v>166</v>
      </c>
      <c r="C9" s="25"/>
      <c r="D9" s="19"/>
      <c r="E9" s="51"/>
      <c r="F9" s="51"/>
      <c r="G9" s="51"/>
      <c r="W9" s="23"/>
      <c r="X9" s="23"/>
      <c r="Y9" s="23"/>
    </row>
    <row r="10" spans="1:25" x14ac:dyDescent="0.25">
      <c r="A10" s="41" t="s">
        <v>335</v>
      </c>
      <c r="B10" s="27" t="s">
        <v>166</v>
      </c>
      <c r="C10" s="25"/>
      <c r="D10" s="19" t="s">
        <v>54</v>
      </c>
      <c r="E10" s="51">
        <f>0.5/1*100</f>
        <v>50</v>
      </c>
      <c r="F10" s="51">
        <f>1/1*100</f>
        <v>100</v>
      </c>
      <c r="G10" s="51">
        <f>1.5/1*100</f>
        <v>150</v>
      </c>
      <c r="W10" s="23"/>
      <c r="X10" s="23"/>
      <c r="Y10" s="23"/>
    </row>
    <row r="11" spans="1:25" x14ac:dyDescent="0.25">
      <c r="A11" s="40" t="s">
        <v>336</v>
      </c>
      <c r="B11" s="36" t="s">
        <v>167</v>
      </c>
      <c r="C11" s="25"/>
      <c r="D11" s="19"/>
      <c r="E11" s="51"/>
      <c r="F11" s="51"/>
      <c r="G11" s="51"/>
      <c r="W11" s="23"/>
      <c r="X11" s="23"/>
      <c r="Y11" s="23"/>
    </row>
    <row r="12" spans="1:25" x14ac:dyDescent="0.25">
      <c r="A12" s="41" t="s">
        <v>337</v>
      </c>
      <c r="B12" s="27" t="s">
        <v>168</v>
      </c>
      <c r="C12" s="25"/>
      <c r="D12" s="19" t="s">
        <v>54</v>
      </c>
      <c r="E12" s="51">
        <f>0.5/1*100</f>
        <v>50</v>
      </c>
      <c r="F12" s="51">
        <f>1/1*100</f>
        <v>100</v>
      </c>
      <c r="G12" s="51">
        <f>1.5/1*100</f>
        <v>150</v>
      </c>
      <c r="W12" s="23"/>
      <c r="X12" s="23"/>
      <c r="Y12" s="23"/>
    </row>
    <row r="13" spans="1:25" x14ac:dyDescent="0.25">
      <c r="A13" s="40" t="s">
        <v>338</v>
      </c>
      <c r="B13" s="36" t="s">
        <v>169</v>
      </c>
      <c r="C13" s="25"/>
      <c r="D13" s="19"/>
      <c r="E13" s="51"/>
      <c r="F13" s="51"/>
      <c r="G13" s="51"/>
      <c r="W13" s="23"/>
      <c r="X13" s="23"/>
      <c r="Y13" s="23"/>
    </row>
    <row r="14" spans="1:25" x14ac:dyDescent="0.25">
      <c r="A14" s="40" t="s">
        <v>339</v>
      </c>
      <c r="B14" s="36" t="s">
        <v>22</v>
      </c>
      <c r="C14" s="25"/>
      <c r="D14" s="19"/>
      <c r="E14" s="51"/>
      <c r="F14" s="51"/>
      <c r="G14" s="51"/>
      <c r="W14" s="23"/>
      <c r="X14" s="23"/>
      <c r="Y14" s="23"/>
    </row>
    <row r="15" spans="1:25" x14ac:dyDescent="0.25">
      <c r="A15" s="40" t="s">
        <v>340</v>
      </c>
      <c r="B15" s="36" t="s">
        <v>170</v>
      </c>
      <c r="C15" s="25"/>
      <c r="D15" s="19"/>
      <c r="E15" s="51"/>
      <c r="F15" s="51"/>
      <c r="G15" s="51"/>
      <c r="W15" s="23"/>
      <c r="X15" s="23"/>
      <c r="Y15" s="23"/>
    </row>
    <row r="16" spans="1:25" ht="22.5" x14ac:dyDescent="0.25">
      <c r="A16" s="41" t="s">
        <v>341</v>
      </c>
      <c r="B16" s="27" t="s">
        <v>171</v>
      </c>
      <c r="C16" s="25"/>
      <c r="D16" s="19" t="s">
        <v>54</v>
      </c>
      <c r="E16" s="51">
        <f>2/4*100</f>
        <v>50</v>
      </c>
      <c r="F16" s="51">
        <f>4/4*100</f>
        <v>100</v>
      </c>
      <c r="G16" s="51">
        <f>6/4*100</f>
        <v>150</v>
      </c>
      <c r="W16" s="23"/>
      <c r="X16" s="23"/>
      <c r="Y16" s="23"/>
    </row>
    <row r="17" spans="1:25" ht="22.5" x14ac:dyDescent="0.25">
      <c r="A17" s="41" t="s">
        <v>342</v>
      </c>
      <c r="B17" s="27" t="s">
        <v>172</v>
      </c>
      <c r="C17" s="25"/>
      <c r="D17" s="19" t="s">
        <v>54</v>
      </c>
      <c r="E17" s="51">
        <f>2/4*100</f>
        <v>50</v>
      </c>
      <c r="F17" s="51">
        <f>4/4*100</f>
        <v>100</v>
      </c>
      <c r="G17" s="51">
        <f>6/4*100</f>
        <v>150</v>
      </c>
      <c r="W17" s="23"/>
      <c r="X17" s="23"/>
      <c r="Y17" s="23"/>
    </row>
    <row r="18" spans="1:25" x14ac:dyDescent="0.25">
      <c r="A18" s="41" t="s">
        <v>343</v>
      </c>
      <c r="B18" s="27" t="s">
        <v>173</v>
      </c>
      <c r="C18" s="25"/>
      <c r="D18" s="19" t="s">
        <v>54</v>
      </c>
      <c r="E18" s="51">
        <f>1/4*100</f>
        <v>25</v>
      </c>
      <c r="F18" s="51">
        <f>4/4*100</f>
        <v>100</v>
      </c>
      <c r="G18" s="51">
        <f>7/4*100</f>
        <v>175</v>
      </c>
      <c r="W18" s="23"/>
      <c r="X18" s="23"/>
      <c r="Y18" s="23"/>
    </row>
    <row r="19" spans="1:25" x14ac:dyDescent="0.25">
      <c r="A19" s="40" t="s">
        <v>344</v>
      </c>
      <c r="B19" s="36" t="s">
        <v>174</v>
      </c>
      <c r="C19" s="25"/>
      <c r="D19" s="19"/>
      <c r="E19" s="51"/>
      <c r="F19" s="51"/>
      <c r="G19" s="51"/>
      <c r="W19" s="23"/>
      <c r="X19" s="23"/>
      <c r="Y19" s="23"/>
    </row>
    <row r="20" spans="1:25" x14ac:dyDescent="0.25">
      <c r="A20" s="41" t="s">
        <v>345</v>
      </c>
      <c r="B20" s="27" t="s">
        <v>175</v>
      </c>
      <c r="C20" s="25"/>
      <c r="D20" s="19" t="s">
        <v>54</v>
      </c>
      <c r="E20" s="51">
        <f>2/4*100</f>
        <v>50</v>
      </c>
      <c r="F20" s="51">
        <f>4/4*100</f>
        <v>100</v>
      </c>
      <c r="G20" s="51">
        <f>6/4*100</f>
        <v>150</v>
      </c>
      <c r="W20" s="23"/>
      <c r="X20" s="23"/>
      <c r="Y20" s="23"/>
    </row>
    <row r="21" spans="1:25" x14ac:dyDescent="0.25">
      <c r="A21" s="40" t="s">
        <v>346</v>
      </c>
      <c r="B21" s="36" t="s">
        <v>113</v>
      </c>
      <c r="C21" s="25"/>
      <c r="D21" s="19"/>
      <c r="E21" s="51"/>
      <c r="F21" s="51"/>
      <c r="G21" s="51"/>
      <c r="W21" s="23"/>
      <c r="X21" s="23"/>
      <c r="Y21" s="23"/>
    </row>
    <row r="22" spans="1:25" ht="22.5" x14ac:dyDescent="0.25">
      <c r="A22" s="41" t="s">
        <v>347</v>
      </c>
      <c r="B22" s="27" t="s">
        <v>176</v>
      </c>
      <c r="C22" s="25"/>
      <c r="D22" s="19" t="s">
        <v>54</v>
      </c>
      <c r="E22" s="51">
        <f>1/4*100</f>
        <v>25</v>
      </c>
      <c r="F22" s="51">
        <f>4/4*100</f>
        <v>100</v>
      </c>
      <c r="G22" s="51">
        <f>7/4*100</f>
        <v>175</v>
      </c>
      <c r="W22" s="23"/>
      <c r="X22" s="23"/>
      <c r="Y22" s="23"/>
    </row>
    <row r="23" spans="1:25" x14ac:dyDescent="0.25">
      <c r="A23" s="41" t="s">
        <v>348</v>
      </c>
      <c r="B23" s="27" t="s">
        <v>177</v>
      </c>
      <c r="C23" s="25"/>
      <c r="D23" s="19" t="s">
        <v>54</v>
      </c>
      <c r="E23" s="51">
        <f>0.5/1*100</f>
        <v>50</v>
      </c>
      <c r="F23" s="51">
        <f>1/1*100</f>
        <v>100</v>
      </c>
      <c r="G23" s="51">
        <f>1.5/1*100</f>
        <v>150</v>
      </c>
      <c r="W23" s="23"/>
      <c r="X23" s="23"/>
      <c r="Y23" s="23"/>
    </row>
    <row r="24" spans="1:25" x14ac:dyDescent="0.25">
      <c r="A24" s="40" t="s">
        <v>349</v>
      </c>
      <c r="B24" s="36" t="s">
        <v>178</v>
      </c>
      <c r="C24" s="25"/>
      <c r="D24" s="19"/>
      <c r="E24" s="51"/>
      <c r="F24" s="51"/>
      <c r="G24" s="51"/>
      <c r="W24" s="23"/>
      <c r="X24" s="23"/>
      <c r="Y24" s="23"/>
    </row>
    <row r="25" spans="1:25" ht="22.5" x14ac:dyDescent="0.25">
      <c r="A25" s="41" t="s">
        <v>350</v>
      </c>
      <c r="B25" s="27" t="s">
        <v>179</v>
      </c>
      <c r="C25" s="25"/>
      <c r="D25" s="19" t="s">
        <v>54</v>
      </c>
      <c r="E25" s="51">
        <f>3/4*100</f>
        <v>75</v>
      </c>
      <c r="F25" s="51">
        <f>4/4*100</f>
        <v>100</v>
      </c>
      <c r="G25" s="51">
        <f>5/4*100</f>
        <v>125</v>
      </c>
      <c r="W25" s="23"/>
      <c r="X25" s="23"/>
      <c r="Y25" s="23"/>
    </row>
    <row r="26" spans="1:25" ht="22.5" x14ac:dyDescent="0.25">
      <c r="A26" s="41" t="s">
        <v>351</v>
      </c>
      <c r="B26" s="27" t="s">
        <v>180</v>
      </c>
      <c r="C26" s="25"/>
      <c r="D26" s="19" t="s">
        <v>54</v>
      </c>
      <c r="E26" s="51">
        <f>1/2*100</f>
        <v>50</v>
      </c>
      <c r="F26" s="51">
        <f>2/2*100</f>
        <v>100</v>
      </c>
      <c r="G26" s="51">
        <f>3/2*100</f>
        <v>150</v>
      </c>
      <c r="W26" s="23"/>
      <c r="X26" s="23"/>
      <c r="Y26" s="23"/>
    </row>
    <row r="27" spans="1:25" x14ac:dyDescent="0.25">
      <c r="A27" s="41" t="s">
        <v>352</v>
      </c>
      <c r="B27" s="27" t="s">
        <v>181</v>
      </c>
      <c r="C27" s="25"/>
      <c r="D27" s="19" t="s">
        <v>54</v>
      </c>
      <c r="E27" s="51">
        <f>2/4*100</f>
        <v>50</v>
      </c>
      <c r="F27" s="51">
        <f>4/4*100</f>
        <v>100</v>
      </c>
      <c r="G27" s="51">
        <f>6/4*100</f>
        <v>150</v>
      </c>
      <c r="W27" s="23"/>
      <c r="X27" s="23"/>
      <c r="Y27" s="23"/>
    </row>
    <row r="28" spans="1:25" x14ac:dyDescent="0.25">
      <c r="A28" s="40" t="s">
        <v>353</v>
      </c>
      <c r="B28" s="36" t="s">
        <v>182</v>
      </c>
      <c r="C28" s="25"/>
      <c r="D28" s="19"/>
      <c r="E28" s="51"/>
      <c r="F28" s="51"/>
      <c r="G28" s="51"/>
      <c r="W28" s="23"/>
      <c r="X28" s="23"/>
      <c r="Y28" s="23"/>
    </row>
    <row r="29" spans="1:25" x14ac:dyDescent="0.25">
      <c r="A29" s="40" t="s">
        <v>354</v>
      </c>
      <c r="B29" s="36" t="s">
        <v>183</v>
      </c>
      <c r="C29" s="25"/>
      <c r="D29" s="19"/>
      <c r="E29" s="51"/>
      <c r="F29" s="51"/>
      <c r="G29" s="51"/>
      <c r="W29" s="23"/>
      <c r="X29" s="23"/>
      <c r="Y29" s="23"/>
    </row>
    <row r="30" spans="1:25" x14ac:dyDescent="0.25">
      <c r="A30" s="41" t="s">
        <v>355</v>
      </c>
      <c r="B30" s="27" t="s">
        <v>184</v>
      </c>
      <c r="C30" s="25"/>
      <c r="D30" s="19" t="s">
        <v>54</v>
      </c>
      <c r="E30" s="51">
        <f>0.5/2*100</f>
        <v>25</v>
      </c>
      <c r="F30" s="51">
        <f>2/2*100</f>
        <v>100</v>
      </c>
      <c r="G30" s="51">
        <f>3.5/2*100</f>
        <v>175</v>
      </c>
      <c r="W30" s="23"/>
      <c r="X30" s="23"/>
      <c r="Y30" s="23"/>
    </row>
    <row r="31" spans="1:25" ht="22.5" x14ac:dyDescent="0.25">
      <c r="A31" s="41" t="s">
        <v>356</v>
      </c>
      <c r="B31" s="27" t="s">
        <v>185</v>
      </c>
      <c r="C31" s="25"/>
      <c r="D31" s="19" t="s">
        <v>54</v>
      </c>
      <c r="E31" s="51">
        <f>0.5/1*100</f>
        <v>50</v>
      </c>
      <c r="F31" s="51">
        <f>1/1*100</f>
        <v>100</v>
      </c>
      <c r="G31" s="51">
        <f>1.5/1*100</f>
        <v>150</v>
      </c>
      <c r="W31" s="23"/>
      <c r="X31" s="23"/>
      <c r="Y31" s="23"/>
    </row>
    <row r="32" spans="1:25" x14ac:dyDescent="0.25">
      <c r="A32" s="40" t="s">
        <v>357</v>
      </c>
      <c r="B32" s="36" t="s">
        <v>186</v>
      </c>
      <c r="C32" s="25"/>
      <c r="D32" s="19"/>
      <c r="E32" s="51"/>
      <c r="F32" s="51"/>
      <c r="G32" s="51"/>
      <c r="W32" s="23"/>
      <c r="X32" s="23"/>
      <c r="Y32" s="23"/>
    </row>
    <row r="33" spans="1:25" ht="22.5" x14ac:dyDescent="0.25">
      <c r="A33" s="41" t="s">
        <v>358</v>
      </c>
      <c r="B33" s="27" t="s">
        <v>187</v>
      </c>
      <c r="C33" s="25"/>
      <c r="D33" s="19" t="s">
        <v>54</v>
      </c>
      <c r="E33" s="51">
        <f>1/2*100</f>
        <v>50</v>
      </c>
      <c r="F33" s="51">
        <f>2/2*100</f>
        <v>100</v>
      </c>
      <c r="G33" s="51">
        <f>3/2*100</f>
        <v>150</v>
      </c>
      <c r="W33" s="23"/>
      <c r="X33" s="23"/>
      <c r="Y33" s="23"/>
    </row>
    <row r="34" spans="1:25" ht="22.5" x14ac:dyDescent="0.25">
      <c r="A34" s="41" t="s">
        <v>359</v>
      </c>
      <c r="B34" s="27" t="s">
        <v>188</v>
      </c>
      <c r="C34" s="25"/>
      <c r="D34" s="19" t="s">
        <v>54</v>
      </c>
      <c r="E34" s="51">
        <f>0.5/2*100</f>
        <v>25</v>
      </c>
      <c r="F34" s="51">
        <f>2/2*100</f>
        <v>100</v>
      </c>
      <c r="G34" s="51">
        <f>3.5/2*100</f>
        <v>175</v>
      </c>
      <c r="W34" s="23"/>
      <c r="X34" s="23"/>
      <c r="Y34" s="23"/>
    </row>
    <row r="35" spans="1:25" ht="22.5" x14ac:dyDescent="0.25">
      <c r="A35" s="41" t="s">
        <v>360</v>
      </c>
      <c r="B35" s="27" t="s">
        <v>189</v>
      </c>
      <c r="C35" s="25"/>
      <c r="D35" s="19" t="s">
        <v>54</v>
      </c>
      <c r="E35" s="51">
        <f>1/2*100</f>
        <v>50</v>
      </c>
      <c r="F35" s="51">
        <f>2/2*100</f>
        <v>100</v>
      </c>
      <c r="G35" s="51">
        <f>3/2*100</f>
        <v>150</v>
      </c>
      <c r="W35" s="23"/>
      <c r="X35" s="23"/>
      <c r="Y35" s="23"/>
    </row>
    <row r="36" spans="1:25" x14ac:dyDescent="0.25">
      <c r="A36" s="40" t="s">
        <v>361</v>
      </c>
      <c r="B36" s="36" t="s">
        <v>190</v>
      </c>
      <c r="C36" s="25"/>
      <c r="D36" s="19"/>
      <c r="E36" s="51"/>
      <c r="F36" s="51"/>
      <c r="G36" s="51"/>
      <c r="W36" s="23"/>
      <c r="X36" s="23"/>
      <c r="Y36" s="23"/>
    </row>
    <row r="37" spans="1:25" x14ac:dyDescent="0.25">
      <c r="A37" s="41" t="s">
        <v>362</v>
      </c>
      <c r="B37" s="27" t="s">
        <v>191</v>
      </c>
      <c r="C37" s="25"/>
      <c r="D37" s="19" t="s">
        <v>54</v>
      </c>
      <c r="E37" s="51">
        <f>0.5/1*100</f>
        <v>50</v>
      </c>
      <c r="F37" s="51">
        <f>1/1*100</f>
        <v>100</v>
      </c>
      <c r="G37" s="51">
        <f>1.5/1*100</f>
        <v>150</v>
      </c>
      <c r="W37" s="23"/>
      <c r="X37" s="23"/>
      <c r="Y37" s="23"/>
    </row>
    <row r="38" spans="1:25" ht="22.5" x14ac:dyDescent="0.25">
      <c r="A38" s="41" t="s">
        <v>363</v>
      </c>
      <c r="B38" s="27" t="s">
        <v>192</v>
      </c>
      <c r="C38" s="25"/>
      <c r="D38" s="19" t="s">
        <v>54</v>
      </c>
      <c r="E38" s="51">
        <f>0.5/2*100</f>
        <v>25</v>
      </c>
      <c r="F38" s="51">
        <f>2/2*100</f>
        <v>100</v>
      </c>
      <c r="G38" s="51">
        <f>3.5/2*100</f>
        <v>175</v>
      </c>
      <c r="W38" s="23"/>
      <c r="X38" s="23"/>
      <c r="Y38" s="23"/>
    </row>
    <row r="39" spans="1:25" ht="22.5" x14ac:dyDescent="0.25">
      <c r="A39" s="41" t="s">
        <v>364</v>
      </c>
      <c r="B39" s="27" t="s">
        <v>193</v>
      </c>
      <c r="C39" s="25"/>
      <c r="D39" s="19" t="s">
        <v>54</v>
      </c>
      <c r="E39" s="51">
        <f>1/2*100</f>
        <v>50</v>
      </c>
      <c r="F39" s="51">
        <f>2/2*100</f>
        <v>100</v>
      </c>
      <c r="G39" s="51">
        <f>3/2*100</f>
        <v>150</v>
      </c>
      <c r="W39" s="23"/>
      <c r="X39" s="23"/>
      <c r="Y39" s="23"/>
    </row>
    <row r="40" spans="1:25" x14ac:dyDescent="0.25">
      <c r="A40" s="40" t="s">
        <v>365</v>
      </c>
      <c r="B40" s="36" t="s">
        <v>194</v>
      </c>
      <c r="C40" s="25"/>
      <c r="D40" s="19"/>
      <c r="E40" s="51"/>
      <c r="F40" s="51"/>
      <c r="G40" s="51"/>
      <c r="W40" s="23"/>
      <c r="X40" s="23"/>
      <c r="Y40" s="23"/>
    </row>
    <row r="41" spans="1:25" ht="22.5" x14ac:dyDescent="0.25">
      <c r="A41" s="41" t="s">
        <v>366</v>
      </c>
      <c r="B41" s="27" t="s">
        <v>195</v>
      </c>
      <c r="C41" s="25"/>
      <c r="D41" s="19" t="s">
        <v>54</v>
      </c>
      <c r="E41" s="51">
        <f t="shared" ref="E41:E46" si="0">0.5/1*100</f>
        <v>50</v>
      </c>
      <c r="F41" s="51">
        <f t="shared" ref="F41:F46" si="1">1/1*100</f>
        <v>100</v>
      </c>
      <c r="G41" s="51">
        <f>1.5/1*100</f>
        <v>150</v>
      </c>
      <c r="W41" s="23"/>
      <c r="X41" s="23"/>
      <c r="Y41" s="23"/>
    </row>
    <row r="42" spans="1:25" ht="22.5" x14ac:dyDescent="0.25">
      <c r="A42" s="41" t="s">
        <v>367</v>
      </c>
      <c r="B42" s="27" t="s">
        <v>196</v>
      </c>
      <c r="C42" s="25"/>
      <c r="D42" s="19" t="s">
        <v>54</v>
      </c>
      <c r="E42" s="51">
        <f t="shared" si="0"/>
        <v>50</v>
      </c>
      <c r="F42" s="51">
        <f t="shared" si="1"/>
        <v>100</v>
      </c>
      <c r="G42" s="51">
        <f>1.5/1*100</f>
        <v>150</v>
      </c>
      <c r="W42" s="23"/>
      <c r="X42" s="23"/>
      <c r="Y42" s="23"/>
    </row>
    <row r="43" spans="1:25" ht="22.5" x14ac:dyDescent="0.25">
      <c r="A43" s="41" t="s">
        <v>368</v>
      </c>
      <c r="B43" s="27" t="s">
        <v>197</v>
      </c>
      <c r="C43" s="25"/>
      <c r="D43" s="19" t="s">
        <v>57</v>
      </c>
      <c r="E43" s="51">
        <f t="shared" si="0"/>
        <v>50</v>
      </c>
      <c r="F43" s="51">
        <f t="shared" si="1"/>
        <v>100</v>
      </c>
      <c r="G43" s="51">
        <f>3/1*100</f>
        <v>300</v>
      </c>
      <c r="W43" s="23"/>
      <c r="X43" s="23"/>
      <c r="Y43" s="23"/>
    </row>
    <row r="44" spans="1:25" x14ac:dyDescent="0.25">
      <c r="A44" s="41" t="s">
        <v>369</v>
      </c>
      <c r="B44" s="27" t="s">
        <v>198</v>
      </c>
      <c r="C44" s="25"/>
      <c r="D44" s="19" t="s">
        <v>57</v>
      </c>
      <c r="E44" s="51">
        <f t="shared" si="0"/>
        <v>50</v>
      </c>
      <c r="F44" s="51">
        <f t="shared" si="1"/>
        <v>100</v>
      </c>
      <c r="G44" s="51">
        <f>4/1*100</f>
        <v>400</v>
      </c>
      <c r="W44" s="23"/>
      <c r="X44" s="23"/>
      <c r="Y44" s="23"/>
    </row>
    <row r="45" spans="1:25" ht="22.5" x14ac:dyDescent="0.25">
      <c r="A45" s="41" t="s">
        <v>370</v>
      </c>
      <c r="B45" s="27" t="s">
        <v>199</v>
      </c>
      <c r="C45" s="25"/>
      <c r="D45" s="19" t="s">
        <v>57</v>
      </c>
      <c r="E45" s="51">
        <f t="shared" si="0"/>
        <v>50</v>
      </c>
      <c r="F45" s="51">
        <f t="shared" si="1"/>
        <v>100</v>
      </c>
      <c r="G45" s="51">
        <f>5/1*100</f>
        <v>500</v>
      </c>
      <c r="W45" s="23"/>
      <c r="X45" s="23"/>
      <c r="Y45" s="23"/>
    </row>
    <row r="46" spans="1:25" ht="22.5" x14ac:dyDescent="0.25">
      <c r="A46" s="41" t="s">
        <v>371</v>
      </c>
      <c r="B46" s="27" t="s">
        <v>200</v>
      </c>
      <c r="C46" s="25"/>
      <c r="D46" s="19" t="s">
        <v>57</v>
      </c>
      <c r="E46" s="51">
        <f t="shared" si="0"/>
        <v>50</v>
      </c>
      <c r="F46" s="51">
        <f t="shared" si="1"/>
        <v>100</v>
      </c>
      <c r="G46" s="51">
        <f>6/1*100</f>
        <v>600</v>
      </c>
      <c r="W46" s="23"/>
      <c r="X46" s="23"/>
      <c r="Y46" s="23"/>
    </row>
    <row r="47" spans="1:25" x14ac:dyDescent="0.25">
      <c r="A47" s="40" t="s">
        <v>372</v>
      </c>
      <c r="B47" s="36" t="s">
        <v>201</v>
      </c>
      <c r="C47" s="25"/>
      <c r="D47" s="19"/>
      <c r="E47" s="51"/>
      <c r="F47" s="51"/>
      <c r="G47" s="51"/>
      <c r="W47" s="23"/>
      <c r="X47" s="23"/>
      <c r="Y47" s="23"/>
    </row>
    <row r="48" spans="1:25" x14ac:dyDescent="0.25">
      <c r="A48" s="40" t="s">
        <v>373</v>
      </c>
      <c r="B48" s="36" t="s">
        <v>190</v>
      </c>
      <c r="C48" s="25"/>
      <c r="D48" s="19"/>
      <c r="E48" s="51"/>
      <c r="F48" s="51"/>
      <c r="G48" s="51"/>
      <c r="W48" s="23"/>
      <c r="X48" s="23"/>
      <c r="Y48" s="23"/>
    </row>
    <row r="49" spans="1:25" x14ac:dyDescent="0.25">
      <c r="A49" s="41" t="s">
        <v>374</v>
      </c>
      <c r="B49" s="27" t="s">
        <v>202</v>
      </c>
      <c r="C49" s="25"/>
      <c r="D49" s="19" t="s">
        <v>56</v>
      </c>
      <c r="E49" s="51">
        <f>0.25/2*100</f>
        <v>12.5</v>
      </c>
      <c r="F49" s="51">
        <f>2/2*100</f>
        <v>100</v>
      </c>
      <c r="G49" s="51">
        <f>3.5/2*100</f>
        <v>175</v>
      </c>
      <c r="W49" s="23"/>
      <c r="X49" s="23"/>
      <c r="Y49" s="23"/>
    </row>
    <row r="50" spans="1:25" ht="22.5" x14ac:dyDescent="0.25">
      <c r="A50" s="41" t="s">
        <v>375</v>
      </c>
      <c r="B50" s="27" t="s">
        <v>203</v>
      </c>
      <c r="C50" s="25"/>
      <c r="D50" s="19" t="s">
        <v>57</v>
      </c>
      <c r="E50" s="51">
        <f>0.5/1*100</f>
        <v>50</v>
      </c>
      <c r="F50" s="51">
        <f>1/1*100</f>
        <v>100</v>
      </c>
      <c r="G50" s="51">
        <f>2.5/1*100</f>
        <v>250</v>
      </c>
      <c r="W50" s="23"/>
      <c r="X50" s="23"/>
      <c r="Y50" s="23"/>
    </row>
    <row r="51" spans="1:25" x14ac:dyDescent="0.25">
      <c r="A51" s="40" t="s">
        <v>376</v>
      </c>
      <c r="B51" s="36" t="s">
        <v>204</v>
      </c>
      <c r="C51" s="25"/>
      <c r="D51" s="19"/>
      <c r="E51" s="51"/>
      <c r="F51" s="51"/>
      <c r="G51" s="51"/>
      <c r="W51" s="23"/>
      <c r="X51" s="23"/>
      <c r="Y51" s="23"/>
    </row>
    <row r="52" spans="1:25" x14ac:dyDescent="0.25">
      <c r="A52" s="41" t="s">
        <v>377</v>
      </c>
      <c r="B52" s="27" t="s">
        <v>205</v>
      </c>
      <c r="C52" s="25"/>
      <c r="D52" s="19" t="s">
        <v>57</v>
      </c>
      <c r="E52" s="51">
        <f>4/6*100</f>
        <v>66.666666666666657</v>
      </c>
      <c r="F52" s="51">
        <f>6/6*100</f>
        <v>100</v>
      </c>
      <c r="G52" s="51">
        <f>1/6*1000</f>
        <v>166.66666666666666</v>
      </c>
      <c r="W52" s="23"/>
      <c r="X52" s="23"/>
      <c r="Y52" s="23"/>
    </row>
    <row r="53" spans="1:25" x14ac:dyDescent="0.25">
      <c r="A53" s="41" t="s">
        <v>378</v>
      </c>
      <c r="B53" s="27" t="s">
        <v>206</v>
      </c>
      <c r="C53" s="25"/>
      <c r="D53" s="19" t="s">
        <v>55</v>
      </c>
      <c r="E53" s="51">
        <f>0.5/1*100</f>
        <v>50</v>
      </c>
      <c r="F53" s="51">
        <f>1/1*100</f>
        <v>100</v>
      </c>
      <c r="G53" s="51">
        <f>1.5/1*100</f>
        <v>150</v>
      </c>
      <c r="W53" s="23"/>
      <c r="X53" s="23"/>
      <c r="Y53" s="23"/>
    </row>
    <row r="54" spans="1:25" x14ac:dyDescent="0.25">
      <c r="A54" s="41" t="s">
        <v>379</v>
      </c>
      <c r="B54" s="27" t="s">
        <v>207</v>
      </c>
      <c r="C54" s="25"/>
      <c r="D54" s="19" t="s">
        <v>57</v>
      </c>
      <c r="E54" s="51">
        <f>2/5*100</f>
        <v>40</v>
      </c>
      <c r="F54" s="51">
        <f>5/5*100</f>
        <v>100</v>
      </c>
      <c r="G54" s="51">
        <f>10/5*100</f>
        <v>200</v>
      </c>
      <c r="W54" s="23"/>
      <c r="X54" s="23"/>
      <c r="Y54" s="23"/>
    </row>
    <row r="55" spans="1:25" x14ac:dyDescent="0.25">
      <c r="A55" s="41" t="s">
        <v>380</v>
      </c>
      <c r="B55" s="27" t="s">
        <v>208</v>
      </c>
      <c r="C55" s="25"/>
      <c r="D55" s="19" t="s">
        <v>54</v>
      </c>
      <c r="E55" s="51">
        <f>0.5/1*100</f>
        <v>50</v>
      </c>
      <c r="F55" s="51">
        <f>1/1*100</f>
        <v>100</v>
      </c>
      <c r="G55" s="51">
        <f>1.5/1*100</f>
        <v>150</v>
      </c>
      <c r="W55" s="23"/>
      <c r="X55" s="23"/>
      <c r="Y55" s="23"/>
    </row>
    <row r="56" spans="1:25" x14ac:dyDescent="0.25">
      <c r="A56" s="41" t="s">
        <v>381</v>
      </c>
      <c r="B56" s="27" t="s">
        <v>209</v>
      </c>
      <c r="C56" s="25"/>
      <c r="D56" s="19" t="s">
        <v>54</v>
      </c>
      <c r="E56" s="51">
        <f>0.5/1*100</f>
        <v>50</v>
      </c>
      <c r="F56" s="51">
        <f>1/1*100</f>
        <v>100</v>
      </c>
      <c r="G56" s="51">
        <f>1.5/1*100</f>
        <v>150</v>
      </c>
      <c r="W56" s="23"/>
      <c r="X56" s="23"/>
      <c r="Y56" s="23"/>
    </row>
    <row r="57" spans="1:25" x14ac:dyDescent="0.25">
      <c r="A57" s="41" t="s">
        <v>382</v>
      </c>
      <c r="B57" s="27" t="s">
        <v>210</v>
      </c>
      <c r="C57" s="25"/>
      <c r="D57" s="19" t="s">
        <v>54</v>
      </c>
      <c r="E57" s="51">
        <f>0.5/1*100</f>
        <v>50</v>
      </c>
      <c r="F57" s="51">
        <f>1/1*100</f>
        <v>100</v>
      </c>
      <c r="G57" s="51">
        <f>1.5/1*100</f>
        <v>150</v>
      </c>
      <c r="W57" s="23"/>
      <c r="X57" s="23"/>
      <c r="Y57" s="23"/>
    </row>
    <row r="58" spans="1:25" ht="22.5" x14ac:dyDescent="0.25">
      <c r="A58" s="41" t="s">
        <v>383</v>
      </c>
      <c r="B58" s="27" t="s">
        <v>211</v>
      </c>
      <c r="C58" s="25"/>
      <c r="D58" s="19" t="s">
        <v>56</v>
      </c>
      <c r="E58" s="51">
        <f>0.25/1*100</f>
        <v>25</v>
      </c>
      <c r="F58" s="51">
        <f>1/1*100</f>
        <v>100</v>
      </c>
      <c r="G58" s="51">
        <f>1.5/1*100</f>
        <v>150</v>
      </c>
      <c r="W58" s="23"/>
      <c r="X58" s="23"/>
      <c r="Y58" s="23"/>
    </row>
    <row r="59" spans="1:25" x14ac:dyDescent="0.25">
      <c r="A59" s="41" t="s">
        <v>384</v>
      </c>
      <c r="B59" s="27" t="s">
        <v>212</v>
      </c>
      <c r="C59" s="25"/>
      <c r="D59" s="19" t="s">
        <v>56</v>
      </c>
      <c r="E59" s="51">
        <f>0.25/2*100</f>
        <v>12.5</v>
      </c>
      <c r="F59" s="51">
        <f>2/2*100</f>
        <v>100</v>
      </c>
      <c r="G59" s="51">
        <f>3.5/2*100</f>
        <v>175</v>
      </c>
      <c r="W59" s="23"/>
      <c r="X59" s="23"/>
      <c r="Y59" s="23"/>
    </row>
    <row r="60" spans="1:25" x14ac:dyDescent="0.25">
      <c r="A60" s="40" t="s">
        <v>385</v>
      </c>
      <c r="B60" s="36" t="s">
        <v>213</v>
      </c>
      <c r="C60" s="25"/>
      <c r="D60" s="19"/>
      <c r="E60" s="51"/>
      <c r="F60" s="51"/>
      <c r="G60" s="51"/>
      <c r="W60" s="23"/>
      <c r="X60" s="23"/>
      <c r="Y60" s="23"/>
    </row>
    <row r="61" spans="1:25" x14ac:dyDescent="0.25">
      <c r="A61" s="41" t="s">
        <v>386</v>
      </c>
      <c r="B61" s="27" t="s">
        <v>214</v>
      </c>
      <c r="C61" s="25"/>
      <c r="D61" s="19" t="s">
        <v>56</v>
      </c>
      <c r="E61" s="51">
        <f>0.2/2*100</f>
        <v>10</v>
      </c>
      <c r="F61" s="51">
        <f>2/2*100</f>
        <v>100</v>
      </c>
      <c r="G61" s="51">
        <f>3/2*100</f>
        <v>150</v>
      </c>
      <c r="W61" s="23"/>
      <c r="X61" s="23"/>
      <c r="Y61" s="23"/>
    </row>
    <row r="62" spans="1:25" x14ac:dyDescent="0.25">
      <c r="A62" s="40" t="s">
        <v>387</v>
      </c>
      <c r="B62" s="36" t="s">
        <v>215</v>
      </c>
      <c r="C62" s="25"/>
      <c r="D62" s="19"/>
      <c r="E62" s="51"/>
      <c r="F62" s="51"/>
      <c r="G62" s="51"/>
      <c r="W62" s="23"/>
      <c r="X62" s="23"/>
      <c r="Y62" s="23"/>
    </row>
    <row r="63" spans="1:25" x14ac:dyDescent="0.25">
      <c r="A63" s="41" t="s">
        <v>388</v>
      </c>
      <c r="B63" s="27" t="s">
        <v>216</v>
      </c>
      <c r="C63" s="25"/>
      <c r="D63" s="19" t="s">
        <v>56</v>
      </c>
      <c r="E63" s="51">
        <f>0.25/2*100</f>
        <v>12.5</v>
      </c>
      <c r="F63" s="51">
        <f>2/2*100</f>
        <v>100</v>
      </c>
      <c r="G63" s="51">
        <f>3/2*100</f>
        <v>150</v>
      </c>
      <c r="W63" s="23"/>
      <c r="X63" s="23"/>
      <c r="Y63" s="23"/>
    </row>
    <row r="64" spans="1:25" x14ac:dyDescent="0.25">
      <c r="A64" s="41" t="s">
        <v>389</v>
      </c>
      <c r="B64" s="27" t="s">
        <v>217</v>
      </c>
      <c r="C64" s="25"/>
      <c r="D64" s="19" t="s">
        <v>54</v>
      </c>
      <c r="E64" s="51">
        <f>0.5/1*100</f>
        <v>50</v>
      </c>
      <c r="F64" s="51">
        <f>1/1*100</f>
        <v>100</v>
      </c>
      <c r="G64" s="51">
        <f>1.5/1*100</f>
        <v>150</v>
      </c>
      <c r="W64" s="23"/>
      <c r="X64" s="23"/>
      <c r="Y64" s="23"/>
    </row>
    <row r="65" spans="1:25" x14ac:dyDescent="0.25">
      <c r="A65" s="41" t="s">
        <v>390</v>
      </c>
      <c r="B65" s="27" t="s">
        <v>218</v>
      </c>
      <c r="C65" s="25"/>
      <c r="D65" s="19" t="s">
        <v>56</v>
      </c>
      <c r="E65" s="51">
        <f>1/5*100</f>
        <v>20</v>
      </c>
      <c r="F65" s="51">
        <f>5/5*100</f>
        <v>100</v>
      </c>
      <c r="G65" s="51">
        <f>6/5*100</f>
        <v>120</v>
      </c>
      <c r="W65" s="23"/>
      <c r="X65" s="23"/>
      <c r="Y65" s="23"/>
    </row>
    <row r="66" spans="1:25" x14ac:dyDescent="0.25">
      <c r="A66" s="41" t="s">
        <v>391</v>
      </c>
      <c r="B66" s="27" t="s">
        <v>219</v>
      </c>
      <c r="C66" s="25"/>
      <c r="D66" s="19" t="s">
        <v>54</v>
      </c>
      <c r="E66" s="51">
        <f>0.5/1*100</f>
        <v>50</v>
      </c>
      <c r="F66" s="51">
        <f>1/1*100</f>
        <v>100</v>
      </c>
      <c r="G66" s="51">
        <f>1.5/1*100</f>
        <v>150</v>
      </c>
      <c r="W66" s="23"/>
      <c r="X66" s="23"/>
      <c r="Y66" s="23"/>
    </row>
    <row r="67" spans="1:25" x14ac:dyDescent="0.25">
      <c r="A67" s="41" t="s">
        <v>392</v>
      </c>
      <c r="B67" s="27" t="s">
        <v>220</v>
      </c>
      <c r="C67" s="25"/>
      <c r="D67" s="19" t="s">
        <v>54</v>
      </c>
      <c r="E67" s="51">
        <f>0.25/1*100</f>
        <v>25</v>
      </c>
      <c r="F67" s="51">
        <f>1/1*100</f>
        <v>100</v>
      </c>
      <c r="G67" s="51">
        <f>1.75/1*100</f>
        <v>175</v>
      </c>
      <c r="W67" s="23"/>
      <c r="X67" s="23"/>
      <c r="Y67" s="23"/>
    </row>
    <row r="68" spans="1:25" x14ac:dyDescent="0.25">
      <c r="A68" s="40" t="s">
        <v>393</v>
      </c>
      <c r="B68" s="36" t="s">
        <v>221</v>
      </c>
      <c r="C68" s="25"/>
      <c r="D68" s="19"/>
      <c r="E68" s="51"/>
      <c r="F68" s="51"/>
      <c r="G68" s="51"/>
      <c r="W68" s="23"/>
      <c r="X68" s="23"/>
      <c r="Y68" s="23"/>
    </row>
    <row r="69" spans="1:25" ht="22.5" x14ac:dyDescent="0.25">
      <c r="A69" s="41" t="s">
        <v>394</v>
      </c>
      <c r="B69" s="27" t="s">
        <v>222</v>
      </c>
      <c r="C69" s="25"/>
      <c r="D69" s="19" t="s">
        <v>54</v>
      </c>
      <c r="E69" s="51">
        <f>5/7*100</f>
        <v>71.428571428571431</v>
      </c>
      <c r="F69" s="51">
        <f>7/7*100</f>
        <v>100</v>
      </c>
      <c r="G69" s="51">
        <f>9/7*100</f>
        <v>128.57142857142858</v>
      </c>
      <c r="W69" s="23"/>
      <c r="X69" s="23"/>
      <c r="Y69" s="23"/>
    </row>
    <row r="70" spans="1:25" x14ac:dyDescent="0.25">
      <c r="A70" s="40" t="s">
        <v>395</v>
      </c>
      <c r="B70" s="36" t="s">
        <v>223</v>
      </c>
      <c r="C70" s="25"/>
      <c r="D70" s="19"/>
      <c r="E70" s="51"/>
      <c r="F70" s="51"/>
      <c r="G70" s="51"/>
      <c r="W70" s="23"/>
      <c r="X70" s="23"/>
      <c r="Y70" s="23"/>
    </row>
    <row r="71" spans="1:25" ht="22.5" x14ac:dyDescent="0.25">
      <c r="A71" s="41" t="s">
        <v>396</v>
      </c>
      <c r="B71" s="27" t="s">
        <v>224</v>
      </c>
      <c r="C71" s="25"/>
      <c r="D71" s="19" t="s">
        <v>54</v>
      </c>
      <c r="E71" s="51">
        <f>1/3*100</f>
        <v>33.333333333333329</v>
      </c>
      <c r="F71" s="51">
        <f>3/3*100</f>
        <v>100</v>
      </c>
      <c r="G71" s="51">
        <f>5/3*100</f>
        <v>166.66666666666669</v>
      </c>
      <c r="W71" s="23"/>
      <c r="X71" s="23"/>
      <c r="Y71" s="23"/>
    </row>
    <row r="72" spans="1:25" ht="22.5" x14ac:dyDescent="0.25">
      <c r="A72" s="41" t="s">
        <v>397</v>
      </c>
      <c r="B72" s="27" t="s">
        <v>225</v>
      </c>
      <c r="C72" s="25"/>
      <c r="D72" s="19" t="s">
        <v>54</v>
      </c>
      <c r="E72" s="51">
        <f>1/2*100</f>
        <v>50</v>
      </c>
      <c r="F72" s="51">
        <f>2/2*100</f>
        <v>100</v>
      </c>
      <c r="G72" s="51">
        <f>3/2*100</f>
        <v>150</v>
      </c>
      <c r="W72" s="23"/>
      <c r="X72" s="23"/>
      <c r="Y72" s="23"/>
    </row>
    <row r="73" spans="1:25" x14ac:dyDescent="0.25">
      <c r="A73" s="41" t="s">
        <v>398</v>
      </c>
      <c r="B73" s="27" t="s">
        <v>226</v>
      </c>
      <c r="C73" s="25"/>
      <c r="D73" s="19" t="s">
        <v>56</v>
      </c>
      <c r="E73" s="51">
        <f>0.25/1*100</f>
        <v>25</v>
      </c>
      <c r="F73" s="51">
        <f>1/1*100</f>
        <v>100</v>
      </c>
      <c r="G73" s="51">
        <f>1.5/1*100</f>
        <v>150</v>
      </c>
      <c r="W73" s="23"/>
      <c r="X73" s="23"/>
      <c r="Y73" s="23"/>
    </row>
    <row r="74" spans="1:25" x14ac:dyDescent="0.25">
      <c r="A74" s="41" t="s">
        <v>399</v>
      </c>
      <c r="B74" s="27" t="s">
        <v>227</v>
      </c>
      <c r="C74" s="25"/>
      <c r="D74" s="19" t="s">
        <v>56</v>
      </c>
      <c r="E74" s="51">
        <f>0.25/2*100</f>
        <v>12.5</v>
      </c>
      <c r="F74" s="51">
        <f>2/2*100</f>
        <v>100</v>
      </c>
      <c r="G74" s="51">
        <f>2.5/2*100</f>
        <v>125</v>
      </c>
      <c r="W74" s="23"/>
      <c r="X74" s="23"/>
      <c r="Y74" s="23"/>
    </row>
    <row r="75" spans="1:25" x14ac:dyDescent="0.25">
      <c r="A75" s="41" t="s">
        <v>400</v>
      </c>
      <c r="B75" s="27" t="s">
        <v>228</v>
      </c>
      <c r="C75" s="25"/>
      <c r="D75" s="19" t="s">
        <v>56</v>
      </c>
      <c r="E75" s="51">
        <f>0.25/1*100</f>
        <v>25</v>
      </c>
      <c r="F75" s="51">
        <f>1/1*100</f>
        <v>100</v>
      </c>
      <c r="G75" s="51">
        <f>1.5/1*100</f>
        <v>150</v>
      </c>
      <c r="W75" s="23"/>
      <c r="X75" s="23"/>
      <c r="Y75" s="23"/>
    </row>
    <row r="76" spans="1:25" x14ac:dyDescent="0.25">
      <c r="A76" s="41" t="s">
        <v>401</v>
      </c>
      <c r="B76" s="27" t="s">
        <v>229</v>
      </c>
      <c r="C76" s="25"/>
      <c r="D76" s="19" t="s">
        <v>54</v>
      </c>
      <c r="E76" s="51">
        <f>1/4*100</f>
        <v>25</v>
      </c>
      <c r="F76" s="51">
        <f>4/4*100</f>
        <v>100</v>
      </c>
      <c r="G76" s="51">
        <f>7/4*100</f>
        <v>175</v>
      </c>
      <c r="W76" s="23"/>
      <c r="X76" s="23"/>
      <c r="Y76" s="23"/>
    </row>
    <row r="77" spans="1:25" x14ac:dyDescent="0.25">
      <c r="A77" s="41" t="s">
        <v>402</v>
      </c>
      <c r="B77" s="27" t="s">
        <v>230</v>
      </c>
      <c r="C77" s="25"/>
      <c r="D77" s="19" t="s">
        <v>54</v>
      </c>
      <c r="E77" s="51">
        <f>1/3*100</f>
        <v>33.333333333333329</v>
      </c>
      <c r="F77" s="51">
        <f>3/3*100</f>
        <v>100</v>
      </c>
      <c r="G77" s="51">
        <f>5/3*100</f>
        <v>166.66666666666669</v>
      </c>
      <c r="W77" s="23"/>
      <c r="X77" s="23"/>
      <c r="Y77" s="23"/>
    </row>
    <row r="78" spans="1:25" x14ac:dyDescent="0.25">
      <c r="A78" s="41" t="s">
        <v>403</v>
      </c>
      <c r="B78" s="27" t="s">
        <v>231</v>
      </c>
      <c r="C78" s="25"/>
      <c r="D78" s="19" t="s">
        <v>54</v>
      </c>
      <c r="E78" s="51">
        <f>0.25/1*100</f>
        <v>25</v>
      </c>
      <c r="F78" s="51">
        <f>1/1*100</f>
        <v>100</v>
      </c>
      <c r="G78" s="51">
        <f>1.75/1*100</f>
        <v>175</v>
      </c>
      <c r="W78" s="23"/>
      <c r="X78" s="23"/>
      <c r="Y78" s="23"/>
    </row>
    <row r="79" spans="1:25" ht="22.5" x14ac:dyDescent="0.25">
      <c r="A79" s="41" t="s">
        <v>404</v>
      </c>
      <c r="B79" s="27" t="s">
        <v>232</v>
      </c>
      <c r="C79" s="25"/>
      <c r="D79" s="19" t="s">
        <v>54</v>
      </c>
      <c r="E79" s="51">
        <f>0.1/1*100</f>
        <v>10</v>
      </c>
      <c r="F79" s="51">
        <f>1/1*100</f>
        <v>100</v>
      </c>
      <c r="G79" s="51">
        <f>1.9/1*100</f>
        <v>190</v>
      </c>
      <c r="W79" s="23"/>
      <c r="X79" s="23"/>
      <c r="Y79" s="23"/>
    </row>
    <row r="80" spans="1:25" x14ac:dyDescent="0.25">
      <c r="A80" s="40" t="s">
        <v>405</v>
      </c>
      <c r="B80" s="36" t="s">
        <v>233</v>
      </c>
      <c r="C80" s="25"/>
      <c r="D80" s="19"/>
      <c r="E80" s="51"/>
      <c r="F80" s="51"/>
      <c r="G80" s="51"/>
      <c r="W80" s="23"/>
      <c r="X80" s="23"/>
      <c r="Y80" s="23"/>
    </row>
    <row r="81" spans="1:25" x14ac:dyDescent="0.25">
      <c r="A81" s="41" t="s">
        <v>406</v>
      </c>
      <c r="B81" s="27" t="s">
        <v>234</v>
      </c>
      <c r="C81" s="25"/>
      <c r="D81" s="19" t="s">
        <v>54</v>
      </c>
      <c r="E81" s="51">
        <f>1/2*100</f>
        <v>50</v>
      </c>
      <c r="F81" s="51">
        <f>2/2*100</f>
        <v>100</v>
      </c>
      <c r="G81" s="51">
        <f>3/2*100</f>
        <v>150</v>
      </c>
      <c r="W81" s="23"/>
      <c r="X81" s="23"/>
      <c r="Y81" s="23"/>
    </row>
    <row r="82" spans="1:25" x14ac:dyDescent="0.25">
      <c r="A82" s="40" t="s">
        <v>407</v>
      </c>
      <c r="B82" s="36" t="s">
        <v>38</v>
      </c>
      <c r="C82" s="25"/>
      <c r="D82" s="19"/>
      <c r="E82" s="51"/>
      <c r="F82" s="51"/>
      <c r="G82" s="51"/>
      <c r="W82" s="23"/>
      <c r="X82" s="23"/>
      <c r="Y82" s="23"/>
    </row>
    <row r="83" spans="1:25" x14ac:dyDescent="0.25">
      <c r="A83" s="41" t="s">
        <v>408</v>
      </c>
      <c r="B83" s="27" t="s">
        <v>130</v>
      </c>
      <c r="C83" s="25"/>
      <c r="D83" s="19" t="s">
        <v>54</v>
      </c>
      <c r="E83" s="51">
        <f>0.1/1*100</f>
        <v>10</v>
      </c>
      <c r="F83" s="51">
        <f>1/1*100</f>
        <v>100</v>
      </c>
      <c r="G83" s="51">
        <f>1.9/1*100</f>
        <v>190</v>
      </c>
      <c r="W83" s="23"/>
      <c r="X83" s="23"/>
      <c r="Y83" s="23"/>
    </row>
    <row r="84" spans="1:25" x14ac:dyDescent="0.25">
      <c r="A84" s="40" t="s">
        <v>409</v>
      </c>
      <c r="B84" s="36" t="s">
        <v>235</v>
      </c>
      <c r="C84" s="25"/>
      <c r="D84" s="19"/>
      <c r="E84" s="51"/>
      <c r="F84" s="51"/>
      <c r="G84" s="51"/>
      <c r="W84" s="23"/>
      <c r="X84" s="23"/>
      <c r="Y84" s="23"/>
    </row>
    <row r="85" spans="1:25" x14ac:dyDescent="0.25">
      <c r="A85" s="40" t="s">
        <v>410</v>
      </c>
      <c r="B85" s="36" t="s">
        <v>236</v>
      </c>
      <c r="C85" s="25"/>
      <c r="D85" s="19"/>
      <c r="E85" s="51"/>
      <c r="F85" s="51"/>
      <c r="G85" s="51"/>
      <c r="W85" s="23"/>
      <c r="X85" s="23"/>
      <c r="Y85" s="23"/>
    </row>
    <row r="86" spans="1:25" x14ac:dyDescent="0.25">
      <c r="A86" s="41" t="s">
        <v>411</v>
      </c>
      <c r="B86" s="27" t="s">
        <v>237</v>
      </c>
      <c r="C86" s="25"/>
      <c r="D86" s="19" t="s">
        <v>54</v>
      </c>
      <c r="E86" s="51">
        <f>0.5/1*100</f>
        <v>50</v>
      </c>
      <c r="F86" s="51">
        <f>1/1*100</f>
        <v>100</v>
      </c>
      <c r="G86" s="51">
        <f>1.5/1*100</f>
        <v>150</v>
      </c>
      <c r="W86" s="23"/>
      <c r="X86" s="23"/>
      <c r="Y86" s="23"/>
    </row>
    <row r="87" spans="1:25" x14ac:dyDescent="0.25">
      <c r="A87" s="41" t="s">
        <v>412</v>
      </c>
      <c r="B87" s="27" t="s">
        <v>238</v>
      </c>
      <c r="C87" s="25"/>
      <c r="D87" s="19" t="s">
        <v>54</v>
      </c>
      <c r="E87" s="51">
        <f>0.5/1*100</f>
        <v>50</v>
      </c>
      <c r="F87" s="51">
        <f>1/1*100</f>
        <v>100</v>
      </c>
      <c r="G87" s="51">
        <f>1.5/1*100</f>
        <v>150</v>
      </c>
      <c r="W87" s="23"/>
      <c r="X87" s="23"/>
      <c r="Y87" s="23"/>
    </row>
    <row r="88" spans="1:25" x14ac:dyDescent="0.25">
      <c r="A88" s="41" t="s">
        <v>413</v>
      </c>
      <c r="B88" s="27" t="s">
        <v>239</v>
      </c>
      <c r="C88" s="25"/>
      <c r="D88" s="19" t="s">
        <v>54</v>
      </c>
      <c r="E88" s="51">
        <f>4/7*100</f>
        <v>57.142857142857139</v>
      </c>
      <c r="F88" s="51">
        <f>7/7*100</f>
        <v>100</v>
      </c>
      <c r="G88" s="51">
        <f>10/7*100</f>
        <v>142.85714285714286</v>
      </c>
      <c r="W88" s="23"/>
      <c r="X88" s="23"/>
      <c r="Y88" s="23"/>
    </row>
    <row r="89" spans="1:25" x14ac:dyDescent="0.25">
      <c r="A89" s="40" t="s">
        <v>414</v>
      </c>
      <c r="B89" s="36" t="s">
        <v>129</v>
      </c>
      <c r="C89" s="25"/>
      <c r="D89" s="19"/>
      <c r="E89" s="51"/>
      <c r="F89" s="51"/>
      <c r="G89" s="51"/>
      <c r="W89" s="23"/>
      <c r="X89" s="23"/>
      <c r="Y89" s="23"/>
    </row>
    <row r="90" spans="1:25" ht="33.75" x14ac:dyDescent="0.25">
      <c r="A90" s="41" t="s">
        <v>415</v>
      </c>
      <c r="B90" s="27" t="s">
        <v>240</v>
      </c>
      <c r="C90" s="25"/>
      <c r="D90" s="19" t="s">
        <v>56</v>
      </c>
      <c r="E90" s="51">
        <f>2/10*100</f>
        <v>20</v>
      </c>
      <c r="F90" s="51">
        <f>10/10*100</f>
        <v>100</v>
      </c>
      <c r="G90" s="51">
        <f>15/10*100</f>
        <v>150</v>
      </c>
      <c r="W90" s="23"/>
      <c r="X90" s="23"/>
      <c r="Y90" s="23"/>
    </row>
    <row r="91" spans="1:25" ht="22.5" x14ac:dyDescent="0.25">
      <c r="A91" s="41" t="s">
        <v>416</v>
      </c>
      <c r="B91" s="27" t="s">
        <v>241</v>
      </c>
      <c r="C91" s="25"/>
      <c r="D91" s="19" t="s">
        <v>54</v>
      </c>
      <c r="E91" s="51">
        <f>0.1/1*100</f>
        <v>10</v>
      </c>
      <c r="F91" s="51">
        <f>1/1*100</f>
        <v>100</v>
      </c>
      <c r="G91" s="51">
        <f>1.9/1*100</f>
        <v>190</v>
      </c>
      <c r="W91" s="23"/>
      <c r="X91" s="23"/>
      <c r="Y91" s="23"/>
    </row>
    <row r="92" spans="1:25" x14ac:dyDescent="0.25">
      <c r="A92" s="41" t="s">
        <v>417</v>
      </c>
      <c r="B92" s="27" t="s">
        <v>242</v>
      </c>
      <c r="C92" s="25"/>
      <c r="D92" s="19" t="s">
        <v>54</v>
      </c>
      <c r="E92" s="51">
        <f>0.5/1*100</f>
        <v>50</v>
      </c>
      <c r="F92" s="51">
        <f>1/1*100</f>
        <v>100</v>
      </c>
      <c r="G92" s="51">
        <f>1.5/1*100</f>
        <v>150</v>
      </c>
      <c r="W92" s="23"/>
      <c r="X92" s="23"/>
      <c r="Y92" s="23"/>
    </row>
    <row r="93" spans="1:25" x14ac:dyDescent="0.25">
      <c r="A93" s="40" t="s">
        <v>418</v>
      </c>
      <c r="B93" s="36" t="s">
        <v>243</v>
      </c>
      <c r="C93" s="25"/>
      <c r="D93" s="19"/>
      <c r="E93" s="52"/>
      <c r="F93" s="52"/>
      <c r="G93" s="52"/>
      <c r="W93" s="23"/>
      <c r="X93" s="23"/>
      <c r="Y93" s="23"/>
    </row>
    <row r="94" spans="1:25" x14ac:dyDescent="0.25">
      <c r="A94" s="40" t="s">
        <v>419</v>
      </c>
      <c r="B94" s="36" t="s">
        <v>244</v>
      </c>
      <c r="C94" s="25"/>
      <c r="D94" s="19"/>
      <c r="E94" s="52"/>
      <c r="F94" s="52"/>
      <c r="G94" s="52"/>
      <c r="W94" s="23"/>
      <c r="X94" s="23"/>
      <c r="Y94" s="23"/>
    </row>
    <row r="95" spans="1:25" x14ac:dyDescent="0.25">
      <c r="A95" s="41" t="s">
        <v>420</v>
      </c>
      <c r="B95" s="27" t="s">
        <v>245</v>
      </c>
      <c r="C95" s="25"/>
      <c r="D95" s="19" t="s">
        <v>54</v>
      </c>
      <c r="E95" s="51">
        <f>1/2*100</f>
        <v>50</v>
      </c>
      <c r="F95" s="51">
        <f>2/2*100</f>
        <v>100</v>
      </c>
      <c r="G95" s="51">
        <f>3/2*100</f>
        <v>150</v>
      </c>
      <c r="W95" s="23"/>
      <c r="X95" s="23"/>
      <c r="Y95" s="23"/>
    </row>
    <row r="96" spans="1:25" x14ac:dyDescent="0.25">
      <c r="A96" s="41" t="s">
        <v>421</v>
      </c>
      <c r="B96" s="27" t="s">
        <v>246</v>
      </c>
      <c r="C96" s="25"/>
      <c r="D96" s="19" t="s">
        <v>57</v>
      </c>
      <c r="E96" s="51">
        <f>0.5/1*100</f>
        <v>50</v>
      </c>
      <c r="F96" s="51">
        <f>1/1*100</f>
        <v>100</v>
      </c>
      <c r="G96" s="51">
        <f>3.5/1*100</f>
        <v>350</v>
      </c>
      <c r="W96" s="23"/>
      <c r="X96" s="23"/>
      <c r="Y96" s="23"/>
    </row>
    <row r="97" spans="1:25" x14ac:dyDescent="0.25">
      <c r="A97" s="41" t="s">
        <v>422</v>
      </c>
      <c r="B97" s="27" t="s">
        <v>247</v>
      </c>
      <c r="C97" s="25"/>
      <c r="D97" s="19" t="s">
        <v>54</v>
      </c>
      <c r="E97" s="51">
        <f>0.5/1*100</f>
        <v>50</v>
      </c>
      <c r="F97" s="51">
        <f>1/1*100</f>
        <v>100</v>
      </c>
      <c r="G97" s="51">
        <f>1.5/1*100</f>
        <v>150</v>
      </c>
      <c r="W97" s="23"/>
      <c r="X97" s="23"/>
      <c r="Y97" s="23"/>
    </row>
    <row r="98" spans="1:25" x14ac:dyDescent="0.25">
      <c r="A98" s="41" t="s">
        <v>423</v>
      </c>
      <c r="B98" s="27" t="s">
        <v>248</v>
      </c>
      <c r="C98" s="25"/>
      <c r="D98" s="19" t="s">
        <v>54</v>
      </c>
      <c r="E98" s="51">
        <f>0.5/1*100</f>
        <v>50</v>
      </c>
      <c r="F98" s="51">
        <f>1/1*100</f>
        <v>100</v>
      </c>
      <c r="G98" s="51">
        <f>1.5/1*100</f>
        <v>150</v>
      </c>
      <c r="W98" s="23"/>
      <c r="X98" s="23"/>
      <c r="Y98" s="23"/>
    </row>
    <row r="99" spans="1:25" x14ac:dyDescent="0.25">
      <c r="A99" s="40" t="s">
        <v>424</v>
      </c>
      <c r="B99" s="36" t="s">
        <v>249</v>
      </c>
      <c r="C99" s="25"/>
      <c r="D99" s="19"/>
      <c r="E99" s="51"/>
      <c r="F99" s="51"/>
      <c r="G99" s="51"/>
    </row>
    <row r="100" spans="1:25" x14ac:dyDescent="0.25">
      <c r="A100" s="40" t="s">
        <v>425</v>
      </c>
      <c r="B100" s="36" t="s">
        <v>250</v>
      </c>
      <c r="C100" s="25"/>
      <c r="D100" s="19"/>
      <c r="E100" s="51"/>
      <c r="F100" s="51"/>
      <c r="G100" s="51"/>
    </row>
    <row r="101" spans="1:25" x14ac:dyDescent="0.25">
      <c r="A101" s="41" t="s">
        <v>426</v>
      </c>
      <c r="B101" s="27" t="s">
        <v>251</v>
      </c>
      <c r="C101" s="25"/>
      <c r="D101" s="19" t="s">
        <v>54</v>
      </c>
      <c r="E101" s="51">
        <f>0.5/1*100</f>
        <v>50</v>
      </c>
      <c r="F101" s="51">
        <f>1/1*100</f>
        <v>100</v>
      </c>
      <c r="G101" s="51">
        <f>1.5/1*100</f>
        <v>150</v>
      </c>
    </row>
    <row r="102" spans="1:25" x14ac:dyDescent="0.25">
      <c r="A102" s="41" t="s">
        <v>427</v>
      </c>
      <c r="B102" s="27" t="s">
        <v>252</v>
      </c>
      <c r="C102" s="25"/>
      <c r="D102" s="19" t="s">
        <v>57</v>
      </c>
      <c r="E102" s="51">
        <f>0.5/1*100</f>
        <v>50</v>
      </c>
      <c r="F102" s="51">
        <f>1/1*100</f>
        <v>100</v>
      </c>
      <c r="G102" s="51">
        <f>3/1*100</f>
        <v>300</v>
      </c>
    </row>
    <row r="103" spans="1:25" x14ac:dyDescent="0.25">
      <c r="A103" s="40" t="s">
        <v>428</v>
      </c>
      <c r="B103" s="36" t="s">
        <v>253</v>
      </c>
      <c r="C103" s="25"/>
      <c r="D103" s="19"/>
      <c r="E103" s="51"/>
      <c r="F103" s="51"/>
      <c r="G103" s="51"/>
    </row>
    <row r="104" spans="1:25" x14ac:dyDescent="0.25">
      <c r="A104" s="41" t="s">
        <v>429</v>
      </c>
      <c r="B104" s="27" t="s">
        <v>254</v>
      </c>
      <c r="C104" s="25"/>
      <c r="D104" s="19" t="s">
        <v>54</v>
      </c>
      <c r="E104" s="51">
        <f>0.25/1*100</f>
        <v>25</v>
      </c>
      <c r="F104" s="51">
        <f>1/1*100</f>
        <v>100</v>
      </c>
      <c r="G104" s="51">
        <f>1.75/1*100</f>
        <v>175</v>
      </c>
    </row>
    <row r="105" spans="1:25" x14ac:dyDescent="0.25">
      <c r="A105" s="41" t="s">
        <v>430</v>
      </c>
      <c r="B105" s="27" t="s">
        <v>255</v>
      </c>
      <c r="C105" s="25"/>
      <c r="D105" s="19" t="s">
        <v>55</v>
      </c>
      <c r="E105" s="51">
        <f>0.5/1*100</f>
        <v>50</v>
      </c>
      <c r="F105" s="51">
        <f>1/1*100</f>
        <v>100</v>
      </c>
      <c r="G105" s="51">
        <f>1.5/1*100</f>
        <v>150</v>
      </c>
    </row>
    <row r="106" spans="1:25" x14ac:dyDescent="0.25">
      <c r="A106" s="41" t="s">
        <v>431</v>
      </c>
      <c r="B106" s="27" t="s">
        <v>256</v>
      </c>
      <c r="C106" s="25"/>
      <c r="D106" s="19" t="s">
        <v>54</v>
      </c>
      <c r="E106" s="51">
        <f>0.5/1*100</f>
        <v>50</v>
      </c>
      <c r="F106" s="51">
        <f>1/1*100</f>
        <v>100</v>
      </c>
      <c r="G106" s="51">
        <f>1.5/1*100</f>
        <v>150</v>
      </c>
    </row>
    <row r="107" spans="1:25" x14ac:dyDescent="0.25">
      <c r="A107" s="40" t="s">
        <v>432</v>
      </c>
      <c r="B107" s="36" t="s">
        <v>257</v>
      </c>
      <c r="C107" s="25"/>
      <c r="D107" s="19"/>
      <c r="E107" s="51"/>
      <c r="F107" s="51"/>
      <c r="G107" s="51"/>
    </row>
    <row r="108" spans="1:25" ht="22.5" x14ac:dyDescent="0.25">
      <c r="A108" s="41" t="s">
        <v>433</v>
      </c>
      <c r="B108" s="27" t="s">
        <v>258</v>
      </c>
      <c r="C108" s="25"/>
      <c r="D108" s="19" t="s">
        <v>56</v>
      </c>
      <c r="E108" s="51">
        <f>0.25/1*100</f>
        <v>25</v>
      </c>
      <c r="F108" s="51">
        <f>1/1*100</f>
        <v>100</v>
      </c>
      <c r="G108" s="51">
        <f>1.5/1*100</f>
        <v>150</v>
      </c>
    </row>
    <row r="109" spans="1:25" ht="22.5" x14ac:dyDescent="0.25">
      <c r="A109" s="41" t="s">
        <v>434</v>
      </c>
      <c r="B109" s="27" t="s">
        <v>259</v>
      </c>
      <c r="C109" s="25"/>
      <c r="D109" s="19" t="s">
        <v>55</v>
      </c>
      <c r="E109" s="51">
        <f>0.5/1*100</f>
        <v>50</v>
      </c>
      <c r="F109" s="51">
        <f>1/1*100</f>
        <v>100</v>
      </c>
      <c r="G109" s="51">
        <f>1.5/1*100</f>
        <v>150</v>
      </c>
    </row>
    <row r="110" spans="1:25" x14ac:dyDescent="0.25">
      <c r="A110" s="40" t="s">
        <v>435</v>
      </c>
      <c r="B110" s="36" t="s">
        <v>260</v>
      </c>
      <c r="C110" s="25"/>
      <c r="D110" s="19"/>
      <c r="E110" s="51"/>
      <c r="F110" s="51"/>
      <c r="G110" s="51"/>
    </row>
    <row r="111" spans="1:25" ht="22.5" x14ac:dyDescent="0.25">
      <c r="A111" s="41" t="s">
        <v>436</v>
      </c>
      <c r="B111" s="27" t="s">
        <v>261</v>
      </c>
      <c r="C111" s="25"/>
      <c r="D111" s="19" t="s">
        <v>54</v>
      </c>
      <c r="E111" s="51">
        <f>0.5/1*100</f>
        <v>50</v>
      </c>
      <c r="F111" s="51">
        <f>1/1*100</f>
        <v>100</v>
      </c>
      <c r="G111" s="51">
        <f>1.5/1*100</f>
        <v>150</v>
      </c>
    </row>
    <row r="112" spans="1:25" x14ac:dyDescent="0.25">
      <c r="A112" s="40" t="s">
        <v>437</v>
      </c>
      <c r="B112" s="36" t="s">
        <v>262</v>
      </c>
      <c r="C112" s="25"/>
      <c r="D112" s="19"/>
      <c r="E112" s="51"/>
      <c r="F112" s="51"/>
      <c r="G112" s="51"/>
    </row>
    <row r="113" spans="1:7" ht="22.5" x14ac:dyDescent="0.25">
      <c r="A113" s="41" t="s">
        <v>438</v>
      </c>
      <c r="B113" s="27" t="s">
        <v>263</v>
      </c>
      <c r="C113" s="25"/>
      <c r="D113" s="19" t="s">
        <v>54</v>
      </c>
      <c r="E113" s="51">
        <f>0.2/1*100</f>
        <v>20</v>
      </c>
      <c r="F113" s="51">
        <f>1/1*100</f>
        <v>100</v>
      </c>
      <c r="G113" s="51">
        <f>1.8/1*100</f>
        <v>180</v>
      </c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BCBD-96B7-4DB0-B6EA-A4F3A3D844E5}">
  <sheetPr>
    <tabColor theme="3" tint="0.59999389629810485"/>
  </sheetPr>
  <dimension ref="A1:AF116"/>
  <sheetViews>
    <sheetView zoomScaleNormal="100" workbookViewId="0">
      <selection activeCell="A5" sqref="A5"/>
    </sheetView>
  </sheetViews>
  <sheetFormatPr defaultColWidth="8.875" defaultRowHeight="15.75" x14ac:dyDescent="0.25"/>
  <cols>
    <col min="1" max="1" width="5.125" customWidth="1"/>
    <col min="2" max="2" width="32.125" customWidth="1"/>
    <col min="3" max="4" width="11.625" customWidth="1"/>
    <col min="5" max="5" width="7.87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5" max="15" width="9.625" bestFit="1" customWidth="1"/>
    <col min="16" max="16" width="8.5" customWidth="1"/>
    <col min="17" max="17" width="8.875" customWidth="1"/>
    <col min="21" max="21" width="9.125" customWidth="1"/>
  </cols>
  <sheetData>
    <row r="1" spans="1:32" ht="15" customHeight="1" x14ac:dyDescent="0.25">
      <c r="B1" s="2" t="s">
        <v>58</v>
      </c>
      <c r="C1" s="45">
        <v>45080</v>
      </c>
      <c r="E1" s="2" t="s">
        <v>59</v>
      </c>
      <c r="F1" s="7" t="s">
        <v>60</v>
      </c>
      <c r="G1" s="8"/>
    </row>
    <row r="3" spans="1:32" ht="15" customHeight="1" x14ac:dyDescent="0.25">
      <c r="A3" s="60" t="s">
        <v>0</v>
      </c>
      <c r="B3" s="60"/>
      <c r="C3" s="60" t="s">
        <v>2</v>
      </c>
      <c r="D3" s="60"/>
      <c r="E3" s="60"/>
      <c r="F3" s="60" t="s">
        <v>3</v>
      </c>
      <c r="G3" s="60"/>
      <c r="H3" s="60" t="s">
        <v>4</v>
      </c>
      <c r="I3" s="60"/>
      <c r="J3" s="60"/>
      <c r="K3" s="60"/>
      <c r="L3" s="60" t="s">
        <v>61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32" ht="21.95" customHeight="1" x14ac:dyDescent="0.2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2" t="s">
        <v>71</v>
      </c>
      <c r="V4" s="2" t="s">
        <v>61</v>
      </c>
      <c r="W4" s="2" t="s">
        <v>72</v>
      </c>
      <c r="X4" s="2" t="s">
        <v>73</v>
      </c>
    </row>
    <row r="5" spans="1:32" ht="21.95" customHeight="1" x14ac:dyDescent="0.25">
      <c r="A5" s="40" t="s">
        <v>264</v>
      </c>
      <c r="B5" s="36" t="s">
        <v>453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32" s="9" customFormat="1" x14ac:dyDescent="0.25">
      <c r="A6" s="40" t="s">
        <v>329</v>
      </c>
      <c r="B6" s="36" t="s">
        <v>162</v>
      </c>
      <c r="C6" s="29"/>
      <c r="D6" s="29"/>
      <c r="E6" s="29"/>
      <c r="F6" s="29"/>
      <c r="G6" s="29"/>
      <c r="H6" s="30"/>
      <c r="I6" s="29"/>
      <c r="J6" s="29"/>
      <c r="K6" s="30"/>
      <c r="L6" s="29"/>
      <c r="M6" s="31"/>
      <c r="N6" s="29"/>
      <c r="O6" s="29"/>
      <c r="P6" s="29"/>
      <c r="Q6" s="29"/>
      <c r="R6" s="32"/>
      <c r="S6" s="33"/>
      <c r="T6" s="34"/>
      <c r="U6" s="34"/>
      <c r="V6" s="28"/>
      <c r="W6" s="30"/>
      <c r="X6" s="30"/>
    </row>
    <row r="7" spans="1:32" s="9" customFormat="1" x14ac:dyDescent="0.25">
      <c r="A7" s="40" t="s">
        <v>330</v>
      </c>
      <c r="B7" s="36" t="s">
        <v>112</v>
      </c>
      <c r="C7" s="29"/>
      <c r="D7" s="29"/>
      <c r="E7" s="29"/>
      <c r="F7" s="29"/>
      <c r="G7" s="29"/>
      <c r="H7" s="30"/>
      <c r="I7" s="29"/>
      <c r="J7" s="29"/>
      <c r="K7" s="30"/>
      <c r="L7" s="29"/>
      <c r="M7" s="3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32" x14ac:dyDescent="0.25">
      <c r="A8" s="41" t="s">
        <v>331</v>
      </c>
      <c r="B8" s="27" t="s">
        <v>163</v>
      </c>
      <c r="C8" s="20"/>
      <c r="D8" s="20"/>
      <c r="E8" s="25"/>
      <c r="F8" s="25"/>
      <c r="G8" s="21"/>
      <c r="H8" s="21"/>
      <c r="I8" s="21"/>
      <c r="J8" s="21"/>
      <c r="K8" s="21"/>
      <c r="L8" s="45">
        <v>45047</v>
      </c>
      <c r="M8" s="37" t="s">
        <v>41</v>
      </c>
      <c r="N8" s="25"/>
      <c r="O8" s="25"/>
      <c r="P8" s="25"/>
      <c r="Q8" s="21"/>
      <c r="R8" s="26"/>
      <c r="S8" s="22">
        <v>1531.25</v>
      </c>
      <c r="T8" s="21"/>
      <c r="U8" s="39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25">
      <c r="A9" s="41" t="s">
        <v>332</v>
      </c>
      <c r="B9" s="27" t="s">
        <v>164</v>
      </c>
      <c r="C9" s="20"/>
      <c r="D9" s="20"/>
      <c r="E9" s="25"/>
      <c r="F9" s="25"/>
      <c r="G9" s="21"/>
      <c r="H9" s="21"/>
      <c r="I9" s="21"/>
      <c r="J9" s="21"/>
      <c r="K9" s="21"/>
      <c r="L9" s="45">
        <v>45047</v>
      </c>
      <c r="M9" s="37" t="s">
        <v>19</v>
      </c>
      <c r="N9" s="25"/>
      <c r="O9" s="25"/>
      <c r="P9" s="25"/>
      <c r="Q9" s="21"/>
      <c r="R9" s="26"/>
      <c r="S9" s="22">
        <v>3391.2</v>
      </c>
      <c r="T9" s="21"/>
      <c r="U9" s="39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ht="22.5" x14ac:dyDescent="0.25">
      <c r="A10" s="41" t="s">
        <v>333</v>
      </c>
      <c r="B10" s="27" t="s">
        <v>165</v>
      </c>
      <c r="C10" s="20"/>
      <c r="D10" s="20"/>
      <c r="E10" s="25"/>
      <c r="F10" s="25"/>
      <c r="G10" s="21"/>
      <c r="H10" s="21"/>
      <c r="I10" s="21"/>
      <c r="J10" s="21"/>
      <c r="K10" s="21"/>
      <c r="L10" s="45">
        <v>45047</v>
      </c>
      <c r="M10" s="37" t="s">
        <v>18</v>
      </c>
      <c r="N10" s="25"/>
      <c r="O10" s="25"/>
      <c r="P10" s="25"/>
      <c r="Q10" s="21"/>
      <c r="R10" s="26"/>
      <c r="S10" s="22">
        <v>729.94</v>
      </c>
      <c r="T10" s="21"/>
      <c r="U10" s="39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25">
      <c r="A11" s="40" t="s">
        <v>334</v>
      </c>
      <c r="B11" s="36" t="s">
        <v>166</v>
      </c>
      <c r="C11" s="29"/>
      <c r="D11" s="29"/>
      <c r="E11" s="29"/>
      <c r="F11" s="29"/>
      <c r="G11" s="29"/>
      <c r="H11" s="30"/>
      <c r="I11" s="29"/>
      <c r="J11" s="29"/>
      <c r="K11" s="30"/>
      <c r="L11" s="34"/>
      <c r="M11" s="34"/>
      <c r="N11" s="29"/>
      <c r="O11" s="29"/>
      <c r="P11" s="29"/>
      <c r="Q11" s="29"/>
      <c r="R11" s="29"/>
      <c r="S11" s="33"/>
      <c r="T11" s="29"/>
      <c r="U11" s="29"/>
      <c r="V11" s="29"/>
      <c r="W11" s="29"/>
      <c r="X11" s="29"/>
      <c r="AA11" s="24"/>
      <c r="AB11" s="24"/>
      <c r="AC11" s="24"/>
      <c r="AD11" s="24"/>
      <c r="AE11" s="24"/>
      <c r="AF11" s="24"/>
    </row>
    <row r="12" spans="1:32" x14ac:dyDescent="0.25">
      <c r="A12" s="41" t="s">
        <v>335</v>
      </c>
      <c r="B12" s="27" t="s">
        <v>166</v>
      </c>
      <c r="C12" s="20"/>
      <c r="D12" s="20"/>
      <c r="E12" s="25"/>
      <c r="F12" s="25"/>
      <c r="G12" s="21"/>
      <c r="H12" s="21"/>
      <c r="I12" s="21"/>
      <c r="J12" s="21"/>
      <c r="K12" s="21"/>
      <c r="L12" s="45">
        <v>45047</v>
      </c>
      <c r="M12" s="37" t="s">
        <v>35</v>
      </c>
      <c r="N12" s="25"/>
      <c r="O12" s="25"/>
      <c r="P12" s="25"/>
      <c r="Q12" s="21"/>
      <c r="R12" s="26"/>
      <c r="S12" s="22">
        <v>4000</v>
      </c>
      <c r="T12" s="21"/>
      <c r="U12" s="39">
        <v>1</v>
      </c>
      <c r="V12" s="25"/>
      <c r="W12" s="21"/>
      <c r="X12" s="21"/>
      <c r="AA12" s="24"/>
      <c r="AB12" s="24"/>
      <c r="AC12" s="24"/>
      <c r="AD12" s="24"/>
      <c r="AE12" s="24"/>
      <c r="AF12" s="24"/>
    </row>
    <row r="13" spans="1:32" s="9" customFormat="1" x14ac:dyDescent="0.25">
      <c r="A13" s="40" t="s">
        <v>336</v>
      </c>
      <c r="B13" s="36" t="s">
        <v>167</v>
      </c>
      <c r="C13" s="29"/>
      <c r="D13" s="29"/>
      <c r="E13" s="29"/>
      <c r="F13" s="29"/>
      <c r="G13" s="29"/>
      <c r="H13" s="30"/>
      <c r="I13" s="29"/>
      <c r="J13" s="29"/>
      <c r="K13" s="30"/>
      <c r="L13" s="34"/>
      <c r="M13" s="34"/>
      <c r="N13" s="29"/>
      <c r="O13" s="29"/>
      <c r="P13" s="29"/>
      <c r="Q13" s="29"/>
      <c r="R13" s="29"/>
      <c r="S13" s="33"/>
      <c r="T13" s="29"/>
      <c r="U13" s="29"/>
      <c r="V13" s="29"/>
      <c r="W13" s="29"/>
      <c r="X13" s="29"/>
    </row>
    <row r="14" spans="1:32" x14ac:dyDescent="0.25">
      <c r="A14" s="41" t="s">
        <v>337</v>
      </c>
      <c r="B14" s="27" t="s">
        <v>168</v>
      </c>
      <c r="C14" s="20"/>
      <c r="D14" s="20"/>
      <c r="E14" s="25"/>
      <c r="F14" s="25"/>
      <c r="G14" s="21"/>
      <c r="H14" s="21"/>
      <c r="I14" s="21"/>
      <c r="J14" s="21"/>
      <c r="K14" s="21"/>
      <c r="L14" s="45">
        <v>45049</v>
      </c>
      <c r="M14" s="37" t="s">
        <v>18</v>
      </c>
      <c r="N14" s="25"/>
      <c r="O14" s="25"/>
      <c r="P14" s="25"/>
      <c r="Q14" s="21"/>
      <c r="R14" s="26"/>
      <c r="S14" s="22">
        <v>2097.92</v>
      </c>
      <c r="T14" s="21"/>
      <c r="U14" s="39">
        <v>1</v>
      </c>
      <c r="V14" s="25"/>
      <c r="W14" s="21"/>
      <c r="X14" s="21"/>
      <c r="AA14" s="24"/>
      <c r="AB14" s="24"/>
      <c r="AC14" s="24"/>
      <c r="AD14" s="24"/>
      <c r="AE14" s="24"/>
      <c r="AF14" s="24"/>
    </row>
    <row r="15" spans="1:32" x14ac:dyDescent="0.25">
      <c r="A15" s="40" t="s">
        <v>338</v>
      </c>
      <c r="B15" s="36" t="s">
        <v>169</v>
      </c>
      <c r="C15" s="29"/>
      <c r="D15" s="29"/>
      <c r="E15" s="29"/>
      <c r="F15" s="29"/>
      <c r="G15" s="29"/>
      <c r="H15" s="30"/>
      <c r="I15" s="29"/>
      <c r="J15" s="29"/>
      <c r="K15" s="30"/>
      <c r="L15" s="34"/>
      <c r="M15" s="34"/>
      <c r="N15" s="29"/>
      <c r="O15" s="29"/>
      <c r="P15" s="29"/>
      <c r="Q15" s="29"/>
      <c r="R15" s="29"/>
      <c r="S15" s="33"/>
      <c r="T15" s="29"/>
      <c r="U15" s="29"/>
      <c r="V15" s="29"/>
      <c r="W15" s="29"/>
      <c r="X15" s="29"/>
      <c r="AA15" s="24"/>
      <c r="AB15" s="24"/>
      <c r="AC15" s="24"/>
      <c r="AD15" s="24"/>
      <c r="AE15" s="24"/>
      <c r="AF15" s="24"/>
    </row>
    <row r="16" spans="1:32" s="9" customFormat="1" x14ac:dyDescent="0.25">
      <c r="A16" s="40" t="s">
        <v>339</v>
      </c>
      <c r="B16" s="36" t="s">
        <v>22</v>
      </c>
      <c r="C16" s="29"/>
      <c r="D16" s="29"/>
      <c r="E16" s="29"/>
      <c r="F16" s="29"/>
      <c r="G16" s="29"/>
      <c r="H16" s="30"/>
      <c r="I16" s="29"/>
      <c r="J16" s="29"/>
      <c r="K16" s="30"/>
      <c r="L16" s="34"/>
      <c r="M16" s="34"/>
      <c r="N16" s="29"/>
      <c r="O16" s="29"/>
      <c r="P16" s="29"/>
      <c r="Q16" s="29"/>
      <c r="R16" s="29"/>
      <c r="S16" s="33"/>
      <c r="T16" s="29"/>
      <c r="U16" s="29"/>
      <c r="V16" s="29"/>
      <c r="W16" s="29"/>
      <c r="X16" s="29"/>
    </row>
    <row r="17" spans="1:32" ht="25.35" customHeight="1" x14ac:dyDescent="0.25">
      <c r="A17" s="40" t="s">
        <v>340</v>
      </c>
      <c r="B17" s="36" t="s">
        <v>170</v>
      </c>
      <c r="C17" s="29"/>
      <c r="D17" s="29"/>
      <c r="E17" s="29"/>
      <c r="F17" s="29"/>
      <c r="G17" s="29"/>
      <c r="H17" s="30"/>
      <c r="I17" s="29"/>
      <c r="J17" s="29"/>
      <c r="K17" s="30"/>
      <c r="L17" s="34"/>
      <c r="M17" s="34"/>
      <c r="N17" s="29"/>
      <c r="O17" s="29"/>
      <c r="P17" s="29"/>
      <c r="Q17" s="29"/>
      <c r="R17" s="29"/>
      <c r="S17" s="33"/>
      <c r="T17" s="29"/>
      <c r="U17" s="29"/>
      <c r="V17" s="29"/>
      <c r="W17" s="29"/>
      <c r="X17" s="29"/>
      <c r="AA17" s="44"/>
      <c r="AB17" s="24"/>
      <c r="AC17" s="24"/>
      <c r="AD17" s="24"/>
      <c r="AE17" s="24"/>
      <c r="AF17" s="24"/>
    </row>
    <row r="18" spans="1:32" ht="22.5" x14ac:dyDescent="0.25">
      <c r="A18" s="41" t="s">
        <v>341</v>
      </c>
      <c r="B18" s="27" t="s">
        <v>171</v>
      </c>
      <c r="C18" s="20"/>
      <c r="D18" s="20"/>
      <c r="E18" s="25"/>
      <c r="F18" s="25"/>
      <c r="G18" s="21"/>
      <c r="H18" s="21"/>
      <c r="I18" s="21"/>
      <c r="J18" s="21"/>
      <c r="K18" s="21"/>
      <c r="L18" s="45">
        <v>45051</v>
      </c>
      <c r="M18" s="37" t="s">
        <v>114</v>
      </c>
      <c r="N18" s="25"/>
      <c r="O18" s="25"/>
      <c r="P18" s="25"/>
      <c r="Q18" s="21"/>
      <c r="R18" s="26"/>
      <c r="S18" s="22">
        <v>3631.92</v>
      </c>
      <c r="T18" s="21"/>
      <c r="U18" s="39">
        <v>1</v>
      </c>
      <c r="V18" s="25"/>
      <c r="W18" s="21"/>
      <c r="X18" s="21"/>
      <c r="AA18" s="24"/>
      <c r="AB18" s="24"/>
      <c r="AC18" s="24"/>
      <c r="AD18" s="24"/>
      <c r="AE18" s="24"/>
      <c r="AF18" s="24"/>
    </row>
    <row r="19" spans="1:32" ht="22.5" x14ac:dyDescent="0.25">
      <c r="A19" s="41" t="s">
        <v>342</v>
      </c>
      <c r="B19" s="27" t="s">
        <v>172</v>
      </c>
      <c r="C19" s="20"/>
      <c r="D19" s="20"/>
      <c r="E19" s="25"/>
      <c r="F19" s="25"/>
      <c r="G19" s="21"/>
      <c r="H19" s="21"/>
      <c r="I19" s="21"/>
      <c r="J19" s="21"/>
      <c r="K19" s="21"/>
      <c r="L19" s="45">
        <v>45053</v>
      </c>
      <c r="M19" s="37" t="s">
        <v>19</v>
      </c>
      <c r="N19" s="25"/>
      <c r="O19" s="25"/>
      <c r="P19" s="25"/>
      <c r="Q19" s="21"/>
      <c r="R19" s="26"/>
      <c r="S19" s="22">
        <v>3196.8</v>
      </c>
      <c r="T19" s="21"/>
      <c r="U19" s="39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25">
      <c r="A20" s="41" t="s">
        <v>343</v>
      </c>
      <c r="B20" s="27" t="s">
        <v>173</v>
      </c>
      <c r="C20" s="20"/>
      <c r="D20" s="20"/>
      <c r="E20" s="25"/>
      <c r="F20" s="25"/>
      <c r="G20" s="21"/>
      <c r="H20" s="21"/>
      <c r="I20" s="21"/>
      <c r="J20" s="21"/>
      <c r="K20" s="21"/>
      <c r="L20" s="45">
        <v>45057</v>
      </c>
      <c r="M20" s="37" t="s">
        <v>19</v>
      </c>
      <c r="N20" s="25"/>
      <c r="O20" s="25"/>
      <c r="P20" s="25"/>
      <c r="Q20" s="21"/>
      <c r="R20" s="26"/>
      <c r="S20" s="22">
        <v>2263.0700000000002</v>
      </c>
      <c r="T20" s="21"/>
      <c r="U20" s="39">
        <v>1</v>
      </c>
      <c r="V20" s="25"/>
      <c r="W20" s="21"/>
      <c r="X20" s="21"/>
      <c r="AA20" s="24"/>
      <c r="AB20" s="24"/>
      <c r="AC20" s="24"/>
      <c r="AD20" s="24"/>
      <c r="AE20" s="24"/>
      <c r="AF20" s="24"/>
    </row>
    <row r="21" spans="1:32" x14ac:dyDescent="0.25">
      <c r="A21" s="40" t="s">
        <v>344</v>
      </c>
      <c r="B21" s="36" t="s">
        <v>174</v>
      </c>
      <c r="C21" s="29"/>
      <c r="D21" s="29"/>
      <c r="E21" s="29"/>
      <c r="F21" s="29"/>
      <c r="G21" s="29"/>
      <c r="H21" s="30"/>
      <c r="I21" s="29"/>
      <c r="J21" s="29"/>
      <c r="K21" s="30"/>
      <c r="L21" s="34"/>
      <c r="M21" s="34"/>
      <c r="N21" s="29"/>
      <c r="O21" s="29"/>
      <c r="P21" s="29"/>
      <c r="Q21" s="29"/>
      <c r="R21" s="29"/>
      <c r="S21" s="33"/>
      <c r="T21" s="29"/>
      <c r="U21" s="29"/>
      <c r="V21" s="29"/>
      <c r="W21" s="29"/>
      <c r="X21" s="29"/>
      <c r="AA21" s="24"/>
      <c r="AB21" s="24"/>
      <c r="AC21" s="24"/>
      <c r="AD21" s="24"/>
      <c r="AE21" s="24"/>
      <c r="AF21" s="24"/>
    </row>
    <row r="22" spans="1:32" x14ac:dyDescent="0.25">
      <c r="A22" s="41" t="s">
        <v>345</v>
      </c>
      <c r="B22" s="27" t="s">
        <v>175</v>
      </c>
      <c r="C22" s="20"/>
      <c r="D22" s="20"/>
      <c r="E22" s="25"/>
      <c r="F22" s="25"/>
      <c r="G22" s="21"/>
      <c r="H22" s="21"/>
      <c r="I22" s="21"/>
      <c r="J22" s="21"/>
      <c r="K22" s="21"/>
      <c r="L22" s="45">
        <v>45071</v>
      </c>
      <c r="M22" s="37" t="s">
        <v>19</v>
      </c>
      <c r="N22" s="25"/>
      <c r="O22" s="25"/>
      <c r="P22" s="25"/>
      <c r="Q22" s="21"/>
      <c r="R22" s="26"/>
      <c r="S22" s="22">
        <v>5544.53</v>
      </c>
      <c r="T22" s="21"/>
      <c r="U22" s="39">
        <v>1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x14ac:dyDescent="0.25">
      <c r="A23" s="40" t="s">
        <v>346</v>
      </c>
      <c r="B23" s="36" t="s">
        <v>113</v>
      </c>
      <c r="C23" s="29"/>
      <c r="D23" s="29"/>
      <c r="E23" s="29"/>
      <c r="F23" s="29"/>
      <c r="G23" s="29"/>
      <c r="H23" s="30"/>
      <c r="I23" s="29"/>
      <c r="J23" s="29"/>
      <c r="K23" s="30"/>
      <c r="L23" s="34"/>
      <c r="M23" s="34"/>
      <c r="N23" s="29"/>
      <c r="O23" s="29"/>
      <c r="P23" s="29"/>
      <c r="Q23" s="29"/>
      <c r="R23" s="29"/>
      <c r="S23" s="33"/>
      <c r="T23" s="29"/>
      <c r="U23" s="29"/>
      <c r="V23" s="29"/>
      <c r="W23" s="29"/>
      <c r="X23" s="29"/>
      <c r="AA23" s="24"/>
      <c r="AB23" s="24"/>
      <c r="AC23" s="24"/>
      <c r="AD23" s="24"/>
      <c r="AE23" s="24"/>
      <c r="AF23" s="24"/>
    </row>
    <row r="24" spans="1:32" s="9" customFormat="1" ht="22.5" x14ac:dyDescent="0.25">
      <c r="A24" s="41" t="s">
        <v>347</v>
      </c>
      <c r="B24" s="27" t="s">
        <v>176</v>
      </c>
      <c r="C24" s="20"/>
      <c r="D24" s="20"/>
      <c r="E24" s="25"/>
      <c r="F24" s="25"/>
      <c r="G24" s="21"/>
      <c r="H24" s="21"/>
      <c r="I24" s="21"/>
      <c r="J24" s="21"/>
      <c r="K24" s="21"/>
      <c r="L24" s="45">
        <v>45075</v>
      </c>
      <c r="M24" s="37" t="s">
        <v>19</v>
      </c>
      <c r="N24" s="25"/>
      <c r="O24" s="25"/>
      <c r="P24" s="25"/>
      <c r="Q24" s="21"/>
      <c r="R24" s="26"/>
      <c r="S24" s="22">
        <v>2673.92</v>
      </c>
      <c r="T24" s="21"/>
      <c r="U24" s="39">
        <v>1</v>
      </c>
      <c r="V24" s="25"/>
      <c r="W24" s="21"/>
      <c r="X24" s="21"/>
    </row>
    <row r="25" spans="1:32" s="9" customFormat="1" x14ac:dyDescent="0.25">
      <c r="A25" s="41" t="s">
        <v>348</v>
      </c>
      <c r="B25" s="27" t="s">
        <v>177</v>
      </c>
      <c r="C25" s="20"/>
      <c r="D25" s="20"/>
      <c r="E25" s="25"/>
      <c r="F25" s="25"/>
      <c r="G25" s="21"/>
      <c r="H25" s="21"/>
      <c r="I25" s="21"/>
      <c r="J25" s="21"/>
      <c r="K25" s="21"/>
      <c r="L25" s="45">
        <v>45079</v>
      </c>
      <c r="M25" s="37" t="s">
        <v>18</v>
      </c>
      <c r="N25" s="25"/>
      <c r="O25" s="25"/>
      <c r="P25" s="25"/>
      <c r="Q25" s="21"/>
      <c r="R25" s="26"/>
      <c r="S25" s="22">
        <v>1239.9100000000001</v>
      </c>
      <c r="T25" s="21"/>
      <c r="U25" s="39">
        <v>1</v>
      </c>
      <c r="V25" s="25"/>
      <c r="W25" s="21"/>
      <c r="X25" s="21"/>
    </row>
    <row r="26" spans="1:32" x14ac:dyDescent="0.25">
      <c r="A26" s="40" t="s">
        <v>349</v>
      </c>
      <c r="B26" s="36" t="s">
        <v>178</v>
      </c>
      <c r="C26" s="29"/>
      <c r="D26" s="29"/>
      <c r="E26" s="29"/>
      <c r="F26" s="29"/>
      <c r="G26" s="29"/>
      <c r="H26" s="30"/>
      <c r="I26" s="29"/>
      <c r="J26" s="29"/>
      <c r="K26" s="30"/>
      <c r="L26" s="34"/>
      <c r="M26" s="34"/>
      <c r="N26" s="29"/>
      <c r="O26" s="29"/>
      <c r="P26" s="29"/>
      <c r="Q26" s="29"/>
      <c r="R26" s="29"/>
      <c r="S26" s="33"/>
      <c r="T26" s="29"/>
      <c r="U26" s="29"/>
      <c r="V26" s="29"/>
      <c r="W26" s="29"/>
      <c r="X26" s="29"/>
      <c r="AA26" s="24"/>
      <c r="AB26" s="24"/>
      <c r="AC26" s="24"/>
      <c r="AD26" s="24"/>
      <c r="AE26" s="24"/>
      <c r="AF26" s="24"/>
    </row>
    <row r="27" spans="1:32" s="9" customFormat="1" ht="22.5" x14ac:dyDescent="0.25">
      <c r="A27" s="41" t="s">
        <v>350</v>
      </c>
      <c r="B27" s="27" t="s">
        <v>179</v>
      </c>
      <c r="C27" s="20"/>
      <c r="D27" s="20"/>
      <c r="E27" s="25"/>
      <c r="F27" s="25"/>
      <c r="G27" s="21"/>
      <c r="H27" s="21"/>
      <c r="I27" s="21"/>
      <c r="J27" s="21"/>
      <c r="K27" s="21"/>
      <c r="L27" s="45">
        <v>45051</v>
      </c>
      <c r="M27" s="37" t="s">
        <v>19</v>
      </c>
      <c r="N27" s="25"/>
      <c r="O27" s="25"/>
      <c r="P27" s="25"/>
      <c r="Q27" s="21"/>
      <c r="R27" s="26"/>
      <c r="S27" s="22">
        <v>6794.79</v>
      </c>
      <c r="T27" s="21"/>
      <c r="U27" s="39">
        <v>1</v>
      </c>
      <c r="V27" s="25"/>
      <c r="W27" s="21"/>
      <c r="X27" s="21"/>
    </row>
    <row r="28" spans="1:32" ht="22.5" x14ac:dyDescent="0.25">
      <c r="A28" s="41" t="s">
        <v>351</v>
      </c>
      <c r="B28" s="27" t="s">
        <v>180</v>
      </c>
      <c r="C28" s="20"/>
      <c r="D28" s="20"/>
      <c r="E28" s="25"/>
      <c r="F28" s="25"/>
      <c r="G28" s="21"/>
      <c r="H28" s="21"/>
      <c r="I28" s="21"/>
      <c r="J28" s="21"/>
      <c r="K28" s="21"/>
      <c r="L28" s="45">
        <v>45061</v>
      </c>
      <c r="M28" s="37" t="s">
        <v>29</v>
      </c>
      <c r="N28" s="25"/>
      <c r="O28" s="25"/>
      <c r="P28" s="25"/>
      <c r="Q28" s="21"/>
      <c r="R28" s="26"/>
      <c r="S28" s="22">
        <v>3991.91</v>
      </c>
      <c r="T28" s="21"/>
      <c r="U28" s="39">
        <v>1</v>
      </c>
      <c r="V28" s="25"/>
      <c r="W28" s="21"/>
      <c r="X28" s="21"/>
      <c r="AA28" s="44"/>
      <c r="AB28" s="24"/>
      <c r="AC28" s="24"/>
      <c r="AD28" s="24"/>
      <c r="AE28" s="24"/>
      <c r="AF28" s="24"/>
    </row>
    <row r="29" spans="1:32" s="9" customFormat="1" x14ac:dyDescent="0.25">
      <c r="A29" s="41" t="s">
        <v>352</v>
      </c>
      <c r="B29" s="27" t="s">
        <v>181</v>
      </c>
      <c r="C29" s="20"/>
      <c r="D29" s="20"/>
      <c r="E29" s="25"/>
      <c r="F29" s="25"/>
      <c r="G29" s="21"/>
      <c r="H29" s="21"/>
      <c r="I29" s="21"/>
      <c r="J29" s="21"/>
      <c r="K29" s="21"/>
      <c r="L29" s="45">
        <v>45058</v>
      </c>
      <c r="M29" s="37" t="s">
        <v>19</v>
      </c>
      <c r="N29" s="25"/>
      <c r="O29" s="25"/>
      <c r="P29" s="25"/>
      <c r="Q29" s="21"/>
      <c r="R29" s="26"/>
      <c r="S29" s="22">
        <v>12123.07</v>
      </c>
      <c r="T29" s="21"/>
      <c r="U29" s="39">
        <v>1</v>
      </c>
      <c r="V29" s="25"/>
      <c r="W29" s="21"/>
      <c r="X29" s="21"/>
    </row>
    <row r="30" spans="1:32" x14ac:dyDescent="0.25">
      <c r="A30" s="40" t="s">
        <v>353</v>
      </c>
      <c r="B30" s="36" t="s">
        <v>182</v>
      </c>
      <c r="C30" s="29"/>
      <c r="D30" s="29"/>
      <c r="E30" s="29"/>
      <c r="F30" s="29"/>
      <c r="G30" s="29"/>
      <c r="H30" s="30"/>
      <c r="I30" s="29"/>
      <c r="J30" s="29"/>
      <c r="K30" s="30"/>
      <c r="L30" s="42"/>
      <c r="M30" s="43"/>
      <c r="N30" s="30"/>
      <c r="O30" s="30"/>
      <c r="P30" s="30"/>
      <c r="Q30" s="30"/>
      <c r="R30" s="30"/>
      <c r="S30" s="33"/>
      <c r="T30" s="30"/>
      <c r="U30" s="30"/>
      <c r="V30" s="30"/>
      <c r="W30" s="30"/>
      <c r="X30" s="30"/>
      <c r="AA30" s="24"/>
      <c r="AB30" s="24"/>
      <c r="AC30" s="24"/>
      <c r="AD30" s="24"/>
      <c r="AE30" s="24"/>
      <c r="AF30" s="24"/>
    </row>
    <row r="31" spans="1:32" x14ac:dyDescent="0.25">
      <c r="A31" s="40" t="s">
        <v>354</v>
      </c>
      <c r="B31" s="36" t="s">
        <v>183</v>
      </c>
      <c r="C31" s="29"/>
      <c r="D31" s="29"/>
      <c r="E31" s="29"/>
      <c r="F31" s="29"/>
      <c r="G31" s="29"/>
      <c r="H31" s="30"/>
      <c r="I31" s="29"/>
      <c r="J31" s="29"/>
      <c r="K31" s="30"/>
      <c r="L31" s="34"/>
      <c r="M31" s="34"/>
      <c r="N31" s="29"/>
      <c r="O31" s="29"/>
      <c r="P31" s="29"/>
      <c r="Q31" s="29"/>
      <c r="R31" s="29"/>
      <c r="S31" s="33"/>
      <c r="T31" s="29"/>
      <c r="U31" s="29"/>
      <c r="V31" s="29"/>
      <c r="W31" s="29"/>
      <c r="X31" s="29"/>
      <c r="AA31" s="24"/>
      <c r="AB31" s="24"/>
      <c r="AC31" s="24"/>
      <c r="AD31" s="24"/>
      <c r="AE31" s="24"/>
      <c r="AF31" s="24"/>
    </row>
    <row r="32" spans="1:32" s="9" customFormat="1" x14ac:dyDescent="0.25">
      <c r="A32" s="41" t="s">
        <v>355</v>
      </c>
      <c r="B32" s="27" t="s">
        <v>184</v>
      </c>
      <c r="C32" s="20"/>
      <c r="D32" s="20"/>
      <c r="E32" s="25"/>
      <c r="F32" s="25"/>
      <c r="G32" s="21"/>
      <c r="H32" s="21"/>
      <c r="I32" s="21"/>
      <c r="J32" s="21"/>
      <c r="K32" s="21"/>
      <c r="L32" s="45">
        <v>45062</v>
      </c>
      <c r="M32" s="37" t="s">
        <v>29</v>
      </c>
      <c r="N32" s="25"/>
      <c r="O32" s="25"/>
      <c r="P32" s="25"/>
      <c r="Q32" s="21"/>
      <c r="R32" s="26"/>
      <c r="S32" s="22">
        <v>6285.6</v>
      </c>
      <c r="T32" s="21"/>
      <c r="U32" s="39">
        <v>1</v>
      </c>
      <c r="V32" s="25"/>
      <c r="W32" s="21"/>
      <c r="X32" s="21"/>
    </row>
    <row r="33" spans="1:32" ht="22.5" x14ac:dyDescent="0.25">
      <c r="A33" s="41" t="s">
        <v>356</v>
      </c>
      <c r="B33" s="27" t="s">
        <v>185</v>
      </c>
      <c r="C33" s="20"/>
      <c r="D33" s="20"/>
      <c r="E33" s="25"/>
      <c r="F33" s="25"/>
      <c r="G33" s="21"/>
      <c r="H33" s="21"/>
      <c r="I33" s="21"/>
      <c r="J33" s="21"/>
      <c r="K33" s="21"/>
      <c r="L33" s="45">
        <v>45055</v>
      </c>
      <c r="M33" s="37" t="s">
        <v>18</v>
      </c>
      <c r="N33" s="25"/>
      <c r="O33" s="25"/>
      <c r="P33" s="25"/>
      <c r="Q33" s="21"/>
      <c r="R33" s="26"/>
      <c r="S33" s="22">
        <v>1841.62</v>
      </c>
      <c r="T33" s="21"/>
      <c r="U33" s="39">
        <v>1</v>
      </c>
      <c r="V33" s="25"/>
      <c r="W33" s="21"/>
      <c r="X33" s="21"/>
      <c r="AA33" s="24"/>
      <c r="AB33" s="24"/>
      <c r="AC33" s="24"/>
      <c r="AD33" s="24"/>
      <c r="AE33" s="24"/>
      <c r="AF33" s="24"/>
    </row>
    <row r="34" spans="1:32" x14ac:dyDescent="0.25">
      <c r="A34" s="40" t="s">
        <v>357</v>
      </c>
      <c r="B34" s="36" t="s">
        <v>186</v>
      </c>
      <c r="C34" s="29"/>
      <c r="D34" s="29"/>
      <c r="E34" s="29"/>
      <c r="F34" s="29"/>
      <c r="G34" s="29"/>
      <c r="H34" s="30"/>
      <c r="I34" s="29"/>
      <c r="J34" s="29"/>
      <c r="K34" s="30"/>
      <c r="L34" s="34"/>
      <c r="M34" s="34"/>
      <c r="N34" s="29"/>
      <c r="O34" s="29"/>
      <c r="P34" s="29"/>
      <c r="Q34" s="29"/>
      <c r="R34" s="29"/>
      <c r="S34" s="33"/>
      <c r="T34" s="29"/>
      <c r="U34" s="29"/>
      <c r="V34" s="29"/>
      <c r="W34" s="29"/>
      <c r="X34" s="29"/>
      <c r="AA34" s="24"/>
      <c r="AB34" s="24"/>
      <c r="AC34" s="24"/>
      <c r="AD34" s="24"/>
      <c r="AE34" s="24"/>
      <c r="AF34" s="24"/>
    </row>
    <row r="35" spans="1:32" ht="22.5" x14ac:dyDescent="0.25">
      <c r="A35" s="41" t="s">
        <v>358</v>
      </c>
      <c r="B35" s="27" t="s">
        <v>187</v>
      </c>
      <c r="C35" s="20"/>
      <c r="D35" s="20"/>
      <c r="E35" s="25"/>
      <c r="F35" s="25"/>
      <c r="G35" s="21"/>
      <c r="H35" s="21"/>
      <c r="I35" s="21"/>
      <c r="J35" s="21"/>
      <c r="K35" s="21"/>
      <c r="L35" s="45">
        <v>45062</v>
      </c>
      <c r="M35" s="37" t="s">
        <v>29</v>
      </c>
      <c r="N35" s="25"/>
      <c r="O35" s="25"/>
      <c r="P35" s="25"/>
      <c r="Q35" s="21"/>
      <c r="R35" s="26"/>
      <c r="S35" s="22">
        <v>3479.1</v>
      </c>
      <c r="T35" s="21"/>
      <c r="U35" s="39">
        <v>1</v>
      </c>
      <c r="V35" s="25"/>
      <c r="W35" s="21"/>
      <c r="X35" s="21"/>
      <c r="AA35" s="24"/>
      <c r="AB35" s="24"/>
      <c r="AC35" s="24"/>
      <c r="AD35" s="24"/>
      <c r="AE35" s="24"/>
      <c r="AF35" s="24"/>
    </row>
    <row r="36" spans="1:32" s="9" customFormat="1" ht="22.5" x14ac:dyDescent="0.25">
      <c r="A36" s="41" t="s">
        <v>359</v>
      </c>
      <c r="B36" s="27" t="s">
        <v>188</v>
      </c>
      <c r="C36" s="20"/>
      <c r="D36" s="20"/>
      <c r="E36" s="25"/>
      <c r="F36" s="25"/>
      <c r="G36" s="21"/>
      <c r="H36" s="21"/>
      <c r="I36" s="21"/>
      <c r="J36" s="21"/>
      <c r="K36" s="21"/>
      <c r="L36" s="45">
        <v>45060</v>
      </c>
      <c r="M36" s="37" t="s">
        <v>29</v>
      </c>
      <c r="N36" s="25"/>
      <c r="O36" s="25"/>
      <c r="P36" s="25"/>
      <c r="Q36" s="21"/>
      <c r="R36" s="26"/>
      <c r="S36" s="22">
        <v>3118.54</v>
      </c>
      <c r="T36" s="21"/>
      <c r="U36" s="39">
        <v>1</v>
      </c>
      <c r="V36" s="25"/>
      <c r="W36" s="21"/>
      <c r="X36" s="21"/>
    </row>
    <row r="37" spans="1:32" s="9" customFormat="1" ht="22.5" x14ac:dyDescent="0.25">
      <c r="A37" s="41" t="s">
        <v>360</v>
      </c>
      <c r="B37" s="27" t="s">
        <v>189</v>
      </c>
      <c r="C37" s="20"/>
      <c r="D37" s="20"/>
      <c r="E37" s="25"/>
      <c r="F37" s="25"/>
      <c r="G37" s="21"/>
      <c r="H37" s="21"/>
      <c r="I37" s="21"/>
      <c r="J37" s="21"/>
      <c r="K37" s="21"/>
      <c r="L37" s="45">
        <v>45058</v>
      </c>
      <c r="M37" s="37" t="s">
        <v>29</v>
      </c>
      <c r="N37" s="25"/>
      <c r="O37" s="25"/>
      <c r="P37" s="25"/>
      <c r="Q37" s="21"/>
      <c r="R37" s="26"/>
      <c r="S37" s="22">
        <v>9045.6</v>
      </c>
      <c r="T37" s="21"/>
      <c r="U37" s="39">
        <v>1</v>
      </c>
      <c r="V37" s="25"/>
      <c r="W37" s="21"/>
      <c r="X37" s="21"/>
    </row>
    <row r="38" spans="1:32" x14ac:dyDescent="0.25">
      <c r="A38" s="40" t="s">
        <v>361</v>
      </c>
      <c r="B38" s="36" t="s">
        <v>190</v>
      </c>
      <c r="C38" s="29"/>
      <c r="D38" s="29"/>
      <c r="E38" s="29"/>
      <c r="F38" s="29"/>
      <c r="G38" s="29"/>
      <c r="H38" s="30"/>
      <c r="I38" s="29"/>
      <c r="J38" s="29"/>
      <c r="K38" s="30"/>
      <c r="L38" s="34"/>
      <c r="M38" s="34"/>
      <c r="N38" s="29"/>
      <c r="O38" s="29"/>
      <c r="P38" s="29"/>
      <c r="Q38" s="29"/>
      <c r="R38" s="29"/>
      <c r="S38" s="33"/>
      <c r="T38" s="29"/>
      <c r="U38" s="29"/>
      <c r="V38" s="29"/>
      <c r="W38" s="29"/>
      <c r="X38" s="29"/>
      <c r="AA38" s="24"/>
      <c r="AB38" s="24"/>
      <c r="AC38" s="24"/>
      <c r="AD38" s="24"/>
      <c r="AE38" s="24"/>
      <c r="AF38" s="24"/>
    </row>
    <row r="39" spans="1:32" x14ac:dyDescent="0.25">
      <c r="A39" s="41" t="s">
        <v>362</v>
      </c>
      <c r="B39" s="27" t="s">
        <v>191</v>
      </c>
      <c r="C39" s="20"/>
      <c r="D39" s="20"/>
      <c r="E39" s="25"/>
      <c r="F39" s="25"/>
      <c r="G39" s="21"/>
      <c r="H39" s="21"/>
      <c r="I39" s="21"/>
      <c r="J39" s="21"/>
      <c r="K39" s="21"/>
      <c r="L39" s="45">
        <v>45065</v>
      </c>
      <c r="M39" s="37" t="s">
        <v>35</v>
      </c>
      <c r="N39" s="25"/>
      <c r="O39" s="25"/>
      <c r="P39" s="25"/>
      <c r="Q39" s="21"/>
      <c r="R39" s="26"/>
      <c r="S39" s="22">
        <v>2442.7800000000002</v>
      </c>
      <c r="T39" s="21"/>
      <c r="U39" s="39">
        <v>1</v>
      </c>
      <c r="V39" s="25"/>
      <c r="W39" s="21"/>
      <c r="X39" s="21"/>
      <c r="AA39" s="24"/>
      <c r="AB39" s="24"/>
      <c r="AC39" s="24"/>
      <c r="AD39" s="24"/>
      <c r="AE39" s="24"/>
      <c r="AF39" s="24"/>
    </row>
    <row r="40" spans="1:32" ht="22.5" x14ac:dyDescent="0.25">
      <c r="A40" s="41" t="s">
        <v>363</v>
      </c>
      <c r="B40" s="27" t="s">
        <v>192</v>
      </c>
      <c r="C40" s="20"/>
      <c r="D40" s="20"/>
      <c r="E40" s="25"/>
      <c r="F40" s="25"/>
      <c r="G40" s="21"/>
      <c r="H40" s="21"/>
      <c r="I40" s="21"/>
      <c r="J40" s="21"/>
      <c r="K40" s="21"/>
      <c r="L40" s="45">
        <v>45064</v>
      </c>
      <c r="M40" s="37" t="s">
        <v>18</v>
      </c>
      <c r="N40" s="25"/>
      <c r="O40" s="25"/>
      <c r="P40" s="25"/>
      <c r="Q40" s="21"/>
      <c r="R40" s="26"/>
      <c r="S40" s="22">
        <v>803.67</v>
      </c>
      <c r="T40" s="21"/>
      <c r="U40" s="39">
        <v>1</v>
      </c>
      <c r="V40" s="25"/>
      <c r="W40" s="21"/>
      <c r="X40" s="21"/>
      <c r="AA40" s="24"/>
      <c r="AB40" s="24"/>
      <c r="AC40" s="24"/>
      <c r="AD40" s="24"/>
      <c r="AE40" s="24"/>
      <c r="AF40" s="24"/>
    </row>
    <row r="41" spans="1:32" s="9" customFormat="1" ht="22.5" x14ac:dyDescent="0.25">
      <c r="A41" s="41" t="s">
        <v>364</v>
      </c>
      <c r="B41" s="27" t="s">
        <v>193</v>
      </c>
      <c r="C41" s="20"/>
      <c r="D41" s="20"/>
      <c r="E41" s="25"/>
      <c r="F41" s="25"/>
      <c r="G41" s="21"/>
      <c r="H41" s="21"/>
      <c r="I41" s="21"/>
      <c r="J41" s="21"/>
      <c r="K41" s="21"/>
      <c r="L41" s="45">
        <v>45056</v>
      </c>
      <c r="M41" s="37" t="s">
        <v>29</v>
      </c>
      <c r="N41" s="25"/>
      <c r="O41" s="25"/>
      <c r="P41" s="25"/>
      <c r="Q41" s="21"/>
      <c r="R41" s="26"/>
      <c r="S41" s="22">
        <v>5576.82</v>
      </c>
      <c r="T41" s="21"/>
      <c r="U41" s="39">
        <v>1</v>
      </c>
      <c r="V41" s="25"/>
      <c r="W41" s="21"/>
      <c r="X41" s="21"/>
    </row>
    <row r="42" spans="1:32" x14ac:dyDescent="0.25">
      <c r="A42" s="40" t="s">
        <v>365</v>
      </c>
      <c r="B42" s="36" t="s">
        <v>194</v>
      </c>
      <c r="C42" s="29"/>
      <c r="D42" s="29"/>
      <c r="E42" s="29"/>
      <c r="F42" s="29"/>
      <c r="G42" s="29"/>
      <c r="H42" s="30"/>
      <c r="I42" s="29"/>
      <c r="J42" s="29"/>
      <c r="K42" s="30"/>
      <c r="L42" s="42"/>
      <c r="M42" s="34"/>
      <c r="N42" s="30"/>
      <c r="O42" s="30"/>
      <c r="P42" s="30"/>
      <c r="Q42" s="30"/>
      <c r="R42" s="30"/>
      <c r="S42" s="33"/>
      <c r="T42" s="30"/>
      <c r="U42" s="30"/>
      <c r="V42" s="30"/>
      <c r="W42" s="30"/>
      <c r="X42" s="30"/>
      <c r="AA42" s="24"/>
      <c r="AB42" s="24"/>
      <c r="AC42" s="24"/>
      <c r="AD42" s="24"/>
      <c r="AE42" s="24"/>
      <c r="AF42" s="24"/>
    </row>
    <row r="43" spans="1:32" ht="22.5" x14ac:dyDescent="0.25">
      <c r="A43" s="41" t="s">
        <v>366</v>
      </c>
      <c r="B43" s="27" t="s">
        <v>195</v>
      </c>
      <c r="C43" s="20"/>
      <c r="D43" s="20"/>
      <c r="E43" s="25"/>
      <c r="F43" s="25"/>
      <c r="G43" s="21"/>
      <c r="H43" s="21"/>
      <c r="I43" s="21"/>
      <c r="J43" s="21"/>
      <c r="K43" s="21"/>
      <c r="L43" s="45">
        <v>45072</v>
      </c>
      <c r="M43" s="37" t="s">
        <v>18</v>
      </c>
      <c r="N43" s="25"/>
      <c r="O43" s="25"/>
      <c r="P43" s="25"/>
      <c r="Q43" s="21"/>
      <c r="R43" s="26"/>
      <c r="S43" s="22">
        <v>173.06</v>
      </c>
      <c r="T43" s="21"/>
      <c r="U43" s="39">
        <v>1</v>
      </c>
      <c r="V43" s="25"/>
      <c r="W43" s="21"/>
      <c r="X43" s="21"/>
      <c r="AA43" s="24"/>
      <c r="AB43" s="24"/>
      <c r="AC43" s="24"/>
      <c r="AD43" s="24"/>
      <c r="AE43" s="24"/>
      <c r="AF43" s="24"/>
    </row>
    <row r="44" spans="1:32" ht="22.5" x14ac:dyDescent="0.25">
      <c r="A44" s="41" t="s">
        <v>367</v>
      </c>
      <c r="B44" s="27" t="s">
        <v>196</v>
      </c>
      <c r="C44" s="20"/>
      <c r="D44" s="20"/>
      <c r="E44" s="25"/>
      <c r="F44" s="25"/>
      <c r="G44" s="21"/>
      <c r="H44" s="21"/>
      <c r="I44" s="21"/>
      <c r="J44" s="21"/>
      <c r="K44" s="21"/>
      <c r="L44" s="45">
        <v>45071</v>
      </c>
      <c r="M44" s="37" t="s">
        <v>18</v>
      </c>
      <c r="N44" s="25"/>
      <c r="O44" s="25"/>
      <c r="P44" s="25"/>
      <c r="Q44" s="21"/>
      <c r="R44" s="26"/>
      <c r="S44" s="22">
        <v>164.19</v>
      </c>
      <c r="T44" s="21"/>
      <c r="U44" s="39">
        <v>1</v>
      </c>
      <c r="V44" s="25"/>
      <c r="W44" s="21"/>
      <c r="X44" s="21"/>
      <c r="AA44" s="24"/>
      <c r="AB44" s="24"/>
      <c r="AC44" s="24"/>
      <c r="AD44" s="24"/>
      <c r="AE44" s="24"/>
      <c r="AF44" s="24"/>
    </row>
    <row r="45" spans="1:32" s="9" customFormat="1" ht="22.5" x14ac:dyDescent="0.25">
      <c r="A45" s="41" t="s">
        <v>368</v>
      </c>
      <c r="B45" s="27" t="s">
        <v>197</v>
      </c>
      <c r="C45" s="20"/>
      <c r="D45" s="20"/>
      <c r="E45" s="25"/>
      <c r="F45" s="25"/>
      <c r="G45" s="21"/>
      <c r="H45" s="21"/>
      <c r="I45" s="21"/>
      <c r="J45" s="21"/>
      <c r="K45" s="21"/>
      <c r="L45" s="45">
        <v>45070</v>
      </c>
      <c r="M45" s="37" t="s">
        <v>18</v>
      </c>
      <c r="N45" s="25"/>
      <c r="O45" s="25"/>
      <c r="P45" s="25"/>
      <c r="Q45" s="21"/>
      <c r="R45" s="26"/>
      <c r="S45" s="22">
        <v>217.13</v>
      </c>
      <c r="T45" s="21"/>
      <c r="U45" s="39">
        <v>1</v>
      </c>
      <c r="V45" s="25"/>
      <c r="W45" s="21"/>
      <c r="X45" s="21"/>
    </row>
    <row r="46" spans="1:32" s="9" customFormat="1" x14ac:dyDescent="0.25">
      <c r="A46" s="41" t="s">
        <v>369</v>
      </c>
      <c r="B46" s="27" t="s">
        <v>198</v>
      </c>
      <c r="C46" s="20"/>
      <c r="D46" s="20"/>
      <c r="E46" s="25"/>
      <c r="F46" s="25"/>
      <c r="G46" s="21"/>
      <c r="H46" s="21"/>
      <c r="I46" s="21"/>
      <c r="J46" s="21"/>
      <c r="K46" s="21"/>
      <c r="L46" s="45">
        <v>45072</v>
      </c>
      <c r="M46" s="37" t="s">
        <v>18</v>
      </c>
      <c r="N46" s="25"/>
      <c r="O46" s="25"/>
      <c r="P46" s="25"/>
      <c r="Q46" s="21"/>
      <c r="R46" s="26"/>
      <c r="S46" s="22">
        <v>128.79</v>
      </c>
      <c r="T46" s="21"/>
      <c r="U46" s="39">
        <v>1</v>
      </c>
      <c r="V46" s="25"/>
      <c r="W46" s="21"/>
      <c r="X46" s="21"/>
    </row>
    <row r="47" spans="1:32" x14ac:dyDescent="0.25">
      <c r="A47" s="41" t="s">
        <v>370</v>
      </c>
      <c r="B47" s="27" t="s">
        <v>199</v>
      </c>
      <c r="C47" s="20"/>
      <c r="D47" s="20"/>
      <c r="E47" s="25"/>
      <c r="F47" s="25"/>
      <c r="G47" s="21"/>
      <c r="H47" s="21"/>
      <c r="I47" s="21"/>
      <c r="J47" s="21"/>
      <c r="K47" s="21"/>
      <c r="L47" s="45">
        <v>45071</v>
      </c>
      <c r="M47" s="37" t="s">
        <v>18</v>
      </c>
      <c r="N47" s="25"/>
      <c r="O47" s="25"/>
      <c r="P47" s="25"/>
      <c r="Q47" s="21"/>
      <c r="R47" s="26"/>
      <c r="S47" s="22">
        <v>229</v>
      </c>
      <c r="T47" s="21"/>
      <c r="U47" s="39">
        <v>1</v>
      </c>
      <c r="V47" s="25"/>
      <c r="W47" s="21"/>
      <c r="X47" s="21"/>
      <c r="AA47" s="24"/>
      <c r="AB47" s="24"/>
      <c r="AC47" s="24"/>
      <c r="AD47" s="24"/>
      <c r="AE47" s="24"/>
      <c r="AF47" s="24"/>
    </row>
    <row r="48" spans="1:32" ht="22.5" x14ac:dyDescent="0.25">
      <c r="A48" s="41" t="s">
        <v>371</v>
      </c>
      <c r="B48" s="27" t="s">
        <v>200</v>
      </c>
      <c r="C48" s="20"/>
      <c r="D48" s="20"/>
      <c r="E48" s="25"/>
      <c r="F48" s="25"/>
      <c r="G48" s="21"/>
      <c r="H48" s="21"/>
      <c r="I48" s="21"/>
      <c r="J48" s="21"/>
      <c r="K48" s="21"/>
      <c r="L48" s="45">
        <v>45070</v>
      </c>
      <c r="M48" s="37" t="s">
        <v>18</v>
      </c>
      <c r="N48" s="25"/>
      <c r="O48" s="25"/>
      <c r="P48" s="25"/>
      <c r="Q48" s="21"/>
      <c r="R48" s="26"/>
      <c r="S48" s="22">
        <v>178.15</v>
      </c>
      <c r="T48" s="21"/>
      <c r="U48" s="39">
        <v>1</v>
      </c>
      <c r="V48" s="25"/>
      <c r="W48" s="21"/>
      <c r="X48" s="21"/>
      <c r="AA48" s="24"/>
      <c r="AB48" s="24"/>
      <c r="AC48" s="24"/>
      <c r="AD48" s="24"/>
      <c r="AE48" s="24"/>
      <c r="AF48" s="24"/>
    </row>
    <row r="49" spans="1:32" s="9" customFormat="1" x14ac:dyDescent="0.25">
      <c r="A49" s="40" t="s">
        <v>372</v>
      </c>
      <c r="B49" s="36" t="s">
        <v>201</v>
      </c>
      <c r="C49" s="29"/>
      <c r="D49" s="29"/>
      <c r="E49" s="29"/>
      <c r="F49" s="29"/>
      <c r="G49" s="29"/>
      <c r="H49" s="30"/>
      <c r="I49" s="29"/>
      <c r="J49" s="29"/>
      <c r="K49" s="30"/>
      <c r="L49" s="34"/>
      <c r="M49" s="34"/>
      <c r="N49" s="29"/>
      <c r="O49" s="29"/>
      <c r="P49" s="29"/>
      <c r="Q49" s="29"/>
      <c r="R49" s="29"/>
      <c r="S49" s="33"/>
      <c r="T49" s="29"/>
      <c r="U49" s="29"/>
      <c r="V49" s="29"/>
      <c r="W49" s="29"/>
      <c r="X49" s="29"/>
    </row>
    <row r="50" spans="1:32" x14ac:dyDescent="0.25">
      <c r="A50" s="40" t="s">
        <v>373</v>
      </c>
      <c r="B50" s="36" t="s">
        <v>190</v>
      </c>
      <c r="C50" s="29"/>
      <c r="D50" s="29"/>
      <c r="E50" s="29"/>
      <c r="F50" s="29"/>
      <c r="G50" s="29"/>
      <c r="H50" s="30"/>
      <c r="I50" s="29"/>
      <c r="J50" s="29"/>
      <c r="K50" s="30"/>
      <c r="L50" s="42"/>
      <c r="M50" s="34"/>
      <c r="N50" s="30"/>
      <c r="O50" s="30"/>
      <c r="P50" s="30"/>
      <c r="Q50" s="30"/>
      <c r="R50" s="30"/>
      <c r="S50" s="33"/>
      <c r="T50" s="30"/>
      <c r="U50" s="30"/>
      <c r="V50" s="30"/>
      <c r="W50" s="30"/>
      <c r="X50" s="30"/>
      <c r="AA50" s="24"/>
      <c r="AB50" s="24"/>
      <c r="AC50" s="24"/>
      <c r="AD50" s="24"/>
      <c r="AE50" s="24"/>
      <c r="AF50" s="24"/>
    </row>
    <row r="51" spans="1:32" x14ac:dyDescent="0.25">
      <c r="A51" s="41" t="s">
        <v>374</v>
      </c>
      <c r="B51" s="27" t="s">
        <v>202</v>
      </c>
      <c r="C51" s="20"/>
      <c r="D51" s="20"/>
      <c r="E51" s="25"/>
      <c r="F51" s="25"/>
      <c r="G51" s="21"/>
      <c r="H51" s="21"/>
      <c r="I51" s="21"/>
      <c r="J51" s="21"/>
      <c r="K51" s="21"/>
      <c r="L51" s="45">
        <v>45070</v>
      </c>
      <c r="M51" s="37" t="s">
        <v>29</v>
      </c>
      <c r="N51" s="25"/>
      <c r="O51" s="25"/>
      <c r="P51" s="25"/>
      <c r="Q51" s="21"/>
      <c r="R51" s="26"/>
      <c r="S51" s="22">
        <v>33183.24</v>
      </c>
      <c r="T51" s="21"/>
      <c r="U51" s="39">
        <v>1</v>
      </c>
      <c r="V51" s="25"/>
      <c r="W51" s="21"/>
      <c r="X51" s="21"/>
      <c r="AA51" s="24"/>
      <c r="AB51" s="24"/>
      <c r="AC51" s="24"/>
      <c r="AD51" s="24"/>
      <c r="AE51" s="24"/>
      <c r="AF51" s="24"/>
    </row>
    <row r="52" spans="1:32" ht="22.5" x14ac:dyDescent="0.25">
      <c r="A52" s="41" t="s">
        <v>375</v>
      </c>
      <c r="B52" s="27" t="s">
        <v>203</v>
      </c>
      <c r="C52" s="20"/>
      <c r="D52" s="20"/>
      <c r="E52" s="25"/>
      <c r="F52" s="25"/>
      <c r="G52" s="21"/>
      <c r="H52" s="21"/>
      <c r="I52" s="21"/>
      <c r="J52" s="21"/>
      <c r="K52" s="21"/>
      <c r="L52" s="46">
        <v>45069</v>
      </c>
      <c r="M52" s="18" t="s">
        <v>29</v>
      </c>
      <c r="N52" s="21"/>
      <c r="O52" s="21"/>
      <c r="P52" s="25"/>
      <c r="Q52" s="21"/>
      <c r="R52" s="26"/>
      <c r="S52" s="22">
        <v>3171.12</v>
      </c>
      <c r="T52" s="21"/>
      <c r="U52" s="39">
        <v>1</v>
      </c>
      <c r="V52" s="25"/>
      <c r="W52" s="21"/>
      <c r="X52" s="21"/>
      <c r="AA52" s="24"/>
      <c r="AB52" s="24"/>
      <c r="AC52" s="24"/>
      <c r="AD52" s="24"/>
      <c r="AE52" s="24"/>
      <c r="AF52" s="24"/>
    </row>
    <row r="53" spans="1:32" s="9" customFormat="1" x14ac:dyDescent="0.25">
      <c r="A53" s="40" t="s">
        <v>376</v>
      </c>
      <c r="B53" s="36" t="s">
        <v>204</v>
      </c>
      <c r="C53" s="29"/>
      <c r="D53" s="29"/>
      <c r="E53" s="29"/>
      <c r="F53" s="29"/>
      <c r="G53" s="29"/>
      <c r="H53" s="30"/>
      <c r="I53" s="29"/>
      <c r="J53" s="29"/>
      <c r="K53" s="30"/>
      <c r="L53" s="29"/>
      <c r="M53" s="31"/>
      <c r="N53" s="29"/>
      <c r="O53" s="29"/>
      <c r="P53" s="29"/>
      <c r="Q53" s="29"/>
      <c r="R53" s="29"/>
      <c r="S53" s="33"/>
      <c r="T53" s="29"/>
      <c r="U53" s="29"/>
      <c r="V53" s="29"/>
      <c r="W53" s="29"/>
      <c r="X53" s="29"/>
    </row>
    <row r="54" spans="1:32" x14ac:dyDescent="0.25">
      <c r="A54" s="41" t="s">
        <v>377</v>
      </c>
      <c r="B54" s="27" t="s">
        <v>205</v>
      </c>
      <c r="C54" s="20"/>
      <c r="D54" s="20"/>
      <c r="E54" s="25"/>
      <c r="F54" s="25"/>
      <c r="G54" s="21"/>
      <c r="H54" s="21"/>
      <c r="I54" s="21"/>
      <c r="J54" s="21"/>
      <c r="K54" s="21"/>
      <c r="L54" s="46">
        <v>45071</v>
      </c>
      <c r="M54" s="18" t="s">
        <v>114</v>
      </c>
      <c r="N54" s="21"/>
      <c r="O54" s="21"/>
      <c r="P54" s="25"/>
      <c r="Q54" s="21"/>
      <c r="R54" s="26"/>
      <c r="S54" s="22">
        <v>22575.9</v>
      </c>
      <c r="T54" s="21"/>
      <c r="U54" s="39">
        <v>1</v>
      </c>
      <c r="V54" s="25"/>
      <c r="W54" s="21"/>
      <c r="X54" s="21"/>
      <c r="AA54" s="24"/>
      <c r="AB54" s="24"/>
      <c r="AC54" s="24"/>
      <c r="AD54" s="24"/>
      <c r="AE54" s="24"/>
      <c r="AF54" s="24"/>
    </row>
    <row r="55" spans="1:32" x14ac:dyDescent="0.25">
      <c r="A55" s="41" t="s">
        <v>378</v>
      </c>
      <c r="B55" s="27" t="s">
        <v>206</v>
      </c>
      <c r="C55" s="20"/>
      <c r="D55" s="20"/>
      <c r="E55" s="25"/>
      <c r="F55" s="25"/>
      <c r="G55" s="21"/>
      <c r="H55" s="21"/>
      <c r="I55" s="21"/>
      <c r="J55" s="21"/>
      <c r="K55" s="21"/>
      <c r="L55" s="46">
        <v>45077</v>
      </c>
      <c r="M55" s="18" t="s">
        <v>18</v>
      </c>
      <c r="N55" s="21"/>
      <c r="O55" s="21"/>
      <c r="P55" s="25"/>
      <c r="Q55" s="21"/>
      <c r="R55" s="26"/>
      <c r="S55" s="22">
        <v>12121.9</v>
      </c>
      <c r="T55" s="21"/>
      <c r="U55" s="39">
        <v>1</v>
      </c>
      <c r="V55" s="25"/>
      <c r="W55" s="21"/>
      <c r="X55" s="21"/>
      <c r="AA55" s="24"/>
      <c r="AB55" s="24"/>
      <c r="AC55" s="24"/>
      <c r="AD55" s="24"/>
      <c r="AE55" s="24"/>
      <c r="AF55" s="24"/>
    </row>
    <row r="56" spans="1:32" x14ac:dyDescent="0.25">
      <c r="A56" s="41" t="s">
        <v>379</v>
      </c>
      <c r="B56" s="27" t="s">
        <v>207</v>
      </c>
      <c r="C56" s="20"/>
      <c r="D56" s="20"/>
      <c r="E56" s="25"/>
      <c r="F56" s="25"/>
      <c r="G56" s="21"/>
      <c r="H56" s="21"/>
      <c r="I56" s="21"/>
      <c r="J56" s="21"/>
      <c r="K56" s="21"/>
      <c r="L56" s="46">
        <v>45078</v>
      </c>
      <c r="M56" s="18" t="s">
        <v>41</v>
      </c>
      <c r="N56" s="21"/>
      <c r="O56" s="21"/>
      <c r="P56" s="25"/>
      <c r="Q56" s="21"/>
      <c r="R56" s="26"/>
      <c r="S56" s="22">
        <v>18167.8</v>
      </c>
      <c r="T56" s="21"/>
      <c r="U56" s="39">
        <v>1</v>
      </c>
      <c r="V56" s="25"/>
      <c r="W56" s="21"/>
      <c r="X56" s="21"/>
      <c r="AA56" s="24"/>
      <c r="AB56" s="24"/>
      <c r="AC56" s="24"/>
      <c r="AD56" s="24"/>
      <c r="AE56" s="24"/>
      <c r="AF56" s="24"/>
    </row>
    <row r="57" spans="1:32" s="9" customFormat="1" x14ac:dyDescent="0.25">
      <c r="A57" s="41" t="s">
        <v>380</v>
      </c>
      <c r="B57" s="27" t="s">
        <v>208</v>
      </c>
      <c r="C57" s="20"/>
      <c r="D57" s="20"/>
      <c r="E57" s="25"/>
      <c r="F57" s="25"/>
      <c r="G57" s="21"/>
      <c r="H57" s="21"/>
      <c r="I57" s="21"/>
      <c r="J57" s="21"/>
      <c r="K57" s="21"/>
      <c r="L57" s="46"/>
      <c r="M57" s="18"/>
      <c r="N57" s="21"/>
      <c r="O57" s="21"/>
      <c r="P57" s="25"/>
      <c r="Q57" s="21"/>
      <c r="R57" s="26"/>
      <c r="S57" s="22"/>
      <c r="T57" s="21"/>
      <c r="U57" s="39">
        <v>0</v>
      </c>
      <c r="V57" s="25"/>
      <c r="W57" s="21"/>
      <c r="X57" s="21"/>
    </row>
    <row r="58" spans="1:32" x14ac:dyDescent="0.25">
      <c r="A58" s="41" t="s">
        <v>381</v>
      </c>
      <c r="B58" s="27" t="s">
        <v>209</v>
      </c>
      <c r="C58" s="20"/>
      <c r="D58" s="20"/>
      <c r="E58" s="25"/>
      <c r="F58" s="25"/>
      <c r="G58" s="21"/>
      <c r="H58" s="21"/>
      <c r="I58" s="21"/>
      <c r="J58" s="21"/>
      <c r="K58" s="21"/>
      <c r="L58" s="46"/>
      <c r="M58" s="18"/>
      <c r="N58" s="21"/>
      <c r="O58" s="21"/>
      <c r="P58" s="25"/>
      <c r="Q58" s="21"/>
      <c r="R58" s="26"/>
      <c r="S58" s="22"/>
      <c r="T58" s="21"/>
      <c r="U58" s="39">
        <v>0</v>
      </c>
      <c r="V58" s="25"/>
      <c r="W58" s="21"/>
      <c r="X58" s="21"/>
      <c r="AA58" s="24"/>
      <c r="AB58" s="24"/>
      <c r="AC58" s="24"/>
      <c r="AD58" s="24"/>
      <c r="AE58" s="24"/>
      <c r="AF58" s="24"/>
    </row>
    <row r="59" spans="1:32" x14ac:dyDescent="0.25">
      <c r="A59" s="41" t="s">
        <v>382</v>
      </c>
      <c r="B59" s="27" t="s">
        <v>210</v>
      </c>
      <c r="C59" s="20"/>
      <c r="D59" s="20"/>
      <c r="E59" s="25"/>
      <c r="F59" s="25"/>
      <c r="G59" s="21"/>
      <c r="H59" s="21"/>
      <c r="I59" s="21"/>
      <c r="J59" s="21"/>
      <c r="K59" s="21"/>
      <c r="L59" s="46">
        <v>45077</v>
      </c>
      <c r="M59" s="18" t="s">
        <v>18</v>
      </c>
      <c r="N59" s="21"/>
      <c r="O59" s="21"/>
      <c r="P59" s="25"/>
      <c r="Q59" s="21"/>
      <c r="R59" s="26"/>
      <c r="S59" s="22">
        <v>1903.2</v>
      </c>
      <c r="T59" s="21"/>
      <c r="U59" s="39">
        <v>1</v>
      </c>
      <c r="V59" s="25"/>
      <c r="W59" s="21"/>
      <c r="X59" s="21"/>
      <c r="AA59" s="24"/>
      <c r="AB59" s="24"/>
      <c r="AC59" s="24"/>
      <c r="AD59" s="24"/>
      <c r="AE59" s="24"/>
      <c r="AF59" s="24"/>
    </row>
    <row r="60" spans="1:32" s="9" customFormat="1" ht="22.5" x14ac:dyDescent="0.25">
      <c r="A60" s="41" t="s">
        <v>383</v>
      </c>
      <c r="B60" s="27" t="s">
        <v>211</v>
      </c>
      <c r="C60" s="20"/>
      <c r="D60" s="20"/>
      <c r="E60" s="25"/>
      <c r="F60" s="25"/>
      <c r="G60" s="21"/>
      <c r="H60" s="21"/>
      <c r="I60" s="21"/>
      <c r="J60" s="21"/>
      <c r="K60" s="21"/>
      <c r="L60" s="46"/>
      <c r="M60" s="18"/>
      <c r="N60" s="21"/>
      <c r="O60" s="21"/>
      <c r="P60" s="25"/>
      <c r="Q60" s="21"/>
      <c r="R60" s="26"/>
      <c r="S60" s="22"/>
      <c r="T60" s="21"/>
      <c r="U60" s="39">
        <v>0</v>
      </c>
      <c r="V60" s="25"/>
      <c r="W60" s="21"/>
      <c r="X60" s="21"/>
    </row>
    <row r="61" spans="1:32" x14ac:dyDescent="0.25">
      <c r="A61" s="41" t="s">
        <v>384</v>
      </c>
      <c r="B61" s="27" t="s">
        <v>212</v>
      </c>
      <c r="C61" s="20"/>
      <c r="D61" s="20"/>
      <c r="E61" s="25"/>
      <c r="F61" s="25"/>
      <c r="G61" s="21"/>
      <c r="H61" s="21"/>
      <c r="I61" s="21"/>
      <c r="J61" s="21"/>
      <c r="K61" s="21"/>
      <c r="L61" s="46"/>
      <c r="M61" s="18"/>
      <c r="N61" s="21"/>
      <c r="O61" s="21"/>
      <c r="P61" s="25"/>
      <c r="Q61" s="21"/>
      <c r="R61" s="26"/>
      <c r="S61" s="22"/>
      <c r="T61" s="21"/>
      <c r="U61" s="39">
        <v>0</v>
      </c>
      <c r="V61" s="25"/>
      <c r="W61" s="21"/>
      <c r="X61" s="21"/>
      <c r="AA61" s="24"/>
      <c r="AB61" s="24"/>
      <c r="AC61" s="24"/>
      <c r="AD61" s="24"/>
      <c r="AE61" s="24"/>
      <c r="AF61" s="24"/>
    </row>
    <row r="62" spans="1:32" x14ac:dyDescent="0.25">
      <c r="A62" s="40" t="s">
        <v>385</v>
      </c>
      <c r="B62" s="36" t="s">
        <v>213</v>
      </c>
      <c r="C62" s="29"/>
      <c r="D62" s="29"/>
      <c r="E62" s="29"/>
      <c r="F62" s="29"/>
      <c r="G62" s="29"/>
      <c r="H62" s="30"/>
      <c r="I62" s="29"/>
      <c r="J62" s="29"/>
      <c r="K62" s="30"/>
      <c r="L62" s="29"/>
      <c r="M62" s="31"/>
      <c r="N62" s="29"/>
      <c r="O62" s="29"/>
      <c r="P62" s="29"/>
      <c r="Q62" s="29"/>
      <c r="R62" s="29"/>
      <c r="S62" s="33"/>
      <c r="T62" s="29"/>
      <c r="U62" s="29"/>
      <c r="V62" s="29"/>
      <c r="W62" s="29"/>
      <c r="X62" s="29"/>
      <c r="AA62" s="24"/>
      <c r="AB62" s="24"/>
      <c r="AC62" s="24"/>
      <c r="AD62" s="24"/>
      <c r="AE62" s="24"/>
      <c r="AF62" s="24"/>
    </row>
    <row r="63" spans="1:32" x14ac:dyDescent="0.25">
      <c r="A63" s="41" t="s">
        <v>386</v>
      </c>
      <c r="B63" s="27" t="s">
        <v>214</v>
      </c>
      <c r="C63" s="20"/>
      <c r="D63" s="20"/>
      <c r="E63" s="25"/>
      <c r="F63" s="25"/>
      <c r="G63" s="21"/>
      <c r="H63" s="21"/>
      <c r="I63" s="21"/>
      <c r="J63" s="21"/>
      <c r="K63" s="21"/>
      <c r="L63" s="46"/>
      <c r="M63" s="18"/>
      <c r="N63" s="21"/>
      <c r="O63" s="21"/>
      <c r="P63" s="25"/>
      <c r="Q63" s="21"/>
      <c r="R63" s="26"/>
      <c r="S63" s="22"/>
      <c r="T63" s="21"/>
      <c r="U63" s="39">
        <v>0</v>
      </c>
      <c r="V63" s="25"/>
      <c r="W63" s="21"/>
      <c r="X63" s="21"/>
      <c r="AA63" s="24"/>
      <c r="AB63" s="24"/>
      <c r="AC63" s="24"/>
      <c r="AD63" s="24"/>
      <c r="AE63" s="24"/>
      <c r="AF63" s="24"/>
    </row>
    <row r="64" spans="1:32" s="9" customFormat="1" x14ac:dyDescent="0.25">
      <c r="A64" s="40" t="s">
        <v>387</v>
      </c>
      <c r="B64" s="36" t="s">
        <v>215</v>
      </c>
      <c r="C64" s="29"/>
      <c r="D64" s="29"/>
      <c r="E64" s="29"/>
      <c r="F64" s="29"/>
      <c r="G64" s="29"/>
      <c r="H64" s="30"/>
      <c r="I64" s="29"/>
      <c r="J64" s="29"/>
      <c r="K64" s="30"/>
      <c r="L64" s="29"/>
      <c r="M64" s="31"/>
      <c r="N64" s="29"/>
      <c r="O64" s="29"/>
      <c r="P64" s="29"/>
      <c r="Q64" s="29"/>
      <c r="R64" s="29"/>
      <c r="S64" s="33"/>
      <c r="T64" s="29"/>
      <c r="U64" s="29"/>
      <c r="V64" s="29"/>
      <c r="W64" s="29"/>
      <c r="X64" s="29"/>
    </row>
    <row r="65" spans="1:32" x14ac:dyDescent="0.25">
      <c r="A65" s="41" t="s">
        <v>388</v>
      </c>
      <c r="B65" s="27" t="s">
        <v>216</v>
      </c>
      <c r="C65" s="20"/>
      <c r="D65" s="20"/>
      <c r="E65" s="25"/>
      <c r="F65" s="25"/>
      <c r="G65" s="21"/>
      <c r="H65" s="21"/>
      <c r="I65" s="21"/>
      <c r="J65" s="21"/>
      <c r="K65" s="21"/>
      <c r="L65" s="46"/>
      <c r="M65" s="18"/>
      <c r="N65" s="21"/>
      <c r="O65" s="21"/>
      <c r="P65" s="25"/>
      <c r="Q65" s="21"/>
      <c r="R65" s="26"/>
      <c r="S65" s="22"/>
      <c r="T65" s="21"/>
      <c r="U65" s="39">
        <v>0</v>
      </c>
      <c r="V65" s="25"/>
      <c r="W65" s="21"/>
      <c r="X65" s="21"/>
      <c r="AA65" s="24"/>
      <c r="AB65" s="24"/>
      <c r="AC65" s="24"/>
      <c r="AD65" s="24"/>
      <c r="AE65" s="24"/>
      <c r="AF65" s="24"/>
    </row>
    <row r="66" spans="1:32" x14ac:dyDescent="0.25">
      <c r="A66" s="41" t="s">
        <v>389</v>
      </c>
      <c r="B66" s="27" t="s">
        <v>217</v>
      </c>
      <c r="C66" s="20"/>
      <c r="D66" s="20"/>
      <c r="E66" s="25"/>
      <c r="F66" s="25"/>
      <c r="G66" s="21"/>
      <c r="H66" s="21"/>
      <c r="I66" s="21"/>
      <c r="J66" s="21"/>
      <c r="K66" s="21"/>
      <c r="L66" s="46"/>
      <c r="M66" s="18"/>
      <c r="N66" s="21"/>
      <c r="O66" s="21"/>
      <c r="P66" s="25"/>
      <c r="Q66" s="21"/>
      <c r="R66" s="26"/>
      <c r="S66" s="22"/>
      <c r="T66" s="21"/>
      <c r="U66" s="39">
        <v>0</v>
      </c>
      <c r="V66" s="25"/>
      <c r="W66" s="21"/>
      <c r="X66" s="21"/>
      <c r="AA66" s="24"/>
      <c r="AB66" s="24"/>
      <c r="AC66" s="24"/>
      <c r="AD66" s="24"/>
      <c r="AE66" s="24"/>
      <c r="AF66" s="24"/>
    </row>
    <row r="67" spans="1:32" s="9" customFormat="1" x14ac:dyDescent="0.25">
      <c r="A67" s="41" t="s">
        <v>390</v>
      </c>
      <c r="B67" s="27" t="s">
        <v>218</v>
      </c>
      <c r="C67" s="20"/>
      <c r="D67" s="20"/>
      <c r="E67" s="25"/>
      <c r="F67" s="25"/>
      <c r="G67" s="21"/>
      <c r="H67" s="21"/>
      <c r="I67" s="21"/>
      <c r="J67" s="21"/>
      <c r="K67" s="21"/>
      <c r="L67" s="46"/>
      <c r="M67" s="18"/>
      <c r="N67" s="21"/>
      <c r="O67" s="21"/>
      <c r="P67" s="25"/>
      <c r="Q67" s="21"/>
      <c r="R67" s="26"/>
      <c r="S67" s="22"/>
      <c r="T67" s="21"/>
      <c r="U67" s="39">
        <v>0</v>
      </c>
      <c r="V67" s="25"/>
      <c r="W67" s="21"/>
      <c r="X67" s="21"/>
    </row>
    <row r="68" spans="1:32" x14ac:dyDescent="0.25">
      <c r="A68" s="41" t="s">
        <v>391</v>
      </c>
      <c r="B68" s="27" t="s">
        <v>219</v>
      </c>
      <c r="C68" s="20"/>
      <c r="D68" s="20"/>
      <c r="E68" s="25"/>
      <c r="F68" s="25"/>
      <c r="G68" s="21"/>
      <c r="H68" s="21"/>
      <c r="I68" s="21"/>
      <c r="J68" s="21"/>
      <c r="K68" s="21"/>
      <c r="L68" s="46"/>
      <c r="M68" s="18"/>
      <c r="N68" s="21"/>
      <c r="O68" s="21"/>
      <c r="P68" s="25"/>
      <c r="Q68" s="21"/>
      <c r="R68" s="26"/>
      <c r="S68" s="22"/>
      <c r="T68" s="21"/>
      <c r="U68" s="39">
        <v>0</v>
      </c>
      <c r="V68" s="25"/>
      <c r="W68" s="21"/>
      <c r="X68" s="21"/>
      <c r="AA68" s="24"/>
      <c r="AB68" s="24"/>
      <c r="AC68" s="24"/>
      <c r="AD68" s="24"/>
      <c r="AE68" s="24"/>
      <c r="AF68" s="24"/>
    </row>
    <row r="69" spans="1:32" x14ac:dyDescent="0.25">
      <c r="A69" s="41" t="s">
        <v>392</v>
      </c>
      <c r="B69" s="27" t="s">
        <v>220</v>
      </c>
      <c r="C69" s="20"/>
      <c r="D69" s="20"/>
      <c r="E69" s="25"/>
      <c r="F69" s="25"/>
      <c r="G69" s="21"/>
      <c r="H69" s="21"/>
      <c r="I69" s="21"/>
      <c r="J69" s="21"/>
      <c r="K69" s="21"/>
      <c r="L69" s="46"/>
      <c r="M69" s="18"/>
      <c r="N69" s="21"/>
      <c r="O69" s="21"/>
      <c r="P69" s="25"/>
      <c r="Q69" s="21"/>
      <c r="R69" s="26"/>
      <c r="S69" s="22"/>
      <c r="T69" s="21"/>
      <c r="U69" s="39">
        <v>0</v>
      </c>
      <c r="V69" s="25"/>
      <c r="W69" s="21"/>
      <c r="X69" s="21"/>
      <c r="AA69" s="24"/>
      <c r="AB69" s="24"/>
      <c r="AC69" s="24"/>
      <c r="AD69" s="24"/>
      <c r="AE69" s="24"/>
      <c r="AF69" s="24"/>
    </row>
    <row r="70" spans="1:32" s="9" customFormat="1" x14ac:dyDescent="0.25">
      <c r="A70" s="40" t="s">
        <v>393</v>
      </c>
      <c r="B70" s="36" t="s">
        <v>221</v>
      </c>
      <c r="C70" s="29"/>
      <c r="D70" s="29"/>
      <c r="E70" s="29"/>
      <c r="F70" s="29"/>
      <c r="G70" s="29"/>
      <c r="H70" s="30"/>
      <c r="I70" s="29"/>
      <c r="J70" s="29"/>
      <c r="K70" s="30"/>
      <c r="L70" s="30"/>
      <c r="M70" s="29"/>
      <c r="N70" s="30"/>
      <c r="O70" s="30"/>
      <c r="P70" s="30"/>
      <c r="Q70" s="30"/>
      <c r="R70" s="30"/>
      <c r="S70" s="33"/>
      <c r="T70" s="30"/>
      <c r="U70" s="30"/>
      <c r="V70" s="30"/>
      <c r="W70" s="30"/>
      <c r="X70" s="30"/>
    </row>
    <row r="71" spans="1:32" s="9" customFormat="1" ht="22.5" x14ac:dyDescent="0.25">
      <c r="A71" s="41" t="s">
        <v>394</v>
      </c>
      <c r="B71" s="27" t="s">
        <v>222</v>
      </c>
      <c r="C71" s="20"/>
      <c r="D71" s="20"/>
      <c r="E71" s="25"/>
      <c r="F71" s="25"/>
      <c r="G71" s="21"/>
      <c r="H71" s="21"/>
      <c r="I71" s="21"/>
      <c r="J71" s="21"/>
      <c r="K71" s="21"/>
      <c r="L71" s="46"/>
      <c r="M71" s="18"/>
      <c r="N71" s="21"/>
      <c r="O71" s="21"/>
      <c r="P71" s="25"/>
      <c r="Q71" s="21"/>
      <c r="R71" s="26"/>
      <c r="S71" s="22"/>
      <c r="T71" s="21"/>
      <c r="U71" s="39">
        <v>0</v>
      </c>
      <c r="V71" s="25"/>
      <c r="W71" s="21"/>
      <c r="X71" s="21"/>
    </row>
    <row r="72" spans="1:32" x14ac:dyDescent="0.25">
      <c r="A72" s="40" t="s">
        <v>395</v>
      </c>
      <c r="B72" s="36" t="s">
        <v>223</v>
      </c>
      <c r="C72" s="29"/>
      <c r="D72" s="29"/>
      <c r="E72" s="29"/>
      <c r="F72" s="29"/>
      <c r="G72" s="29"/>
      <c r="H72" s="30"/>
      <c r="I72" s="29"/>
      <c r="J72" s="29"/>
      <c r="K72" s="30"/>
      <c r="L72" s="29"/>
      <c r="M72" s="31"/>
      <c r="N72" s="29"/>
      <c r="O72" s="29"/>
      <c r="P72" s="29"/>
      <c r="Q72" s="29"/>
      <c r="R72" s="29"/>
      <c r="S72" s="33"/>
      <c r="T72" s="29"/>
      <c r="U72" s="29"/>
      <c r="V72" s="29"/>
      <c r="W72" s="29"/>
      <c r="X72" s="29"/>
      <c r="AA72" s="24"/>
      <c r="AB72" s="24"/>
      <c r="AC72" s="24"/>
      <c r="AD72" s="24"/>
      <c r="AE72" s="24"/>
      <c r="AF72" s="24"/>
    </row>
    <row r="73" spans="1:32" ht="22.5" x14ac:dyDescent="0.25">
      <c r="A73" s="41" t="s">
        <v>396</v>
      </c>
      <c r="B73" s="27" t="s">
        <v>224</v>
      </c>
      <c r="C73" s="20"/>
      <c r="D73" s="20"/>
      <c r="E73" s="25"/>
      <c r="F73" s="25"/>
      <c r="G73" s="21"/>
      <c r="H73" s="21"/>
      <c r="I73" s="21"/>
      <c r="J73" s="21"/>
      <c r="K73" s="21"/>
      <c r="L73" s="46"/>
      <c r="M73" s="18"/>
      <c r="N73" s="21"/>
      <c r="O73" s="21"/>
      <c r="P73" s="25"/>
      <c r="Q73" s="21"/>
      <c r="R73" s="26"/>
      <c r="S73" s="22"/>
      <c r="T73" s="21"/>
      <c r="U73" s="39">
        <v>0</v>
      </c>
      <c r="V73" s="25"/>
      <c r="W73" s="21"/>
      <c r="X73" s="21"/>
      <c r="AA73" s="24"/>
      <c r="AB73" s="24"/>
      <c r="AC73" s="24"/>
      <c r="AD73" s="24"/>
      <c r="AE73" s="24"/>
      <c r="AF73" s="24"/>
    </row>
    <row r="74" spans="1:32" s="9" customFormat="1" ht="22.5" x14ac:dyDescent="0.25">
      <c r="A74" s="41" t="s">
        <v>397</v>
      </c>
      <c r="B74" s="27" t="s">
        <v>225</v>
      </c>
      <c r="C74" s="20"/>
      <c r="D74" s="20"/>
      <c r="E74" s="25"/>
      <c r="F74" s="25"/>
      <c r="G74" s="21"/>
      <c r="H74" s="21"/>
      <c r="I74" s="21"/>
      <c r="J74" s="21"/>
      <c r="K74" s="21"/>
      <c r="L74" s="46"/>
      <c r="M74" s="18"/>
      <c r="N74" s="21"/>
      <c r="O74" s="21"/>
      <c r="P74" s="25"/>
      <c r="Q74" s="21"/>
      <c r="R74" s="26"/>
      <c r="S74" s="22"/>
      <c r="T74" s="21"/>
      <c r="U74" s="39">
        <v>0</v>
      </c>
      <c r="V74" s="25"/>
      <c r="W74" s="21"/>
      <c r="X74" s="21"/>
    </row>
    <row r="75" spans="1:32" x14ac:dyDescent="0.25">
      <c r="A75" s="41" t="s">
        <v>398</v>
      </c>
      <c r="B75" s="27" t="s">
        <v>226</v>
      </c>
      <c r="C75" s="20"/>
      <c r="D75" s="20"/>
      <c r="E75" s="25"/>
      <c r="F75" s="25"/>
      <c r="G75" s="21"/>
      <c r="H75" s="21"/>
      <c r="I75" s="21"/>
      <c r="J75" s="21"/>
      <c r="K75" s="21"/>
      <c r="L75" s="46"/>
      <c r="M75" s="18"/>
      <c r="N75" s="21"/>
      <c r="O75" s="21"/>
      <c r="P75" s="25"/>
      <c r="Q75" s="21"/>
      <c r="R75" s="26"/>
      <c r="S75" s="22"/>
      <c r="T75" s="21"/>
      <c r="U75" s="39">
        <v>0</v>
      </c>
      <c r="V75" s="25"/>
      <c r="W75" s="21"/>
      <c r="X75" s="21"/>
      <c r="AA75" s="24"/>
      <c r="AB75" s="24"/>
      <c r="AC75" s="24"/>
      <c r="AD75" s="24"/>
      <c r="AE75" s="24"/>
      <c r="AF75" s="24"/>
    </row>
    <row r="76" spans="1:32" x14ac:dyDescent="0.25">
      <c r="A76" s="41" t="s">
        <v>399</v>
      </c>
      <c r="B76" s="27" t="s">
        <v>227</v>
      </c>
      <c r="C76" s="20"/>
      <c r="D76" s="20"/>
      <c r="E76" s="25"/>
      <c r="F76" s="25"/>
      <c r="G76" s="21"/>
      <c r="H76" s="21"/>
      <c r="I76" s="21"/>
      <c r="J76" s="21"/>
      <c r="K76" s="21"/>
      <c r="L76" s="46"/>
      <c r="M76" s="18"/>
      <c r="N76" s="21"/>
      <c r="O76" s="21"/>
      <c r="P76" s="25"/>
      <c r="Q76" s="21"/>
      <c r="R76" s="26"/>
      <c r="S76" s="22"/>
      <c r="T76" s="21"/>
      <c r="U76" s="39">
        <v>0</v>
      </c>
      <c r="V76" s="25"/>
      <c r="W76" s="21"/>
      <c r="X76" s="21"/>
      <c r="AA76" s="24"/>
      <c r="AB76" s="24"/>
      <c r="AC76" s="24"/>
      <c r="AD76" s="24"/>
      <c r="AE76" s="24"/>
      <c r="AF76" s="24"/>
    </row>
    <row r="77" spans="1:32" x14ac:dyDescent="0.25">
      <c r="A77" s="41" t="s">
        <v>400</v>
      </c>
      <c r="B77" s="27" t="s">
        <v>228</v>
      </c>
      <c r="C77" s="20"/>
      <c r="D77" s="20"/>
      <c r="E77" s="25"/>
      <c r="F77" s="25"/>
      <c r="G77" s="21"/>
      <c r="H77" s="21"/>
      <c r="I77" s="21"/>
      <c r="J77" s="21"/>
      <c r="K77" s="21"/>
      <c r="L77" s="46"/>
      <c r="M77" s="18"/>
      <c r="N77" s="21"/>
      <c r="O77" s="21"/>
      <c r="P77" s="25"/>
      <c r="Q77" s="21"/>
      <c r="R77" s="26"/>
      <c r="S77" s="22"/>
      <c r="T77" s="21"/>
      <c r="U77" s="39">
        <v>0</v>
      </c>
      <c r="V77" s="25"/>
      <c r="W77" s="21"/>
      <c r="X77" s="21"/>
      <c r="AA77" s="24"/>
      <c r="AB77" s="24"/>
      <c r="AC77" s="24"/>
      <c r="AD77" s="24"/>
      <c r="AE77" s="24"/>
      <c r="AF77" s="24"/>
    </row>
    <row r="78" spans="1:32" x14ac:dyDescent="0.25">
      <c r="A78" s="41" t="s">
        <v>401</v>
      </c>
      <c r="B78" s="27" t="s">
        <v>229</v>
      </c>
      <c r="C78" s="20"/>
      <c r="D78" s="20"/>
      <c r="E78" s="25"/>
      <c r="F78" s="25"/>
      <c r="G78" s="21"/>
      <c r="H78" s="21"/>
      <c r="I78" s="21"/>
      <c r="J78" s="21"/>
      <c r="K78" s="21"/>
      <c r="L78" s="46"/>
      <c r="M78" s="18"/>
      <c r="N78" s="21"/>
      <c r="O78" s="21"/>
      <c r="P78" s="25"/>
      <c r="Q78" s="21"/>
      <c r="R78" s="26"/>
      <c r="S78" s="22"/>
      <c r="T78" s="21"/>
      <c r="U78" s="39">
        <v>0</v>
      </c>
      <c r="V78" s="25"/>
      <c r="W78" s="21"/>
      <c r="X78" s="21"/>
      <c r="AA78" s="24"/>
      <c r="AB78" s="24"/>
      <c r="AC78" s="24"/>
      <c r="AD78" s="24"/>
      <c r="AE78" s="24"/>
      <c r="AF78" s="24"/>
    </row>
    <row r="79" spans="1:32" x14ac:dyDescent="0.25">
      <c r="A79" s="41" t="s">
        <v>402</v>
      </c>
      <c r="B79" s="27" t="s">
        <v>230</v>
      </c>
      <c r="C79" s="20"/>
      <c r="D79" s="20"/>
      <c r="E79" s="25"/>
      <c r="F79" s="25"/>
      <c r="G79" s="21"/>
      <c r="H79" s="21"/>
      <c r="I79" s="21"/>
      <c r="J79" s="21"/>
      <c r="K79" s="21"/>
      <c r="L79" s="46"/>
      <c r="M79" s="18"/>
      <c r="N79" s="21"/>
      <c r="O79" s="21"/>
      <c r="P79" s="25"/>
      <c r="Q79" s="21"/>
      <c r="R79" s="26"/>
      <c r="S79" s="22"/>
      <c r="T79" s="21"/>
      <c r="U79" s="39">
        <v>0</v>
      </c>
      <c r="V79" s="25"/>
      <c r="W79" s="21"/>
      <c r="X79" s="21"/>
    </row>
    <row r="80" spans="1:32" x14ac:dyDescent="0.25">
      <c r="A80" s="41" t="s">
        <v>403</v>
      </c>
      <c r="B80" s="27" t="s">
        <v>231</v>
      </c>
      <c r="C80" s="20"/>
      <c r="D80" s="20"/>
      <c r="E80" s="25"/>
      <c r="F80" s="25"/>
      <c r="G80" s="21"/>
      <c r="H80" s="21"/>
      <c r="I80" s="21"/>
      <c r="J80" s="21"/>
      <c r="K80" s="21"/>
      <c r="L80" s="46"/>
      <c r="M80" s="18"/>
      <c r="N80" s="21"/>
      <c r="O80" s="21"/>
      <c r="P80" s="25"/>
      <c r="Q80" s="21"/>
      <c r="R80" s="26"/>
      <c r="S80" s="22"/>
      <c r="T80" s="21"/>
      <c r="U80" s="39">
        <v>0</v>
      </c>
      <c r="V80" s="25"/>
      <c r="W80" s="21"/>
      <c r="X80" s="21"/>
    </row>
    <row r="81" spans="1:24" x14ac:dyDescent="0.25">
      <c r="A81" s="41" t="s">
        <v>404</v>
      </c>
      <c r="B81" s="27" t="s">
        <v>232</v>
      </c>
      <c r="C81" s="20"/>
      <c r="D81" s="20"/>
      <c r="E81" s="25"/>
      <c r="F81" s="25"/>
      <c r="G81" s="21"/>
      <c r="H81" s="21"/>
      <c r="I81" s="21"/>
      <c r="J81" s="21"/>
      <c r="K81" s="21"/>
      <c r="L81" s="46"/>
      <c r="M81" s="18"/>
      <c r="N81" s="21"/>
      <c r="O81" s="21"/>
      <c r="P81" s="25"/>
      <c r="Q81" s="21"/>
      <c r="R81" s="26"/>
      <c r="S81" s="22"/>
      <c r="T81" s="21"/>
      <c r="U81" s="39">
        <v>0</v>
      </c>
      <c r="V81" s="25"/>
      <c r="W81" s="21"/>
      <c r="X81" s="21"/>
    </row>
    <row r="82" spans="1:24" x14ac:dyDescent="0.25">
      <c r="A82" s="40" t="s">
        <v>405</v>
      </c>
      <c r="B82" s="36" t="s">
        <v>233</v>
      </c>
      <c r="C82" s="29"/>
      <c r="D82" s="29"/>
      <c r="E82" s="29"/>
      <c r="F82" s="29"/>
      <c r="G82" s="29"/>
      <c r="H82" s="30"/>
      <c r="I82" s="29"/>
      <c r="J82" s="29"/>
      <c r="K82" s="30"/>
      <c r="L82" s="29"/>
      <c r="M82" s="31"/>
      <c r="N82" s="29"/>
      <c r="O82" s="29"/>
      <c r="P82" s="29"/>
      <c r="Q82" s="29"/>
      <c r="R82" s="29"/>
      <c r="S82" s="33"/>
      <c r="T82" s="29"/>
      <c r="U82" s="29"/>
      <c r="V82" s="29"/>
      <c r="W82" s="29"/>
      <c r="X82" s="29"/>
    </row>
    <row r="83" spans="1:24" x14ac:dyDescent="0.25">
      <c r="A83" s="41" t="s">
        <v>406</v>
      </c>
      <c r="B83" s="27" t="s">
        <v>234</v>
      </c>
      <c r="C83" s="20"/>
      <c r="D83" s="20"/>
      <c r="E83" s="25"/>
      <c r="F83" s="25"/>
      <c r="G83" s="21"/>
      <c r="H83" s="21"/>
      <c r="I83" s="21"/>
      <c r="J83" s="21"/>
      <c r="K83" s="21"/>
      <c r="L83" s="59">
        <v>45069</v>
      </c>
      <c r="M83" s="18" t="s">
        <v>29</v>
      </c>
      <c r="N83" s="21"/>
      <c r="O83" s="21"/>
      <c r="P83" s="25"/>
      <c r="Q83" s="21"/>
      <c r="R83" s="26"/>
      <c r="S83" s="22">
        <v>15763.95</v>
      </c>
      <c r="T83" s="21"/>
      <c r="U83" s="39">
        <v>1</v>
      </c>
      <c r="V83" s="25"/>
      <c r="W83" s="21"/>
      <c r="X83" s="21"/>
    </row>
    <row r="84" spans="1:24" x14ac:dyDescent="0.25">
      <c r="A84" s="40" t="s">
        <v>407</v>
      </c>
      <c r="B84" s="36" t="s">
        <v>38</v>
      </c>
      <c r="C84" s="29"/>
      <c r="D84" s="29"/>
      <c r="E84" s="29"/>
      <c r="F84" s="29"/>
      <c r="G84" s="29"/>
      <c r="H84" s="30"/>
      <c r="I84" s="29"/>
      <c r="J84" s="29"/>
      <c r="K84" s="30"/>
      <c r="L84" s="29"/>
      <c r="M84" s="31"/>
      <c r="N84" s="29"/>
      <c r="O84" s="29"/>
      <c r="P84" s="29"/>
      <c r="Q84" s="29"/>
      <c r="R84" s="29"/>
      <c r="S84" s="33"/>
      <c r="T84" s="29"/>
      <c r="U84" s="29"/>
      <c r="V84" s="29"/>
      <c r="W84" s="29"/>
      <c r="X84" s="29"/>
    </row>
    <row r="85" spans="1:24" x14ac:dyDescent="0.25">
      <c r="A85" s="41" t="s">
        <v>408</v>
      </c>
      <c r="B85" s="27" t="s">
        <v>130</v>
      </c>
      <c r="C85" s="20"/>
      <c r="D85" s="20"/>
      <c r="E85" s="25"/>
      <c r="F85" s="25"/>
      <c r="G85" s="21"/>
      <c r="H85" s="21"/>
      <c r="I85" s="21"/>
      <c r="J85" s="21"/>
      <c r="K85" s="21"/>
      <c r="L85" s="46"/>
      <c r="M85" s="18"/>
      <c r="N85" s="21"/>
      <c r="O85" s="21"/>
      <c r="P85" s="25"/>
      <c r="Q85" s="21"/>
      <c r="R85" s="26"/>
      <c r="S85" s="22"/>
      <c r="T85" s="21"/>
      <c r="U85" s="39">
        <v>0</v>
      </c>
      <c r="V85" s="25"/>
      <c r="W85" s="21"/>
      <c r="X85" s="21"/>
    </row>
    <row r="86" spans="1:24" x14ac:dyDescent="0.25">
      <c r="A86" s="40" t="s">
        <v>409</v>
      </c>
      <c r="B86" s="36" t="s">
        <v>235</v>
      </c>
      <c r="C86" s="29"/>
      <c r="D86" s="29"/>
      <c r="E86" s="29"/>
      <c r="F86" s="29"/>
      <c r="G86" s="29"/>
      <c r="H86" s="30"/>
      <c r="I86" s="29"/>
      <c r="J86" s="29"/>
      <c r="K86" s="30"/>
      <c r="L86" s="29"/>
      <c r="M86" s="31"/>
      <c r="N86" s="29"/>
      <c r="O86" s="29"/>
      <c r="P86" s="29"/>
      <c r="Q86" s="29"/>
      <c r="R86" s="29"/>
      <c r="S86" s="33"/>
      <c r="T86" s="29"/>
      <c r="U86" s="29"/>
      <c r="V86" s="29"/>
      <c r="W86" s="29"/>
      <c r="X86" s="29"/>
    </row>
    <row r="87" spans="1:24" x14ac:dyDescent="0.25">
      <c r="A87" s="40" t="s">
        <v>410</v>
      </c>
      <c r="B87" s="36" t="s">
        <v>236</v>
      </c>
      <c r="C87" s="29"/>
      <c r="D87" s="29"/>
      <c r="E87" s="29"/>
      <c r="F87" s="29"/>
      <c r="G87" s="29"/>
      <c r="H87" s="30"/>
      <c r="I87" s="29"/>
      <c r="J87" s="29"/>
      <c r="K87" s="30"/>
      <c r="L87" s="29"/>
      <c r="M87" s="31"/>
      <c r="N87" s="29"/>
      <c r="O87" s="29"/>
      <c r="P87" s="29"/>
      <c r="Q87" s="29"/>
      <c r="R87" s="29"/>
      <c r="S87" s="33"/>
      <c r="T87" s="29"/>
      <c r="U87" s="29"/>
      <c r="V87" s="29"/>
      <c r="W87" s="29"/>
      <c r="X87" s="29"/>
    </row>
    <row r="88" spans="1:24" x14ac:dyDescent="0.25">
      <c r="A88" s="41" t="s">
        <v>411</v>
      </c>
      <c r="B88" s="27" t="s">
        <v>237</v>
      </c>
      <c r="C88" s="20"/>
      <c r="D88" s="20"/>
      <c r="E88" s="25"/>
      <c r="F88" s="25"/>
      <c r="G88" s="21"/>
      <c r="H88" s="21"/>
      <c r="I88" s="21"/>
      <c r="J88" s="21"/>
      <c r="K88" s="21"/>
      <c r="L88" s="59">
        <v>45072</v>
      </c>
      <c r="M88" s="53" t="s">
        <v>18</v>
      </c>
      <c r="N88" s="54"/>
      <c r="O88" s="54"/>
      <c r="P88" s="56"/>
      <c r="Q88" s="54"/>
      <c r="R88" s="57"/>
      <c r="S88" s="55">
        <v>70.239999999999995</v>
      </c>
      <c r="T88" s="54"/>
      <c r="U88" s="58">
        <v>1</v>
      </c>
      <c r="V88" s="25"/>
      <c r="W88" s="21"/>
      <c r="X88" s="21"/>
    </row>
    <row r="89" spans="1:24" x14ac:dyDescent="0.25">
      <c r="A89" s="41" t="s">
        <v>412</v>
      </c>
      <c r="B89" s="27" t="s">
        <v>238</v>
      </c>
      <c r="C89" s="20"/>
      <c r="D89" s="20"/>
      <c r="E89" s="25"/>
      <c r="F89" s="25"/>
      <c r="G89" s="21"/>
      <c r="H89" s="21"/>
      <c r="I89" s="21"/>
      <c r="J89" s="21"/>
      <c r="K89" s="21"/>
      <c r="L89" s="59">
        <v>45072</v>
      </c>
      <c r="M89" s="53" t="s">
        <v>18</v>
      </c>
      <c r="N89" s="54"/>
      <c r="O89" s="54"/>
      <c r="P89" s="56"/>
      <c r="Q89" s="54"/>
      <c r="R89" s="57"/>
      <c r="S89" s="55">
        <v>119.88</v>
      </c>
      <c r="T89" s="54"/>
      <c r="U89" s="58">
        <v>1</v>
      </c>
      <c r="V89" s="25"/>
      <c r="W89" s="21"/>
      <c r="X89" s="21"/>
    </row>
    <row r="90" spans="1:24" x14ac:dyDescent="0.25">
      <c r="A90" s="41" t="s">
        <v>413</v>
      </c>
      <c r="B90" s="27" t="s">
        <v>239</v>
      </c>
      <c r="C90" s="20"/>
      <c r="D90" s="20"/>
      <c r="E90" s="25"/>
      <c r="F90" s="25"/>
      <c r="G90" s="21"/>
      <c r="H90" s="21"/>
      <c r="I90" s="21"/>
      <c r="J90" s="21"/>
      <c r="K90" s="21"/>
      <c r="L90" s="59">
        <v>45062</v>
      </c>
      <c r="M90" s="53" t="s">
        <v>450</v>
      </c>
      <c r="N90" s="54"/>
      <c r="O90" s="54"/>
      <c r="P90" s="56"/>
      <c r="Q90" s="54"/>
      <c r="R90" s="57"/>
      <c r="S90" s="55">
        <v>4612.62</v>
      </c>
      <c r="T90" s="54"/>
      <c r="U90" s="58">
        <v>1</v>
      </c>
      <c r="V90" s="25"/>
      <c r="W90" s="21"/>
      <c r="X90" s="21"/>
    </row>
    <row r="91" spans="1:24" x14ac:dyDescent="0.25">
      <c r="A91" s="40" t="s">
        <v>414</v>
      </c>
      <c r="B91" s="36" t="s">
        <v>129</v>
      </c>
      <c r="C91" s="29"/>
      <c r="D91" s="29"/>
      <c r="E91" s="29"/>
      <c r="F91" s="29"/>
      <c r="G91" s="29"/>
      <c r="H91" s="30"/>
      <c r="I91" s="29"/>
      <c r="J91" s="29"/>
      <c r="K91" s="30"/>
      <c r="L91" s="29"/>
      <c r="M91" s="31"/>
      <c r="N91" s="29"/>
      <c r="O91" s="29"/>
      <c r="P91" s="29"/>
      <c r="Q91" s="29"/>
      <c r="R91" s="29"/>
      <c r="S91" s="33"/>
      <c r="T91" s="29"/>
      <c r="U91" s="29"/>
      <c r="V91" s="29"/>
      <c r="W91" s="29"/>
      <c r="X91" s="29"/>
    </row>
    <row r="92" spans="1:24" ht="33.75" x14ac:dyDescent="0.25">
      <c r="A92" s="41" t="s">
        <v>415</v>
      </c>
      <c r="B92" s="27" t="s">
        <v>240</v>
      </c>
      <c r="C92" s="20"/>
      <c r="D92" s="20"/>
      <c r="E92" s="25"/>
      <c r="F92" s="25"/>
      <c r="G92" s="21"/>
      <c r="H92" s="21"/>
      <c r="I92" s="21"/>
      <c r="J92" s="21"/>
      <c r="K92" s="21"/>
      <c r="L92" s="59">
        <v>45071</v>
      </c>
      <c r="M92" s="18" t="s">
        <v>450</v>
      </c>
      <c r="N92" s="21"/>
      <c r="O92" s="21"/>
      <c r="P92" s="25"/>
      <c r="Q92" s="21"/>
      <c r="R92" s="26"/>
      <c r="S92" s="22">
        <v>4574.079999999999</v>
      </c>
      <c r="T92" s="21"/>
      <c r="U92" s="39">
        <v>0.7</v>
      </c>
      <c r="V92" s="25"/>
      <c r="W92" s="21"/>
      <c r="X92" s="21"/>
    </row>
    <row r="93" spans="1:24" ht="22.5" x14ac:dyDescent="0.25">
      <c r="A93" s="41" t="s">
        <v>416</v>
      </c>
      <c r="B93" s="27" t="s">
        <v>241</v>
      </c>
      <c r="C93" s="20"/>
      <c r="D93" s="20"/>
      <c r="E93" s="25"/>
      <c r="F93" s="25"/>
      <c r="G93" s="21"/>
      <c r="H93" s="21"/>
      <c r="I93" s="21"/>
      <c r="J93" s="21"/>
      <c r="K93" s="21"/>
      <c r="L93" s="59">
        <v>45073</v>
      </c>
      <c r="M93" s="53" t="s">
        <v>18</v>
      </c>
      <c r="N93" s="54"/>
      <c r="O93" s="54"/>
      <c r="P93" s="56"/>
      <c r="Q93" s="54"/>
      <c r="R93" s="57"/>
      <c r="S93" s="55">
        <v>33.61</v>
      </c>
      <c r="T93" s="54"/>
      <c r="U93" s="58">
        <v>1</v>
      </c>
      <c r="V93" s="25"/>
      <c r="W93" s="21"/>
      <c r="X93" s="21"/>
    </row>
    <row r="94" spans="1:24" x14ac:dyDescent="0.25">
      <c r="A94" s="41" t="s">
        <v>417</v>
      </c>
      <c r="B94" s="27" t="s">
        <v>242</v>
      </c>
      <c r="C94" s="20"/>
      <c r="D94" s="20"/>
      <c r="E94" s="25"/>
      <c r="F94" s="25"/>
      <c r="G94" s="21"/>
      <c r="H94" s="21"/>
      <c r="I94" s="21"/>
      <c r="J94" s="21"/>
      <c r="K94" s="21"/>
      <c r="L94" s="59">
        <v>45073</v>
      </c>
      <c r="M94" s="53" t="s">
        <v>18</v>
      </c>
      <c r="N94" s="54"/>
      <c r="O94" s="54"/>
      <c r="P94" s="56"/>
      <c r="Q94" s="54"/>
      <c r="R94" s="57"/>
      <c r="S94" s="55">
        <v>54.64</v>
      </c>
      <c r="T94" s="54"/>
      <c r="U94" s="58">
        <v>1</v>
      </c>
      <c r="V94" s="25"/>
      <c r="W94" s="21"/>
      <c r="X94" s="21"/>
    </row>
    <row r="95" spans="1:24" x14ac:dyDescent="0.25">
      <c r="A95" s="40" t="s">
        <v>418</v>
      </c>
      <c r="B95" s="36" t="s">
        <v>243</v>
      </c>
      <c r="C95" s="29"/>
      <c r="D95" s="29"/>
      <c r="E95" s="29"/>
      <c r="F95" s="29"/>
      <c r="G95" s="29"/>
      <c r="H95" s="30"/>
      <c r="I95" s="29"/>
      <c r="J95" s="29"/>
      <c r="K95" s="30"/>
      <c r="L95" s="30"/>
      <c r="M95" s="29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</row>
    <row r="96" spans="1:24" x14ac:dyDescent="0.25">
      <c r="A96" s="40" t="s">
        <v>419</v>
      </c>
      <c r="B96" s="36" t="s">
        <v>244</v>
      </c>
      <c r="C96" s="29"/>
      <c r="D96" s="29"/>
      <c r="E96" s="29"/>
      <c r="F96" s="29"/>
      <c r="G96" s="29"/>
      <c r="H96" s="30"/>
      <c r="I96" s="29"/>
      <c r="J96" s="29"/>
      <c r="K96" s="30"/>
      <c r="L96" s="30"/>
      <c r="M96" s="29"/>
      <c r="N96" s="30"/>
      <c r="O96" s="30"/>
      <c r="P96" s="30"/>
      <c r="Q96" s="30"/>
      <c r="R96" s="30"/>
      <c r="S96" s="33"/>
      <c r="T96" s="30"/>
      <c r="U96" s="30"/>
      <c r="V96" s="30"/>
      <c r="W96" s="30"/>
      <c r="X96" s="30"/>
    </row>
    <row r="97" spans="1:24" x14ac:dyDescent="0.25">
      <c r="A97" s="41" t="s">
        <v>420</v>
      </c>
      <c r="B97" s="27" t="s">
        <v>245</v>
      </c>
      <c r="C97" s="20"/>
      <c r="D97" s="20"/>
      <c r="E97" s="25"/>
      <c r="F97" s="25"/>
      <c r="G97" s="21"/>
      <c r="H97" s="21"/>
      <c r="I97" s="21"/>
      <c r="J97" s="21"/>
      <c r="K97" s="21"/>
      <c r="L97" s="46"/>
      <c r="M97" s="18"/>
      <c r="N97" s="21"/>
      <c r="O97" s="21"/>
      <c r="P97" s="25"/>
      <c r="Q97" s="21"/>
      <c r="R97" s="26"/>
      <c r="S97" s="22"/>
      <c r="T97" s="21"/>
      <c r="U97" s="39">
        <v>0</v>
      </c>
      <c r="V97" s="25"/>
      <c r="W97" s="21"/>
      <c r="X97" s="21"/>
    </row>
    <row r="98" spans="1:24" x14ac:dyDescent="0.25">
      <c r="A98" s="41" t="s">
        <v>421</v>
      </c>
      <c r="B98" s="27" t="s">
        <v>246</v>
      </c>
      <c r="C98" s="20"/>
      <c r="D98" s="20"/>
      <c r="E98" s="25"/>
      <c r="F98" s="25"/>
      <c r="G98" s="21"/>
      <c r="H98" s="21"/>
      <c r="I98" s="21"/>
      <c r="J98" s="21"/>
      <c r="K98" s="21"/>
      <c r="L98" s="46"/>
      <c r="M98" s="18"/>
      <c r="N98" s="21"/>
      <c r="O98" s="21"/>
      <c r="P98" s="25"/>
      <c r="Q98" s="21"/>
      <c r="R98" s="26"/>
      <c r="S98" s="22"/>
      <c r="T98" s="21"/>
      <c r="U98" s="39">
        <v>0</v>
      </c>
      <c r="V98" s="25"/>
      <c r="W98" s="21"/>
      <c r="X98" s="21"/>
    </row>
    <row r="99" spans="1:24" x14ac:dyDescent="0.25">
      <c r="A99" s="41" t="s">
        <v>422</v>
      </c>
      <c r="B99" s="27" t="s">
        <v>247</v>
      </c>
      <c r="C99" s="20"/>
      <c r="D99" s="20"/>
      <c r="E99" s="25"/>
      <c r="F99" s="25"/>
      <c r="G99" s="21"/>
      <c r="H99" s="21"/>
      <c r="I99" s="21"/>
      <c r="J99" s="21"/>
      <c r="K99" s="21"/>
      <c r="L99" s="46"/>
      <c r="M99" s="18"/>
      <c r="N99" s="21"/>
      <c r="O99" s="21"/>
      <c r="P99" s="25"/>
      <c r="Q99" s="21"/>
      <c r="R99" s="26"/>
      <c r="S99" s="22"/>
      <c r="T99" s="21"/>
      <c r="U99" s="39">
        <v>0</v>
      </c>
      <c r="V99" s="25"/>
      <c r="W99" s="21"/>
      <c r="X99" s="21"/>
    </row>
    <row r="100" spans="1:24" x14ac:dyDescent="0.25">
      <c r="A100" s="41" t="s">
        <v>423</v>
      </c>
      <c r="B100" s="27" t="s">
        <v>248</v>
      </c>
      <c r="C100" s="20"/>
      <c r="D100" s="20"/>
      <c r="E100" s="25"/>
      <c r="F100" s="25"/>
      <c r="G100" s="21"/>
      <c r="H100" s="21"/>
      <c r="I100" s="21"/>
      <c r="J100" s="21"/>
      <c r="K100" s="21"/>
      <c r="L100" s="46"/>
      <c r="M100" s="18"/>
      <c r="N100" s="21"/>
      <c r="O100" s="21"/>
      <c r="P100" s="25"/>
      <c r="Q100" s="21"/>
      <c r="R100" s="26"/>
      <c r="S100" s="22"/>
      <c r="T100" s="21"/>
      <c r="U100" s="39">
        <v>0</v>
      </c>
      <c r="V100" s="25"/>
      <c r="W100" s="21"/>
      <c r="X100" s="21"/>
    </row>
    <row r="101" spans="1:24" x14ac:dyDescent="0.25">
      <c r="A101" s="40" t="s">
        <v>424</v>
      </c>
      <c r="B101" s="36" t="s">
        <v>249</v>
      </c>
      <c r="C101" s="29"/>
      <c r="D101" s="29"/>
      <c r="E101" s="29"/>
      <c r="F101" s="29"/>
      <c r="G101" s="29"/>
      <c r="H101" s="30"/>
      <c r="I101" s="29"/>
      <c r="J101" s="29"/>
      <c r="K101" s="30"/>
      <c r="L101" s="29"/>
      <c r="M101" s="31"/>
      <c r="N101" s="29"/>
      <c r="O101" s="29"/>
      <c r="P101" s="29"/>
      <c r="Q101" s="29"/>
      <c r="R101" s="29"/>
      <c r="S101" s="33"/>
      <c r="T101" s="29"/>
      <c r="U101" s="29"/>
      <c r="V101" s="29"/>
      <c r="W101" s="29"/>
      <c r="X101" s="29"/>
    </row>
    <row r="102" spans="1:24" x14ac:dyDescent="0.25">
      <c r="A102" s="40" t="s">
        <v>425</v>
      </c>
      <c r="B102" s="36" t="s">
        <v>250</v>
      </c>
      <c r="C102" s="29"/>
      <c r="D102" s="29"/>
      <c r="E102" s="29"/>
      <c r="F102" s="29"/>
      <c r="G102" s="29"/>
      <c r="H102" s="30"/>
      <c r="I102" s="29"/>
      <c r="J102" s="29"/>
      <c r="K102" s="30"/>
      <c r="L102" s="29"/>
      <c r="M102" s="31"/>
      <c r="N102" s="29"/>
      <c r="O102" s="29"/>
      <c r="P102" s="29"/>
      <c r="Q102" s="29"/>
      <c r="R102" s="29"/>
      <c r="S102" s="33"/>
      <c r="T102" s="29"/>
      <c r="U102" s="29"/>
      <c r="V102" s="29"/>
      <c r="W102" s="29"/>
      <c r="X102" s="29"/>
    </row>
    <row r="103" spans="1:24" x14ac:dyDescent="0.25">
      <c r="A103" s="41" t="s">
        <v>426</v>
      </c>
      <c r="B103" s="27" t="s">
        <v>251</v>
      </c>
      <c r="C103" s="20"/>
      <c r="D103" s="20"/>
      <c r="E103" s="25"/>
      <c r="F103" s="25"/>
      <c r="G103" s="21"/>
      <c r="H103" s="21"/>
      <c r="I103" s="21"/>
      <c r="J103" s="21"/>
      <c r="K103" s="21"/>
      <c r="L103" s="46"/>
      <c r="M103" s="18"/>
      <c r="N103" s="21"/>
      <c r="O103" s="21"/>
      <c r="P103" s="25"/>
      <c r="Q103" s="21"/>
      <c r="R103" s="26"/>
      <c r="S103" s="22"/>
      <c r="T103" s="21"/>
      <c r="U103" s="39">
        <v>0</v>
      </c>
      <c r="V103" s="25"/>
      <c r="W103" s="21"/>
      <c r="X103" s="21"/>
    </row>
    <row r="104" spans="1:24" x14ac:dyDescent="0.25">
      <c r="A104" s="41" t="s">
        <v>427</v>
      </c>
      <c r="B104" s="27" t="s">
        <v>252</v>
      </c>
      <c r="C104" s="20"/>
      <c r="D104" s="20"/>
      <c r="E104" s="25"/>
      <c r="F104" s="25"/>
      <c r="G104" s="21"/>
      <c r="H104" s="21"/>
      <c r="I104" s="21"/>
      <c r="J104" s="21"/>
      <c r="K104" s="21"/>
      <c r="L104" s="46"/>
      <c r="M104" s="18"/>
      <c r="N104" s="21"/>
      <c r="O104" s="21"/>
      <c r="P104" s="25"/>
      <c r="Q104" s="21"/>
      <c r="R104" s="26"/>
      <c r="S104" s="22"/>
      <c r="T104" s="21"/>
      <c r="U104" s="39">
        <v>0</v>
      </c>
      <c r="V104" s="25"/>
      <c r="W104" s="21"/>
      <c r="X104" s="21"/>
    </row>
    <row r="105" spans="1:24" x14ac:dyDescent="0.25">
      <c r="A105" s="40" t="s">
        <v>428</v>
      </c>
      <c r="B105" s="36" t="s">
        <v>253</v>
      </c>
      <c r="C105" s="29"/>
      <c r="D105" s="29"/>
      <c r="E105" s="29"/>
      <c r="F105" s="29"/>
      <c r="G105" s="29"/>
      <c r="H105" s="30"/>
      <c r="I105" s="29"/>
      <c r="J105" s="29"/>
      <c r="K105" s="30"/>
      <c r="L105" s="29"/>
      <c r="M105" s="31"/>
      <c r="N105" s="29"/>
      <c r="O105" s="29"/>
      <c r="P105" s="29"/>
      <c r="Q105" s="29"/>
      <c r="R105" s="29"/>
      <c r="S105" s="33"/>
      <c r="T105" s="29"/>
      <c r="U105" s="29"/>
      <c r="V105" s="29"/>
      <c r="W105" s="29"/>
      <c r="X105" s="29"/>
    </row>
    <row r="106" spans="1:24" x14ac:dyDescent="0.25">
      <c r="A106" s="41" t="s">
        <v>429</v>
      </c>
      <c r="B106" s="27" t="s">
        <v>254</v>
      </c>
      <c r="C106" s="20"/>
      <c r="D106" s="20"/>
      <c r="E106" s="25"/>
      <c r="F106" s="25"/>
      <c r="G106" s="21"/>
      <c r="H106" s="21"/>
      <c r="I106" s="21"/>
      <c r="J106" s="21"/>
      <c r="K106" s="21"/>
      <c r="L106" s="46"/>
      <c r="M106" s="18"/>
      <c r="N106" s="21"/>
      <c r="O106" s="21"/>
      <c r="P106" s="25"/>
      <c r="Q106" s="21"/>
      <c r="R106" s="26"/>
      <c r="S106" s="22"/>
      <c r="T106" s="21"/>
      <c r="U106" s="39">
        <v>0</v>
      </c>
      <c r="V106" s="25"/>
      <c r="W106" s="21"/>
      <c r="X106" s="21"/>
    </row>
    <row r="107" spans="1:24" x14ac:dyDescent="0.25">
      <c r="A107" s="41" t="s">
        <v>430</v>
      </c>
      <c r="B107" s="27" t="s">
        <v>255</v>
      </c>
      <c r="C107" s="20"/>
      <c r="D107" s="20"/>
      <c r="E107" s="25"/>
      <c r="F107" s="25"/>
      <c r="G107" s="21"/>
      <c r="H107" s="21"/>
      <c r="I107" s="21"/>
      <c r="J107" s="21"/>
      <c r="K107" s="21"/>
      <c r="L107" s="46"/>
      <c r="M107" s="18"/>
      <c r="N107" s="21"/>
      <c r="O107" s="21"/>
      <c r="P107" s="25"/>
      <c r="Q107" s="21"/>
      <c r="R107" s="26"/>
      <c r="S107" s="22"/>
      <c r="T107" s="21"/>
      <c r="U107" s="39">
        <v>0</v>
      </c>
      <c r="V107" s="25"/>
      <c r="W107" s="21"/>
      <c r="X107" s="21"/>
    </row>
    <row r="108" spans="1:24" x14ac:dyDescent="0.25">
      <c r="A108" s="41" t="s">
        <v>431</v>
      </c>
      <c r="B108" s="27" t="s">
        <v>256</v>
      </c>
      <c r="C108" s="20"/>
      <c r="D108" s="20"/>
      <c r="E108" s="25"/>
      <c r="F108" s="25"/>
      <c r="G108" s="21"/>
      <c r="H108" s="21"/>
      <c r="I108" s="21"/>
      <c r="J108" s="21"/>
      <c r="K108" s="21"/>
      <c r="L108" s="46"/>
      <c r="M108" s="18"/>
      <c r="N108" s="21"/>
      <c r="O108" s="21"/>
      <c r="P108" s="25"/>
      <c r="Q108" s="21"/>
      <c r="R108" s="26"/>
      <c r="S108" s="22"/>
      <c r="T108" s="21"/>
      <c r="U108" s="39">
        <v>0</v>
      </c>
      <c r="V108" s="25"/>
      <c r="W108" s="21"/>
      <c r="X108" s="21"/>
    </row>
    <row r="109" spans="1:24" x14ac:dyDescent="0.25">
      <c r="A109" s="40" t="s">
        <v>432</v>
      </c>
      <c r="B109" s="36" t="s">
        <v>257</v>
      </c>
      <c r="C109" s="29"/>
      <c r="D109" s="29"/>
      <c r="E109" s="29"/>
      <c r="F109" s="29"/>
      <c r="G109" s="29"/>
      <c r="H109" s="30"/>
      <c r="I109" s="29"/>
      <c r="J109" s="29"/>
      <c r="K109" s="30"/>
      <c r="L109" s="29"/>
      <c r="M109" s="31"/>
      <c r="N109" s="29"/>
      <c r="O109" s="29"/>
      <c r="P109" s="29"/>
      <c r="Q109" s="29"/>
      <c r="R109" s="29"/>
      <c r="S109" s="33"/>
      <c r="T109" s="29"/>
      <c r="U109" s="29"/>
      <c r="V109" s="29"/>
      <c r="W109" s="29"/>
      <c r="X109" s="29"/>
    </row>
    <row r="110" spans="1:24" ht="22.5" x14ac:dyDescent="0.25">
      <c r="A110" s="41" t="s">
        <v>433</v>
      </c>
      <c r="B110" s="27" t="s">
        <v>258</v>
      </c>
      <c r="C110" s="20"/>
      <c r="D110" s="20"/>
      <c r="E110" s="25"/>
      <c r="F110" s="25"/>
      <c r="G110" s="21"/>
      <c r="H110" s="21"/>
      <c r="I110" s="21"/>
      <c r="J110" s="21"/>
      <c r="K110" s="21"/>
      <c r="L110" s="46"/>
      <c r="M110" s="18"/>
      <c r="N110" s="21"/>
      <c r="O110" s="21"/>
      <c r="P110" s="25"/>
      <c r="Q110" s="21"/>
      <c r="R110" s="26"/>
      <c r="S110" s="22"/>
      <c r="T110" s="21"/>
      <c r="U110" s="39">
        <v>0</v>
      </c>
      <c r="V110" s="25"/>
      <c r="W110" s="21"/>
      <c r="X110" s="21"/>
    </row>
    <row r="111" spans="1:24" ht="22.5" x14ac:dyDescent="0.25">
      <c r="A111" s="41" t="s">
        <v>434</v>
      </c>
      <c r="B111" s="27" t="s">
        <v>259</v>
      </c>
      <c r="C111" s="20"/>
      <c r="D111" s="20"/>
      <c r="E111" s="25"/>
      <c r="F111" s="25"/>
      <c r="G111" s="21"/>
      <c r="H111" s="21"/>
      <c r="I111" s="21"/>
      <c r="J111" s="21"/>
      <c r="K111" s="21"/>
      <c r="L111" s="46"/>
      <c r="M111" s="18"/>
      <c r="N111" s="21"/>
      <c r="O111" s="21"/>
      <c r="P111" s="25"/>
      <c r="Q111" s="21"/>
      <c r="R111" s="26"/>
      <c r="S111" s="22"/>
      <c r="T111" s="21"/>
      <c r="U111" s="39">
        <v>0</v>
      </c>
      <c r="V111" s="25"/>
      <c r="W111" s="21"/>
      <c r="X111" s="21"/>
    </row>
    <row r="112" spans="1:24" x14ac:dyDescent="0.25">
      <c r="A112" s="40" t="s">
        <v>435</v>
      </c>
      <c r="B112" s="36" t="s">
        <v>260</v>
      </c>
      <c r="C112" s="29"/>
      <c r="D112" s="29"/>
      <c r="E112" s="29"/>
      <c r="F112" s="29"/>
      <c r="G112" s="29"/>
      <c r="H112" s="30"/>
      <c r="I112" s="29"/>
      <c r="J112" s="29"/>
      <c r="K112" s="30"/>
      <c r="L112" s="29"/>
      <c r="M112" s="31"/>
      <c r="N112" s="29"/>
      <c r="O112" s="29"/>
      <c r="P112" s="29"/>
      <c r="Q112" s="29"/>
      <c r="R112" s="29"/>
      <c r="S112" s="33"/>
      <c r="T112" s="29"/>
      <c r="U112" s="29"/>
      <c r="V112" s="29"/>
      <c r="W112" s="29"/>
      <c r="X112" s="29"/>
    </row>
    <row r="113" spans="1:24" ht="22.5" x14ac:dyDescent="0.25">
      <c r="A113" s="41" t="s">
        <v>436</v>
      </c>
      <c r="B113" s="27" t="s">
        <v>261</v>
      </c>
      <c r="C113" s="20"/>
      <c r="D113" s="20"/>
      <c r="E113" s="25"/>
      <c r="F113" s="25"/>
      <c r="G113" s="21"/>
      <c r="H113" s="21"/>
      <c r="I113" s="21"/>
      <c r="J113" s="21"/>
      <c r="K113" s="21"/>
      <c r="L113" s="46"/>
      <c r="M113" s="18"/>
      <c r="N113" s="21"/>
      <c r="O113" s="21"/>
      <c r="P113" s="25"/>
      <c r="Q113" s="21"/>
      <c r="R113" s="26"/>
      <c r="S113" s="22"/>
      <c r="T113" s="21"/>
      <c r="U113" s="39">
        <v>0</v>
      </c>
      <c r="V113" s="25"/>
      <c r="W113" s="21"/>
      <c r="X113" s="21"/>
    </row>
    <row r="114" spans="1:24" x14ac:dyDescent="0.25">
      <c r="A114" s="40" t="s">
        <v>437</v>
      </c>
      <c r="B114" s="36" t="s">
        <v>262</v>
      </c>
      <c r="C114" s="29"/>
      <c r="D114" s="29"/>
      <c r="E114" s="29"/>
      <c r="F114" s="29"/>
      <c r="G114" s="29"/>
      <c r="H114" s="30"/>
      <c r="I114" s="29"/>
      <c r="J114" s="29"/>
      <c r="K114" s="30"/>
      <c r="L114" s="29"/>
      <c r="M114" s="31"/>
      <c r="N114" s="29"/>
      <c r="O114" s="29"/>
      <c r="P114" s="29"/>
      <c r="Q114" s="29"/>
      <c r="R114" s="29"/>
      <c r="S114" s="33"/>
      <c r="T114" s="29"/>
      <c r="U114" s="29"/>
      <c r="V114" s="29"/>
      <c r="W114" s="29"/>
      <c r="X114" s="29"/>
    </row>
    <row r="115" spans="1:24" ht="22.5" x14ac:dyDescent="0.25">
      <c r="A115" s="41" t="s">
        <v>438</v>
      </c>
      <c r="B115" s="27" t="s">
        <v>263</v>
      </c>
      <c r="C115" s="20"/>
      <c r="D115" s="20"/>
      <c r="E115" s="25"/>
      <c r="F115" s="25"/>
      <c r="G115" s="21"/>
      <c r="H115" s="21"/>
      <c r="I115" s="21"/>
      <c r="J115" s="21"/>
      <c r="K115" s="21"/>
      <c r="L115" s="46"/>
      <c r="M115" s="18"/>
      <c r="N115" s="21"/>
      <c r="O115" s="21"/>
      <c r="P115" s="25"/>
      <c r="Q115" s="21"/>
      <c r="R115" s="26"/>
      <c r="S115" s="22"/>
      <c r="T115" s="21"/>
      <c r="U115" s="39">
        <v>0</v>
      </c>
      <c r="V115" s="25"/>
      <c r="W115" s="21"/>
      <c r="X115" s="21"/>
    </row>
    <row r="116" spans="1:24" x14ac:dyDescent="0.25">
      <c r="A116" s="41"/>
      <c r="B116" s="27"/>
      <c r="C116" s="29"/>
      <c r="D116" s="29"/>
      <c r="E116" s="29"/>
      <c r="F116" s="29"/>
      <c r="G116" s="29"/>
      <c r="H116" s="30"/>
      <c r="I116" s="29"/>
      <c r="J116" s="29"/>
      <c r="K116" s="30"/>
      <c r="L116" s="30"/>
      <c r="M116" s="29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F2D2-393D-488D-B566-EDBC3855C3C1}">
  <sheetPr>
    <tabColor theme="3" tint="0.59999389629810485"/>
  </sheetPr>
  <dimension ref="A1:AF116"/>
  <sheetViews>
    <sheetView zoomScaleNormal="100" workbookViewId="0">
      <selection activeCell="A5" sqref="A5"/>
    </sheetView>
  </sheetViews>
  <sheetFormatPr defaultColWidth="8.875" defaultRowHeight="15.75" x14ac:dyDescent="0.25"/>
  <cols>
    <col min="1" max="1" width="5.125" customWidth="1"/>
    <col min="2" max="2" width="32.125" customWidth="1"/>
    <col min="3" max="4" width="11.625" customWidth="1"/>
    <col min="5" max="5" width="7.875" customWidth="1"/>
    <col min="6" max="6" width="10.125" customWidth="1"/>
    <col min="8" max="8" width="10" customWidth="1"/>
    <col min="9" max="9" width="8.375" customWidth="1"/>
    <col min="11" max="11" width="10" customWidth="1"/>
    <col min="12" max="12" width="11" customWidth="1"/>
    <col min="13" max="13" width="7.625" customWidth="1"/>
    <col min="15" max="15" width="14.25" bestFit="1" customWidth="1"/>
    <col min="16" max="16" width="8.5" customWidth="1"/>
    <col min="17" max="17" width="8.875" customWidth="1"/>
    <col min="21" max="21" width="9.125" customWidth="1"/>
  </cols>
  <sheetData>
    <row r="1" spans="1:32" ht="15" customHeight="1" x14ac:dyDescent="0.25">
      <c r="B1" s="2" t="s">
        <v>58</v>
      </c>
      <c r="C1" s="46">
        <v>45112</v>
      </c>
      <c r="E1" s="2" t="s">
        <v>59</v>
      </c>
      <c r="F1" s="7" t="s">
        <v>452</v>
      </c>
      <c r="G1" s="8"/>
    </row>
    <row r="3" spans="1:32" ht="15" customHeight="1" x14ac:dyDescent="0.25">
      <c r="A3" s="60" t="s">
        <v>0</v>
      </c>
      <c r="B3" s="60"/>
      <c r="C3" s="60" t="s">
        <v>2</v>
      </c>
      <c r="D3" s="60"/>
      <c r="E3" s="60"/>
      <c r="F3" s="60" t="s">
        <v>3</v>
      </c>
      <c r="G3" s="60"/>
      <c r="H3" s="60" t="s">
        <v>4</v>
      </c>
      <c r="I3" s="60"/>
      <c r="J3" s="60"/>
      <c r="K3" s="60"/>
      <c r="L3" s="60" t="s">
        <v>61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32" ht="21.95" customHeight="1" x14ac:dyDescent="0.2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  <c r="T4" s="2" t="s">
        <v>70</v>
      </c>
      <c r="U4" s="2" t="s">
        <v>71</v>
      </c>
      <c r="V4" s="2" t="s">
        <v>61</v>
      </c>
      <c r="W4" s="2" t="s">
        <v>72</v>
      </c>
      <c r="X4" s="2" t="s">
        <v>73</v>
      </c>
    </row>
    <row r="5" spans="1:32" ht="21.95" customHeight="1" x14ac:dyDescent="0.25">
      <c r="A5" s="40" t="s">
        <v>264</v>
      </c>
      <c r="B5" s="36" t="s">
        <v>453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32" s="9" customFormat="1" x14ac:dyDescent="0.25">
      <c r="A6" s="40" t="s">
        <v>329</v>
      </c>
      <c r="B6" s="36" t="s">
        <v>162</v>
      </c>
      <c r="C6" s="29"/>
      <c r="D6" s="29"/>
      <c r="E6" s="29"/>
      <c r="F6" s="29"/>
      <c r="G6" s="29"/>
      <c r="H6" s="30"/>
      <c r="I6" s="29"/>
      <c r="J6" s="29"/>
      <c r="K6" s="30"/>
      <c r="L6" s="29"/>
      <c r="M6" s="31"/>
      <c r="N6" s="29"/>
      <c r="O6" s="29"/>
      <c r="P6" s="29"/>
      <c r="Q6" s="29"/>
      <c r="R6" s="32"/>
      <c r="S6" s="33"/>
      <c r="T6" s="34"/>
      <c r="U6" s="34"/>
      <c r="V6" s="28"/>
      <c r="W6" s="30"/>
      <c r="X6" s="30"/>
    </row>
    <row r="7" spans="1:32" s="9" customFormat="1" x14ac:dyDescent="0.25">
      <c r="A7" s="40" t="s">
        <v>330</v>
      </c>
      <c r="B7" s="36" t="s">
        <v>112</v>
      </c>
      <c r="C7" s="29"/>
      <c r="D7" s="29"/>
      <c r="E7" s="29"/>
      <c r="F7" s="29"/>
      <c r="G7" s="29"/>
      <c r="H7" s="30"/>
      <c r="I7" s="29"/>
      <c r="J7" s="29"/>
      <c r="K7" s="30"/>
      <c r="L7" s="29"/>
      <c r="M7" s="3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32" x14ac:dyDescent="0.25">
      <c r="A8" s="41" t="s">
        <v>331</v>
      </c>
      <c r="B8" s="27" t="s">
        <v>163</v>
      </c>
      <c r="C8" s="20"/>
      <c r="D8" s="20"/>
      <c r="E8" s="25"/>
      <c r="F8" s="25"/>
      <c r="G8" s="21"/>
      <c r="H8" s="21"/>
      <c r="I8" s="21"/>
      <c r="J8" s="21"/>
      <c r="K8" s="21"/>
      <c r="L8" s="46">
        <v>45047</v>
      </c>
      <c r="M8" s="18" t="s">
        <v>41</v>
      </c>
      <c r="N8" s="21"/>
      <c r="O8" s="21"/>
      <c r="P8" s="25"/>
      <c r="Q8" s="21"/>
      <c r="R8" s="26"/>
      <c r="S8" s="22">
        <v>1531.25</v>
      </c>
      <c r="T8" s="21"/>
      <c r="U8" s="39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25">
      <c r="A9" s="41" t="s">
        <v>332</v>
      </c>
      <c r="B9" s="27" t="s">
        <v>164</v>
      </c>
      <c r="C9" s="20"/>
      <c r="D9" s="20"/>
      <c r="E9" s="25"/>
      <c r="F9" s="25"/>
      <c r="G9" s="21"/>
      <c r="H9" s="21"/>
      <c r="I9" s="21"/>
      <c r="J9" s="21"/>
      <c r="K9" s="21"/>
      <c r="L9" s="46">
        <v>45047</v>
      </c>
      <c r="M9" s="18" t="s">
        <v>19</v>
      </c>
      <c r="N9" s="21"/>
      <c r="O9" s="21"/>
      <c r="P9" s="25"/>
      <c r="Q9" s="21"/>
      <c r="R9" s="26"/>
      <c r="S9" s="22">
        <v>3391.2</v>
      </c>
      <c r="T9" s="21"/>
      <c r="U9" s="39">
        <v>1</v>
      </c>
      <c r="V9" s="25"/>
      <c r="W9" s="21"/>
      <c r="X9" s="21"/>
      <c r="AA9" s="24"/>
      <c r="AB9" s="24"/>
      <c r="AC9" s="24"/>
      <c r="AD9" s="24"/>
      <c r="AE9" s="24"/>
      <c r="AF9" s="24"/>
    </row>
    <row r="10" spans="1:32" ht="22.5" x14ac:dyDescent="0.25">
      <c r="A10" s="41" t="s">
        <v>333</v>
      </c>
      <c r="B10" s="27" t="s">
        <v>165</v>
      </c>
      <c r="C10" s="20"/>
      <c r="D10" s="20"/>
      <c r="E10" s="25"/>
      <c r="F10" s="25"/>
      <c r="G10" s="21"/>
      <c r="H10" s="21"/>
      <c r="I10" s="21"/>
      <c r="J10" s="21"/>
      <c r="K10" s="21"/>
      <c r="L10" s="46">
        <v>45047</v>
      </c>
      <c r="M10" s="18" t="s">
        <v>18</v>
      </c>
      <c r="N10" s="21"/>
      <c r="O10" s="21"/>
      <c r="P10" s="25"/>
      <c r="Q10" s="21"/>
      <c r="R10" s="26"/>
      <c r="S10" s="22">
        <v>729.94</v>
      </c>
      <c r="T10" s="21"/>
      <c r="U10" s="39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25">
      <c r="A11" s="40" t="s">
        <v>334</v>
      </c>
      <c r="B11" s="36" t="s">
        <v>166</v>
      </c>
      <c r="C11" s="29"/>
      <c r="D11" s="29"/>
      <c r="E11" s="29"/>
      <c r="F11" s="29"/>
      <c r="G11" s="29"/>
      <c r="H11" s="30"/>
      <c r="I11" s="29"/>
      <c r="J11" s="29"/>
      <c r="K11" s="30"/>
      <c r="L11" s="29"/>
      <c r="M11" s="31"/>
      <c r="N11" s="29"/>
      <c r="O11" s="29"/>
      <c r="P11" s="29"/>
      <c r="Q11" s="29"/>
      <c r="R11" s="29"/>
      <c r="S11" s="33"/>
      <c r="T11" s="29"/>
      <c r="U11" s="29"/>
      <c r="V11" s="29"/>
      <c r="W11" s="29"/>
      <c r="X11" s="29"/>
      <c r="AA11" s="24"/>
      <c r="AB11" s="24"/>
      <c r="AC11" s="24"/>
      <c r="AD11" s="24"/>
      <c r="AE11" s="24"/>
      <c r="AF11" s="24"/>
    </row>
    <row r="12" spans="1:32" x14ac:dyDescent="0.25">
      <c r="A12" s="41" t="s">
        <v>335</v>
      </c>
      <c r="B12" s="27" t="s">
        <v>166</v>
      </c>
      <c r="C12" s="20"/>
      <c r="D12" s="20"/>
      <c r="E12" s="25"/>
      <c r="F12" s="25"/>
      <c r="G12" s="21"/>
      <c r="H12" s="21"/>
      <c r="I12" s="21"/>
      <c r="J12" s="21"/>
      <c r="K12" s="21"/>
      <c r="L12" s="46">
        <v>45047</v>
      </c>
      <c r="M12" s="18" t="s">
        <v>35</v>
      </c>
      <c r="N12" s="21"/>
      <c r="O12" s="21"/>
      <c r="P12" s="25"/>
      <c r="Q12" s="21"/>
      <c r="R12" s="26"/>
      <c r="S12" s="22">
        <v>4000</v>
      </c>
      <c r="T12" s="21"/>
      <c r="U12" s="39">
        <v>1</v>
      </c>
      <c r="V12" s="25"/>
      <c r="W12" s="21"/>
      <c r="X12" s="21"/>
      <c r="AA12" s="24"/>
      <c r="AB12" s="24"/>
      <c r="AC12" s="24"/>
      <c r="AD12" s="24"/>
      <c r="AE12" s="24"/>
      <c r="AF12" s="24"/>
    </row>
    <row r="13" spans="1:32" s="9" customFormat="1" x14ac:dyDescent="0.25">
      <c r="A13" s="40" t="s">
        <v>336</v>
      </c>
      <c r="B13" s="36" t="s">
        <v>167</v>
      </c>
      <c r="C13" s="29"/>
      <c r="D13" s="29"/>
      <c r="E13" s="29"/>
      <c r="F13" s="29"/>
      <c r="G13" s="29"/>
      <c r="H13" s="30"/>
      <c r="I13" s="29"/>
      <c r="J13" s="29"/>
      <c r="K13" s="30"/>
      <c r="L13" s="29"/>
      <c r="M13" s="31"/>
      <c r="N13" s="29"/>
      <c r="O13" s="29"/>
      <c r="P13" s="29"/>
      <c r="Q13" s="29"/>
      <c r="R13" s="29"/>
      <c r="S13" s="33"/>
      <c r="T13" s="29"/>
      <c r="U13" s="29"/>
      <c r="V13" s="29"/>
      <c r="W13" s="29"/>
      <c r="X13" s="29"/>
    </row>
    <row r="14" spans="1:32" x14ac:dyDescent="0.25">
      <c r="A14" s="41" t="s">
        <v>337</v>
      </c>
      <c r="B14" s="27" t="s">
        <v>168</v>
      </c>
      <c r="C14" s="20"/>
      <c r="D14" s="20"/>
      <c r="E14" s="25"/>
      <c r="F14" s="25"/>
      <c r="G14" s="21"/>
      <c r="H14" s="21"/>
      <c r="I14" s="21"/>
      <c r="J14" s="21"/>
      <c r="K14" s="21"/>
      <c r="L14" s="46">
        <v>45049</v>
      </c>
      <c r="M14" s="18" t="s">
        <v>18</v>
      </c>
      <c r="N14" s="21"/>
      <c r="O14" s="21"/>
      <c r="P14" s="25"/>
      <c r="Q14" s="21"/>
      <c r="R14" s="26"/>
      <c r="S14" s="22">
        <v>2097.92</v>
      </c>
      <c r="T14" s="21"/>
      <c r="U14" s="39">
        <v>1</v>
      </c>
      <c r="V14" s="25"/>
      <c r="W14" s="21"/>
      <c r="X14" s="21"/>
      <c r="AA14" s="24"/>
      <c r="AB14" s="24"/>
      <c r="AC14" s="24"/>
      <c r="AD14" s="24"/>
      <c r="AE14" s="24"/>
      <c r="AF14" s="24"/>
    </row>
    <row r="15" spans="1:32" x14ac:dyDescent="0.25">
      <c r="A15" s="40" t="s">
        <v>338</v>
      </c>
      <c r="B15" s="36" t="s">
        <v>169</v>
      </c>
      <c r="C15" s="29"/>
      <c r="D15" s="29"/>
      <c r="E15" s="29"/>
      <c r="F15" s="29"/>
      <c r="G15" s="29"/>
      <c r="H15" s="30"/>
      <c r="I15" s="29"/>
      <c r="J15" s="29"/>
      <c r="K15" s="30"/>
      <c r="L15" s="29"/>
      <c r="M15" s="31"/>
      <c r="N15" s="29"/>
      <c r="O15" s="29"/>
      <c r="P15" s="29"/>
      <c r="Q15" s="29"/>
      <c r="R15" s="29"/>
      <c r="S15" s="33"/>
      <c r="T15" s="29"/>
      <c r="U15" s="29"/>
      <c r="V15" s="29"/>
      <c r="W15" s="29"/>
      <c r="X15" s="29"/>
      <c r="AA15" s="24"/>
      <c r="AB15" s="24"/>
      <c r="AC15" s="24"/>
      <c r="AD15" s="24"/>
      <c r="AE15" s="24"/>
      <c r="AF15" s="24"/>
    </row>
    <row r="16" spans="1:32" s="9" customFormat="1" x14ac:dyDescent="0.25">
      <c r="A16" s="40" t="s">
        <v>339</v>
      </c>
      <c r="B16" s="36" t="s">
        <v>22</v>
      </c>
      <c r="C16" s="29"/>
      <c r="D16" s="29"/>
      <c r="E16" s="29"/>
      <c r="F16" s="29"/>
      <c r="G16" s="29"/>
      <c r="H16" s="30"/>
      <c r="I16" s="29"/>
      <c r="J16" s="29"/>
      <c r="K16" s="30"/>
      <c r="L16" s="29"/>
      <c r="M16" s="31"/>
      <c r="N16" s="29"/>
      <c r="O16" s="29"/>
      <c r="P16" s="29"/>
      <c r="Q16" s="29"/>
      <c r="R16" s="29"/>
      <c r="S16" s="33"/>
      <c r="T16" s="29"/>
      <c r="U16" s="29"/>
      <c r="V16" s="29"/>
      <c r="W16" s="29"/>
      <c r="X16" s="29"/>
    </row>
    <row r="17" spans="1:32" ht="25.35" customHeight="1" x14ac:dyDescent="0.25">
      <c r="A17" s="40" t="s">
        <v>340</v>
      </c>
      <c r="B17" s="36" t="s">
        <v>170</v>
      </c>
      <c r="C17" s="29"/>
      <c r="D17" s="29"/>
      <c r="E17" s="29"/>
      <c r="F17" s="29"/>
      <c r="G17" s="29"/>
      <c r="H17" s="30"/>
      <c r="I17" s="29"/>
      <c r="J17" s="29"/>
      <c r="K17" s="30"/>
      <c r="L17" s="29"/>
      <c r="M17" s="31"/>
      <c r="N17" s="29"/>
      <c r="O17" s="29"/>
      <c r="P17" s="29"/>
      <c r="Q17" s="29"/>
      <c r="R17" s="29"/>
      <c r="S17" s="33"/>
      <c r="T17" s="29"/>
      <c r="U17" s="29"/>
      <c r="V17" s="29"/>
      <c r="W17" s="29"/>
      <c r="X17" s="29"/>
      <c r="AA17" s="24"/>
      <c r="AB17" s="24"/>
      <c r="AC17" s="24"/>
      <c r="AD17" s="24"/>
      <c r="AE17" s="24"/>
      <c r="AF17" s="24"/>
    </row>
    <row r="18" spans="1:32" ht="22.5" x14ac:dyDescent="0.25">
      <c r="A18" s="41" t="s">
        <v>341</v>
      </c>
      <c r="B18" s="27" t="s">
        <v>171</v>
      </c>
      <c r="C18" s="20"/>
      <c r="D18" s="20"/>
      <c r="E18" s="25"/>
      <c r="F18" s="25"/>
      <c r="G18" s="21"/>
      <c r="H18" s="21"/>
      <c r="I18" s="21"/>
      <c r="J18" s="21"/>
      <c r="K18" s="21"/>
      <c r="L18" s="46">
        <v>45051</v>
      </c>
      <c r="M18" s="18" t="s">
        <v>114</v>
      </c>
      <c r="N18" s="21"/>
      <c r="O18" s="21"/>
      <c r="P18" s="25"/>
      <c r="Q18" s="21"/>
      <c r="R18" s="26"/>
      <c r="S18" s="22">
        <v>3631.92</v>
      </c>
      <c r="T18" s="21"/>
      <c r="U18" s="39">
        <v>1</v>
      </c>
      <c r="V18" s="25"/>
      <c r="W18" s="21"/>
      <c r="X18" s="21"/>
      <c r="AA18" s="24"/>
      <c r="AB18" s="24"/>
      <c r="AC18" s="24"/>
      <c r="AD18" s="24"/>
      <c r="AE18" s="24"/>
      <c r="AF18" s="24"/>
    </row>
    <row r="19" spans="1:32" ht="22.5" x14ac:dyDescent="0.25">
      <c r="A19" s="41" t="s">
        <v>342</v>
      </c>
      <c r="B19" s="27" t="s">
        <v>172</v>
      </c>
      <c r="C19" s="20"/>
      <c r="D19" s="20"/>
      <c r="E19" s="25"/>
      <c r="F19" s="25"/>
      <c r="G19" s="21"/>
      <c r="H19" s="21"/>
      <c r="I19" s="21"/>
      <c r="J19" s="21"/>
      <c r="K19" s="21"/>
      <c r="L19" s="46">
        <v>45053</v>
      </c>
      <c r="M19" s="18" t="s">
        <v>19</v>
      </c>
      <c r="N19" s="21"/>
      <c r="O19" s="21"/>
      <c r="P19" s="25"/>
      <c r="Q19" s="21"/>
      <c r="R19" s="26"/>
      <c r="S19" s="22">
        <v>3196.8</v>
      </c>
      <c r="T19" s="21"/>
      <c r="U19" s="39">
        <v>1</v>
      </c>
      <c r="V19" s="25"/>
      <c r="W19" s="21"/>
      <c r="X19" s="21"/>
      <c r="AA19" s="24"/>
      <c r="AB19" s="24"/>
      <c r="AC19" s="24"/>
      <c r="AD19" s="24"/>
      <c r="AE19" s="24"/>
      <c r="AF19" s="24"/>
    </row>
    <row r="20" spans="1:32" x14ac:dyDescent="0.25">
      <c r="A20" s="41" t="s">
        <v>343</v>
      </c>
      <c r="B20" s="27" t="s">
        <v>173</v>
      </c>
      <c r="C20" s="20"/>
      <c r="D20" s="20"/>
      <c r="E20" s="25"/>
      <c r="F20" s="25"/>
      <c r="G20" s="21"/>
      <c r="H20" s="21"/>
      <c r="I20" s="21"/>
      <c r="J20" s="21"/>
      <c r="K20" s="21"/>
      <c r="L20" s="46">
        <v>45057</v>
      </c>
      <c r="M20" s="18" t="s">
        <v>19</v>
      </c>
      <c r="N20" s="21"/>
      <c r="O20" s="21"/>
      <c r="P20" s="25"/>
      <c r="Q20" s="21"/>
      <c r="R20" s="26"/>
      <c r="S20" s="22">
        <v>2263.0700000000002</v>
      </c>
      <c r="T20" s="21"/>
      <c r="U20" s="39">
        <v>1</v>
      </c>
      <c r="V20" s="25"/>
      <c r="W20" s="21"/>
      <c r="X20" s="21"/>
      <c r="AA20" s="24"/>
      <c r="AB20" s="24"/>
      <c r="AC20" s="24"/>
      <c r="AD20" s="24"/>
      <c r="AE20" s="24"/>
      <c r="AF20" s="24"/>
    </row>
    <row r="21" spans="1:32" x14ac:dyDescent="0.25">
      <c r="A21" s="40" t="s">
        <v>344</v>
      </c>
      <c r="B21" s="36" t="s">
        <v>174</v>
      </c>
      <c r="C21" s="29"/>
      <c r="D21" s="29"/>
      <c r="E21" s="29"/>
      <c r="F21" s="29"/>
      <c r="G21" s="29"/>
      <c r="H21" s="30"/>
      <c r="I21" s="29"/>
      <c r="J21" s="29"/>
      <c r="K21" s="30"/>
      <c r="L21" s="29"/>
      <c r="M21" s="31"/>
      <c r="N21" s="29"/>
      <c r="O21" s="29"/>
      <c r="P21" s="29"/>
      <c r="Q21" s="29"/>
      <c r="R21" s="29"/>
      <c r="S21" s="33"/>
      <c r="T21" s="29"/>
      <c r="U21" s="29"/>
      <c r="V21" s="29"/>
      <c r="W21" s="29"/>
      <c r="X21" s="29"/>
      <c r="AA21" s="24"/>
      <c r="AB21" s="24"/>
      <c r="AC21" s="24"/>
      <c r="AD21" s="24"/>
      <c r="AE21" s="24"/>
      <c r="AF21" s="24"/>
    </row>
    <row r="22" spans="1:32" x14ac:dyDescent="0.25">
      <c r="A22" s="41" t="s">
        <v>345</v>
      </c>
      <c r="B22" s="27" t="s">
        <v>175</v>
      </c>
      <c r="C22" s="20"/>
      <c r="D22" s="20"/>
      <c r="E22" s="25"/>
      <c r="F22" s="25"/>
      <c r="G22" s="21"/>
      <c r="H22" s="21"/>
      <c r="I22" s="21"/>
      <c r="J22" s="21"/>
      <c r="K22" s="21"/>
      <c r="L22" s="46">
        <v>45071</v>
      </c>
      <c r="M22" s="18" t="s">
        <v>19</v>
      </c>
      <c r="N22" s="21"/>
      <c r="O22" s="21"/>
      <c r="P22" s="25"/>
      <c r="Q22" s="21"/>
      <c r="R22" s="26"/>
      <c r="S22" s="22">
        <v>5544.53</v>
      </c>
      <c r="T22" s="21"/>
      <c r="U22" s="39">
        <v>1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x14ac:dyDescent="0.25">
      <c r="A23" s="40" t="s">
        <v>346</v>
      </c>
      <c r="B23" s="36" t="s">
        <v>113</v>
      </c>
      <c r="C23" s="29"/>
      <c r="D23" s="29"/>
      <c r="E23" s="29"/>
      <c r="F23" s="29"/>
      <c r="G23" s="29"/>
      <c r="H23" s="30"/>
      <c r="I23" s="29"/>
      <c r="J23" s="29"/>
      <c r="K23" s="30"/>
      <c r="L23" s="29"/>
      <c r="M23" s="31"/>
      <c r="N23" s="29"/>
      <c r="O23" s="29"/>
      <c r="P23" s="29"/>
      <c r="Q23" s="29"/>
      <c r="R23" s="29"/>
      <c r="S23" s="33"/>
      <c r="T23" s="29"/>
      <c r="U23" s="29"/>
      <c r="V23" s="29"/>
      <c r="W23" s="29"/>
      <c r="X23" s="29"/>
      <c r="AA23" s="24"/>
      <c r="AB23" s="24"/>
      <c r="AC23" s="24"/>
      <c r="AD23" s="24"/>
      <c r="AE23" s="24"/>
      <c r="AF23" s="24"/>
    </row>
    <row r="24" spans="1:32" s="9" customFormat="1" ht="22.5" x14ac:dyDescent="0.25">
      <c r="A24" s="41" t="s">
        <v>347</v>
      </c>
      <c r="B24" s="27" t="s">
        <v>176</v>
      </c>
      <c r="C24" s="20"/>
      <c r="D24" s="20"/>
      <c r="E24" s="25"/>
      <c r="F24" s="25"/>
      <c r="G24" s="21"/>
      <c r="H24" s="21"/>
      <c r="I24" s="21"/>
      <c r="J24" s="21"/>
      <c r="K24" s="21"/>
      <c r="L24" s="46">
        <v>45075</v>
      </c>
      <c r="M24" s="18" t="s">
        <v>19</v>
      </c>
      <c r="N24" s="21"/>
      <c r="O24" s="21"/>
      <c r="P24" s="25"/>
      <c r="Q24" s="21"/>
      <c r="R24" s="26"/>
      <c r="S24" s="22">
        <v>2673.92</v>
      </c>
      <c r="T24" s="21"/>
      <c r="U24" s="39">
        <v>1</v>
      </c>
      <c r="V24" s="25"/>
      <c r="W24" s="21"/>
      <c r="X24" s="21"/>
    </row>
    <row r="25" spans="1:32" s="9" customFormat="1" x14ac:dyDescent="0.25">
      <c r="A25" s="41" t="s">
        <v>348</v>
      </c>
      <c r="B25" s="27" t="s">
        <v>177</v>
      </c>
      <c r="C25" s="20"/>
      <c r="D25" s="20"/>
      <c r="E25" s="25"/>
      <c r="F25" s="25"/>
      <c r="G25" s="21"/>
      <c r="H25" s="21"/>
      <c r="I25" s="21"/>
      <c r="J25" s="21"/>
      <c r="K25" s="21"/>
      <c r="L25" s="46">
        <v>45079</v>
      </c>
      <c r="M25" s="18" t="s">
        <v>18</v>
      </c>
      <c r="N25" s="21"/>
      <c r="O25" s="21"/>
      <c r="P25" s="25"/>
      <c r="Q25" s="21"/>
      <c r="R25" s="26"/>
      <c r="S25" s="22">
        <v>1239.9100000000001</v>
      </c>
      <c r="T25" s="21"/>
      <c r="U25" s="39">
        <v>1</v>
      </c>
      <c r="V25" s="25"/>
      <c r="W25" s="21"/>
      <c r="X25" s="21"/>
    </row>
    <row r="26" spans="1:32" x14ac:dyDescent="0.25">
      <c r="A26" s="40" t="s">
        <v>349</v>
      </c>
      <c r="B26" s="36" t="s">
        <v>178</v>
      </c>
      <c r="C26" s="29"/>
      <c r="D26" s="29"/>
      <c r="E26" s="29"/>
      <c r="F26" s="29"/>
      <c r="G26" s="29"/>
      <c r="H26" s="30"/>
      <c r="I26" s="29"/>
      <c r="J26" s="29"/>
      <c r="K26" s="30"/>
      <c r="L26" s="29"/>
      <c r="M26" s="31"/>
      <c r="N26" s="29"/>
      <c r="O26" s="29"/>
      <c r="P26" s="29"/>
      <c r="Q26" s="29"/>
      <c r="R26" s="29"/>
      <c r="S26" s="33"/>
      <c r="T26" s="29"/>
      <c r="U26" s="29"/>
      <c r="V26" s="29"/>
      <c r="W26" s="29"/>
      <c r="X26" s="29"/>
      <c r="AA26" s="24"/>
      <c r="AB26" s="24"/>
      <c r="AC26" s="24"/>
      <c r="AD26" s="24"/>
      <c r="AE26" s="24"/>
      <c r="AF26" s="24"/>
    </row>
    <row r="27" spans="1:32" s="9" customFormat="1" ht="22.5" x14ac:dyDescent="0.25">
      <c r="A27" s="41" t="s">
        <v>350</v>
      </c>
      <c r="B27" s="27" t="s">
        <v>179</v>
      </c>
      <c r="C27" s="20"/>
      <c r="D27" s="20"/>
      <c r="E27" s="25"/>
      <c r="F27" s="25"/>
      <c r="G27" s="21"/>
      <c r="H27" s="21"/>
      <c r="I27" s="21"/>
      <c r="J27" s="21"/>
      <c r="K27" s="21"/>
      <c r="L27" s="46">
        <v>45051</v>
      </c>
      <c r="M27" s="18" t="s">
        <v>19</v>
      </c>
      <c r="N27" s="21"/>
      <c r="O27" s="21"/>
      <c r="P27" s="25"/>
      <c r="Q27" s="21"/>
      <c r="R27" s="26"/>
      <c r="S27" s="22">
        <v>6794.79</v>
      </c>
      <c r="T27" s="21"/>
      <c r="U27" s="39">
        <v>1</v>
      </c>
      <c r="V27" s="25"/>
      <c r="W27" s="21"/>
      <c r="X27" s="21"/>
    </row>
    <row r="28" spans="1:32" ht="22.5" x14ac:dyDescent="0.25">
      <c r="A28" s="41" t="s">
        <v>351</v>
      </c>
      <c r="B28" s="27" t="s">
        <v>180</v>
      </c>
      <c r="C28" s="20"/>
      <c r="D28" s="20"/>
      <c r="E28" s="25"/>
      <c r="F28" s="25"/>
      <c r="G28" s="21"/>
      <c r="H28" s="21"/>
      <c r="I28" s="21"/>
      <c r="J28" s="21"/>
      <c r="K28" s="21"/>
      <c r="L28" s="46">
        <v>45061</v>
      </c>
      <c r="M28" s="18" t="s">
        <v>29</v>
      </c>
      <c r="N28" s="21"/>
      <c r="O28" s="21"/>
      <c r="P28" s="25"/>
      <c r="Q28" s="21"/>
      <c r="R28" s="26"/>
      <c r="S28" s="22">
        <v>3991.91</v>
      </c>
      <c r="T28" s="21"/>
      <c r="U28" s="39">
        <v>1</v>
      </c>
      <c r="V28" s="25"/>
      <c r="W28" s="21"/>
      <c r="X28" s="21"/>
      <c r="AA28" s="24"/>
      <c r="AB28" s="24"/>
      <c r="AC28" s="24"/>
      <c r="AD28" s="24"/>
      <c r="AE28" s="24"/>
      <c r="AF28" s="24"/>
    </row>
    <row r="29" spans="1:32" s="9" customFormat="1" x14ac:dyDescent="0.25">
      <c r="A29" s="41" t="s">
        <v>352</v>
      </c>
      <c r="B29" s="27" t="s">
        <v>181</v>
      </c>
      <c r="C29" s="20"/>
      <c r="D29" s="20"/>
      <c r="E29" s="25"/>
      <c r="F29" s="25"/>
      <c r="G29" s="21"/>
      <c r="H29" s="21"/>
      <c r="I29" s="21"/>
      <c r="J29" s="21"/>
      <c r="K29" s="21"/>
      <c r="L29" s="46">
        <v>45058</v>
      </c>
      <c r="M29" s="18" t="s">
        <v>19</v>
      </c>
      <c r="N29" s="21"/>
      <c r="O29" s="21"/>
      <c r="P29" s="25"/>
      <c r="Q29" s="21"/>
      <c r="R29" s="26"/>
      <c r="S29" s="22">
        <v>12123.07</v>
      </c>
      <c r="T29" s="21"/>
      <c r="U29" s="39">
        <v>1</v>
      </c>
      <c r="V29" s="25"/>
      <c r="W29" s="21"/>
      <c r="X29" s="21"/>
    </row>
    <row r="30" spans="1:32" x14ac:dyDescent="0.25">
      <c r="A30" s="40" t="s">
        <v>353</v>
      </c>
      <c r="B30" s="36" t="s">
        <v>182</v>
      </c>
      <c r="C30" s="29"/>
      <c r="D30" s="29"/>
      <c r="E30" s="29"/>
      <c r="F30" s="29"/>
      <c r="G30" s="29"/>
      <c r="H30" s="30"/>
      <c r="I30" s="29"/>
      <c r="J30" s="29"/>
      <c r="K30" s="30"/>
      <c r="L30" s="30"/>
      <c r="M30" s="35"/>
      <c r="N30" s="30"/>
      <c r="O30" s="30"/>
      <c r="P30" s="30"/>
      <c r="Q30" s="30"/>
      <c r="R30" s="30"/>
      <c r="S30" s="33"/>
      <c r="T30" s="30"/>
      <c r="U30" s="30"/>
      <c r="V30" s="30"/>
      <c r="W30" s="30"/>
      <c r="X30" s="30"/>
      <c r="AA30" s="24"/>
      <c r="AB30" s="24"/>
      <c r="AC30" s="24"/>
      <c r="AD30" s="24"/>
      <c r="AE30" s="24"/>
      <c r="AF30" s="24"/>
    </row>
    <row r="31" spans="1:32" x14ac:dyDescent="0.25">
      <c r="A31" s="40" t="s">
        <v>354</v>
      </c>
      <c r="B31" s="36" t="s">
        <v>183</v>
      </c>
      <c r="C31" s="29"/>
      <c r="D31" s="29"/>
      <c r="E31" s="29"/>
      <c r="F31" s="29"/>
      <c r="G31" s="29"/>
      <c r="H31" s="30"/>
      <c r="I31" s="29"/>
      <c r="J31" s="29"/>
      <c r="K31" s="30"/>
      <c r="L31" s="29"/>
      <c r="M31" s="31"/>
      <c r="N31" s="29"/>
      <c r="O31" s="29"/>
      <c r="P31" s="29"/>
      <c r="Q31" s="29"/>
      <c r="R31" s="29"/>
      <c r="S31" s="33"/>
      <c r="T31" s="29"/>
      <c r="U31" s="29"/>
      <c r="V31" s="29"/>
      <c r="W31" s="29"/>
      <c r="X31" s="29"/>
      <c r="AA31" s="24"/>
      <c r="AB31" s="24"/>
      <c r="AC31" s="24"/>
      <c r="AD31" s="24"/>
      <c r="AE31" s="24"/>
      <c r="AF31" s="24"/>
    </row>
    <row r="32" spans="1:32" s="9" customFormat="1" x14ac:dyDescent="0.25">
      <c r="A32" s="41" t="s">
        <v>355</v>
      </c>
      <c r="B32" s="27" t="s">
        <v>184</v>
      </c>
      <c r="C32" s="20"/>
      <c r="D32" s="20"/>
      <c r="E32" s="25"/>
      <c r="F32" s="25"/>
      <c r="G32" s="21"/>
      <c r="H32" s="21"/>
      <c r="I32" s="21"/>
      <c r="J32" s="21"/>
      <c r="K32" s="21"/>
      <c r="L32" s="46">
        <v>45062</v>
      </c>
      <c r="M32" s="18" t="s">
        <v>29</v>
      </c>
      <c r="N32" s="21"/>
      <c r="O32" s="21"/>
      <c r="P32" s="25"/>
      <c r="Q32" s="21"/>
      <c r="R32" s="26"/>
      <c r="S32" s="22">
        <v>6285.6</v>
      </c>
      <c r="T32" s="21"/>
      <c r="U32" s="39">
        <v>1</v>
      </c>
      <c r="V32" s="25"/>
      <c r="W32" s="21"/>
      <c r="X32" s="21"/>
    </row>
    <row r="33" spans="1:32" ht="22.5" x14ac:dyDescent="0.25">
      <c r="A33" s="41" t="s">
        <v>356</v>
      </c>
      <c r="B33" s="27" t="s">
        <v>185</v>
      </c>
      <c r="C33" s="20"/>
      <c r="D33" s="20"/>
      <c r="E33" s="25"/>
      <c r="F33" s="25"/>
      <c r="G33" s="21"/>
      <c r="H33" s="21"/>
      <c r="I33" s="21"/>
      <c r="J33" s="21"/>
      <c r="K33" s="21"/>
      <c r="L33" s="46">
        <v>45055</v>
      </c>
      <c r="M33" s="18" t="s">
        <v>18</v>
      </c>
      <c r="N33" s="21"/>
      <c r="O33" s="21"/>
      <c r="P33" s="25"/>
      <c r="Q33" s="21"/>
      <c r="R33" s="26"/>
      <c r="S33" s="22">
        <v>1841.62</v>
      </c>
      <c r="T33" s="21"/>
      <c r="U33" s="39">
        <v>1</v>
      </c>
      <c r="V33" s="25"/>
      <c r="W33" s="21"/>
      <c r="X33" s="21"/>
      <c r="AA33" s="24"/>
      <c r="AB33" s="24"/>
      <c r="AC33" s="24"/>
      <c r="AD33" s="24"/>
      <c r="AE33" s="24"/>
      <c r="AF33" s="24"/>
    </row>
    <row r="34" spans="1:32" x14ac:dyDescent="0.25">
      <c r="A34" s="40" t="s">
        <v>357</v>
      </c>
      <c r="B34" s="36" t="s">
        <v>186</v>
      </c>
      <c r="C34" s="29"/>
      <c r="D34" s="29"/>
      <c r="E34" s="29"/>
      <c r="F34" s="29"/>
      <c r="G34" s="29"/>
      <c r="H34" s="30"/>
      <c r="I34" s="29"/>
      <c r="J34" s="29"/>
      <c r="K34" s="30"/>
      <c r="L34" s="29"/>
      <c r="M34" s="31"/>
      <c r="N34" s="29"/>
      <c r="O34" s="29"/>
      <c r="P34" s="29"/>
      <c r="Q34" s="29"/>
      <c r="R34" s="29"/>
      <c r="S34" s="33"/>
      <c r="T34" s="29"/>
      <c r="U34" s="29"/>
      <c r="V34" s="29"/>
      <c r="W34" s="29"/>
      <c r="X34" s="29"/>
      <c r="AA34" s="24"/>
      <c r="AB34" s="24"/>
      <c r="AC34" s="24"/>
      <c r="AD34" s="24"/>
      <c r="AE34" s="24"/>
      <c r="AF34" s="24"/>
    </row>
    <row r="35" spans="1:32" ht="22.5" x14ac:dyDescent="0.25">
      <c r="A35" s="41" t="s">
        <v>358</v>
      </c>
      <c r="B35" s="27" t="s">
        <v>187</v>
      </c>
      <c r="C35" s="20"/>
      <c r="D35" s="20"/>
      <c r="E35" s="25"/>
      <c r="F35" s="25"/>
      <c r="G35" s="21"/>
      <c r="H35" s="21"/>
      <c r="I35" s="21"/>
      <c r="J35" s="21"/>
      <c r="K35" s="21"/>
      <c r="L35" s="46">
        <v>45062</v>
      </c>
      <c r="M35" s="18" t="s">
        <v>29</v>
      </c>
      <c r="N35" s="21"/>
      <c r="O35" s="21"/>
      <c r="P35" s="25"/>
      <c r="Q35" s="21"/>
      <c r="R35" s="26"/>
      <c r="S35" s="22">
        <v>3479.1</v>
      </c>
      <c r="T35" s="21"/>
      <c r="U35" s="39">
        <v>1</v>
      </c>
      <c r="V35" s="25"/>
      <c r="W35" s="21"/>
      <c r="X35" s="21"/>
      <c r="AA35" s="24"/>
      <c r="AB35" s="24"/>
      <c r="AC35" s="24"/>
      <c r="AD35" s="24"/>
      <c r="AE35" s="24"/>
      <c r="AF35" s="24"/>
    </row>
    <row r="36" spans="1:32" s="9" customFormat="1" ht="22.5" x14ac:dyDescent="0.25">
      <c r="A36" s="41" t="s">
        <v>359</v>
      </c>
      <c r="B36" s="27" t="s">
        <v>188</v>
      </c>
      <c r="C36" s="20"/>
      <c r="D36" s="20"/>
      <c r="E36" s="25"/>
      <c r="F36" s="25"/>
      <c r="G36" s="21"/>
      <c r="H36" s="21"/>
      <c r="I36" s="21"/>
      <c r="J36" s="21"/>
      <c r="K36" s="21"/>
      <c r="L36" s="46">
        <v>45060</v>
      </c>
      <c r="M36" s="18" t="s">
        <v>29</v>
      </c>
      <c r="N36" s="21"/>
      <c r="O36" s="21"/>
      <c r="P36" s="25"/>
      <c r="Q36" s="21"/>
      <c r="R36" s="26"/>
      <c r="S36" s="22">
        <v>3118.54</v>
      </c>
      <c r="T36" s="21"/>
      <c r="U36" s="39">
        <v>1</v>
      </c>
      <c r="V36" s="25"/>
      <c r="W36" s="21"/>
      <c r="X36" s="21"/>
    </row>
    <row r="37" spans="1:32" s="9" customFormat="1" ht="22.5" x14ac:dyDescent="0.25">
      <c r="A37" s="41" t="s">
        <v>360</v>
      </c>
      <c r="B37" s="27" t="s">
        <v>189</v>
      </c>
      <c r="C37" s="20"/>
      <c r="D37" s="20"/>
      <c r="E37" s="25"/>
      <c r="F37" s="25"/>
      <c r="G37" s="21"/>
      <c r="H37" s="21"/>
      <c r="I37" s="21"/>
      <c r="J37" s="21"/>
      <c r="K37" s="21"/>
      <c r="L37" s="46">
        <v>45058</v>
      </c>
      <c r="M37" s="18" t="s">
        <v>29</v>
      </c>
      <c r="N37" s="21"/>
      <c r="O37" s="21"/>
      <c r="P37" s="25"/>
      <c r="Q37" s="21"/>
      <c r="R37" s="26"/>
      <c r="S37" s="22">
        <v>9045.6</v>
      </c>
      <c r="T37" s="21"/>
      <c r="U37" s="39">
        <v>1</v>
      </c>
      <c r="V37" s="25"/>
      <c r="W37" s="21"/>
      <c r="X37" s="21"/>
    </row>
    <row r="38" spans="1:32" x14ac:dyDescent="0.25">
      <c r="A38" s="40" t="s">
        <v>361</v>
      </c>
      <c r="B38" s="36" t="s">
        <v>190</v>
      </c>
      <c r="C38" s="29"/>
      <c r="D38" s="29"/>
      <c r="E38" s="29"/>
      <c r="F38" s="29"/>
      <c r="G38" s="29"/>
      <c r="H38" s="30"/>
      <c r="I38" s="29"/>
      <c r="J38" s="29"/>
      <c r="K38" s="30"/>
      <c r="L38" s="29"/>
      <c r="M38" s="31"/>
      <c r="N38" s="29"/>
      <c r="O38" s="29"/>
      <c r="P38" s="29"/>
      <c r="Q38" s="29"/>
      <c r="R38" s="29"/>
      <c r="S38" s="33"/>
      <c r="T38" s="29"/>
      <c r="U38" s="29"/>
      <c r="V38" s="29"/>
      <c r="W38" s="29"/>
      <c r="X38" s="29"/>
      <c r="AA38" s="24"/>
      <c r="AB38" s="24"/>
      <c r="AC38" s="24"/>
      <c r="AD38" s="24"/>
      <c r="AE38" s="24"/>
      <c r="AF38" s="24"/>
    </row>
    <row r="39" spans="1:32" x14ac:dyDescent="0.25">
      <c r="A39" s="41" t="s">
        <v>362</v>
      </c>
      <c r="B39" s="27" t="s">
        <v>191</v>
      </c>
      <c r="C39" s="20"/>
      <c r="D39" s="20"/>
      <c r="E39" s="25"/>
      <c r="F39" s="25"/>
      <c r="G39" s="21"/>
      <c r="H39" s="21"/>
      <c r="I39" s="21"/>
      <c r="J39" s="21"/>
      <c r="K39" s="21"/>
      <c r="L39" s="46">
        <v>45065</v>
      </c>
      <c r="M39" s="18" t="s">
        <v>35</v>
      </c>
      <c r="N39" s="21"/>
      <c r="O39" s="21"/>
      <c r="P39" s="25"/>
      <c r="Q39" s="21"/>
      <c r="R39" s="26"/>
      <c r="S39" s="22">
        <v>2442.7800000000002</v>
      </c>
      <c r="T39" s="21"/>
      <c r="U39" s="39">
        <v>1</v>
      </c>
      <c r="V39" s="25"/>
      <c r="W39" s="21"/>
      <c r="X39" s="21"/>
      <c r="AA39" s="24"/>
      <c r="AB39" s="24"/>
      <c r="AC39" s="24"/>
      <c r="AD39" s="24"/>
      <c r="AE39" s="24"/>
      <c r="AF39" s="24"/>
    </row>
    <row r="40" spans="1:32" ht="22.5" x14ac:dyDescent="0.25">
      <c r="A40" s="41" t="s">
        <v>363</v>
      </c>
      <c r="B40" s="27" t="s">
        <v>192</v>
      </c>
      <c r="C40" s="20"/>
      <c r="D40" s="20"/>
      <c r="E40" s="25"/>
      <c r="F40" s="25"/>
      <c r="G40" s="21"/>
      <c r="H40" s="21"/>
      <c r="I40" s="21"/>
      <c r="J40" s="21"/>
      <c r="K40" s="21"/>
      <c r="L40" s="46">
        <v>45064</v>
      </c>
      <c r="M40" s="18" t="s">
        <v>18</v>
      </c>
      <c r="N40" s="21"/>
      <c r="O40" s="21"/>
      <c r="P40" s="25"/>
      <c r="Q40" s="21"/>
      <c r="R40" s="26"/>
      <c r="S40" s="22">
        <v>803.67</v>
      </c>
      <c r="T40" s="21"/>
      <c r="U40" s="39">
        <v>1</v>
      </c>
      <c r="V40" s="25"/>
      <c r="W40" s="21"/>
      <c r="X40" s="21"/>
      <c r="AA40" s="24"/>
      <c r="AB40" s="24"/>
      <c r="AC40" s="24"/>
      <c r="AD40" s="24"/>
      <c r="AE40" s="24"/>
      <c r="AF40" s="24"/>
    </row>
    <row r="41" spans="1:32" s="9" customFormat="1" ht="22.5" x14ac:dyDescent="0.25">
      <c r="A41" s="41" t="s">
        <v>364</v>
      </c>
      <c r="B41" s="27" t="s">
        <v>193</v>
      </c>
      <c r="C41" s="20"/>
      <c r="D41" s="20"/>
      <c r="E41" s="25"/>
      <c r="F41" s="25"/>
      <c r="G41" s="21"/>
      <c r="H41" s="21"/>
      <c r="I41" s="21"/>
      <c r="J41" s="21"/>
      <c r="K41" s="21"/>
      <c r="L41" s="46">
        <v>45056</v>
      </c>
      <c r="M41" s="18" t="s">
        <v>29</v>
      </c>
      <c r="N41" s="21"/>
      <c r="O41" s="21"/>
      <c r="P41" s="25"/>
      <c r="Q41" s="21"/>
      <c r="R41" s="26"/>
      <c r="S41" s="22">
        <v>5576.82</v>
      </c>
      <c r="T41" s="21"/>
      <c r="U41" s="39">
        <v>1</v>
      </c>
      <c r="V41" s="25"/>
      <c r="W41" s="21"/>
      <c r="X41" s="21"/>
    </row>
    <row r="42" spans="1:32" x14ac:dyDescent="0.25">
      <c r="A42" s="40" t="s">
        <v>365</v>
      </c>
      <c r="B42" s="36" t="s">
        <v>194</v>
      </c>
      <c r="C42" s="29"/>
      <c r="D42" s="29"/>
      <c r="E42" s="29"/>
      <c r="F42" s="29"/>
      <c r="G42" s="29"/>
      <c r="H42" s="30"/>
      <c r="I42" s="29"/>
      <c r="J42" s="29"/>
      <c r="K42" s="30"/>
      <c r="L42" s="30"/>
      <c r="M42" s="29"/>
      <c r="N42" s="30"/>
      <c r="O42" s="30"/>
      <c r="P42" s="30"/>
      <c r="Q42" s="30"/>
      <c r="R42" s="30"/>
      <c r="S42" s="33"/>
      <c r="T42" s="30"/>
      <c r="U42" s="30"/>
      <c r="V42" s="30"/>
      <c r="W42" s="30"/>
      <c r="X42" s="30"/>
      <c r="AA42" s="24"/>
      <c r="AB42" s="24"/>
      <c r="AC42" s="24"/>
      <c r="AD42" s="24"/>
      <c r="AE42" s="24"/>
      <c r="AF42" s="24"/>
    </row>
    <row r="43" spans="1:32" ht="22.5" x14ac:dyDescent="0.25">
      <c r="A43" s="41" t="s">
        <v>366</v>
      </c>
      <c r="B43" s="27" t="s">
        <v>195</v>
      </c>
      <c r="C43" s="20"/>
      <c r="D43" s="20"/>
      <c r="E43" s="25"/>
      <c r="F43" s="25"/>
      <c r="G43" s="21"/>
      <c r="H43" s="21"/>
      <c r="I43" s="21"/>
      <c r="J43" s="21"/>
      <c r="K43" s="21"/>
      <c r="L43" s="46">
        <v>45072</v>
      </c>
      <c r="M43" s="18" t="s">
        <v>18</v>
      </c>
      <c r="N43" s="21"/>
      <c r="O43" s="21"/>
      <c r="P43" s="25"/>
      <c r="Q43" s="21"/>
      <c r="R43" s="26"/>
      <c r="S43" s="22">
        <v>173.06</v>
      </c>
      <c r="T43" s="21"/>
      <c r="U43" s="39">
        <v>1</v>
      </c>
      <c r="V43" s="25"/>
      <c r="W43" s="21"/>
      <c r="X43" s="21"/>
      <c r="AA43" s="24"/>
      <c r="AB43" s="24"/>
      <c r="AC43" s="24"/>
      <c r="AD43" s="24"/>
      <c r="AE43" s="24"/>
      <c r="AF43" s="24"/>
    </row>
    <row r="44" spans="1:32" ht="22.5" x14ac:dyDescent="0.25">
      <c r="A44" s="41" t="s">
        <v>367</v>
      </c>
      <c r="B44" s="27" t="s">
        <v>196</v>
      </c>
      <c r="C44" s="20"/>
      <c r="D44" s="20"/>
      <c r="E44" s="25"/>
      <c r="F44" s="25"/>
      <c r="G44" s="21"/>
      <c r="H44" s="21"/>
      <c r="I44" s="21"/>
      <c r="J44" s="21"/>
      <c r="K44" s="21"/>
      <c r="L44" s="46">
        <v>45071</v>
      </c>
      <c r="M44" s="18" t="s">
        <v>18</v>
      </c>
      <c r="N44" s="21"/>
      <c r="O44" s="21"/>
      <c r="P44" s="25"/>
      <c r="Q44" s="21"/>
      <c r="R44" s="26"/>
      <c r="S44" s="22">
        <v>164.19</v>
      </c>
      <c r="T44" s="21"/>
      <c r="U44" s="39">
        <v>1</v>
      </c>
      <c r="V44" s="25"/>
      <c r="W44" s="21"/>
      <c r="X44" s="21"/>
      <c r="AA44" s="24"/>
      <c r="AB44" s="24"/>
      <c r="AC44" s="24"/>
      <c r="AD44" s="24"/>
      <c r="AE44" s="24"/>
      <c r="AF44" s="24"/>
    </row>
    <row r="45" spans="1:32" s="9" customFormat="1" ht="22.5" x14ac:dyDescent="0.25">
      <c r="A45" s="41" t="s">
        <v>368</v>
      </c>
      <c r="B45" s="27" t="s">
        <v>197</v>
      </c>
      <c r="C45" s="20"/>
      <c r="D45" s="20"/>
      <c r="E45" s="25"/>
      <c r="F45" s="25"/>
      <c r="G45" s="21"/>
      <c r="H45" s="21"/>
      <c r="I45" s="21"/>
      <c r="J45" s="21"/>
      <c r="K45" s="21"/>
      <c r="L45" s="46">
        <v>45070</v>
      </c>
      <c r="M45" s="18" t="s">
        <v>18</v>
      </c>
      <c r="N45" s="21"/>
      <c r="O45" s="21"/>
      <c r="P45" s="25"/>
      <c r="Q45" s="21"/>
      <c r="R45" s="26"/>
      <c r="S45" s="22">
        <v>217.13</v>
      </c>
      <c r="T45" s="21"/>
      <c r="U45" s="39">
        <v>1</v>
      </c>
      <c r="V45" s="25"/>
      <c r="W45" s="21"/>
      <c r="X45" s="21"/>
    </row>
    <row r="46" spans="1:32" s="9" customFormat="1" x14ac:dyDescent="0.25">
      <c r="A46" s="41" t="s">
        <v>369</v>
      </c>
      <c r="B46" s="27" t="s">
        <v>198</v>
      </c>
      <c r="C46" s="20"/>
      <c r="D46" s="20"/>
      <c r="E46" s="25"/>
      <c r="F46" s="25"/>
      <c r="G46" s="21"/>
      <c r="H46" s="21"/>
      <c r="I46" s="21"/>
      <c r="J46" s="21"/>
      <c r="K46" s="21"/>
      <c r="L46" s="46">
        <v>45072</v>
      </c>
      <c r="M46" s="18" t="s">
        <v>18</v>
      </c>
      <c r="N46" s="21"/>
      <c r="O46" s="21"/>
      <c r="P46" s="25"/>
      <c r="Q46" s="21"/>
      <c r="R46" s="26"/>
      <c r="S46" s="22">
        <v>128.79</v>
      </c>
      <c r="T46" s="21"/>
      <c r="U46" s="39">
        <v>1</v>
      </c>
      <c r="V46" s="25"/>
      <c r="W46" s="21"/>
      <c r="X46" s="21"/>
    </row>
    <row r="47" spans="1:32" x14ac:dyDescent="0.25">
      <c r="A47" s="41" t="s">
        <v>370</v>
      </c>
      <c r="B47" s="27" t="s">
        <v>199</v>
      </c>
      <c r="C47" s="20"/>
      <c r="D47" s="20"/>
      <c r="E47" s="25"/>
      <c r="F47" s="25"/>
      <c r="G47" s="21"/>
      <c r="H47" s="21"/>
      <c r="I47" s="21"/>
      <c r="J47" s="21"/>
      <c r="K47" s="21"/>
      <c r="L47" s="46">
        <v>45071</v>
      </c>
      <c r="M47" s="18" t="s">
        <v>18</v>
      </c>
      <c r="N47" s="21"/>
      <c r="O47" s="21"/>
      <c r="P47" s="25"/>
      <c r="Q47" s="21"/>
      <c r="R47" s="26"/>
      <c r="S47" s="22">
        <v>229</v>
      </c>
      <c r="T47" s="21"/>
      <c r="U47" s="39">
        <v>1</v>
      </c>
      <c r="V47" s="25"/>
      <c r="W47" s="21"/>
      <c r="X47" s="21"/>
      <c r="AA47" s="24"/>
      <c r="AB47" s="24"/>
      <c r="AC47" s="24"/>
      <c r="AD47" s="24"/>
      <c r="AE47" s="24"/>
      <c r="AF47" s="24"/>
    </row>
    <row r="48" spans="1:32" ht="22.5" x14ac:dyDescent="0.25">
      <c r="A48" s="41" t="s">
        <v>371</v>
      </c>
      <c r="B48" s="27" t="s">
        <v>200</v>
      </c>
      <c r="C48" s="20"/>
      <c r="D48" s="20"/>
      <c r="E48" s="25"/>
      <c r="F48" s="25"/>
      <c r="G48" s="21"/>
      <c r="H48" s="21"/>
      <c r="I48" s="21"/>
      <c r="J48" s="21"/>
      <c r="K48" s="21"/>
      <c r="L48" s="46">
        <v>45070</v>
      </c>
      <c r="M48" s="18" t="s">
        <v>18</v>
      </c>
      <c r="N48" s="21"/>
      <c r="O48" s="21"/>
      <c r="P48" s="25"/>
      <c r="Q48" s="21"/>
      <c r="R48" s="26"/>
      <c r="S48" s="22">
        <v>178.15</v>
      </c>
      <c r="T48" s="21"/>
      <c r="U48" s="39">
        <v>1</v>
      </c>
      <c r="V48" s="25"/>
      <c r="W48" s="21"/>
      <c r="X48" s="21"/>
      <c r="AA48" s="24"/>
      <c r="AB48" s="24"/>
      <c r="AC48" s="24"/>
      <c r="AD48" s="24"/>
      <c r="AE48" s="24"/>
      <c r="AF48" s="24"/>
    </row>
    <row r="49" spans="1:32" s="9" customFormat="1" x14ac:dyDescent="0.25">
      <c r="A49" s="40" t="s">
        <v>372</v>
      </c>
      <c r="B49" s="36" t="s">
        <v>201</v>
      </c>
      <c r="C49" s="29"/>
      <c r="D49" s="29"/>
      <c r="E49" s="29"/>
      <c r="F49" s="29"/>
      <c r="G49" s="29"/>
      <c r="H49" s="30"/>
      <c r="I49" s="29"/>
      <c r="J49" s="29"/>
      <c r="K49" s="30"/>
      <c r="L49" s="29"/>
      <c r="M49" s="31"/>
      <c r="N49" s="29"/>
      <c r="O49" s="29"/>
      <c r="P49" s="29"/>
      <c r="Q49" s="29"/>
      <c r="R49" s="29"/>
      <c r="S49" s="33"/>
      <c r="T49" s="29"/>
      <c r="U49" s="29"/>
      <c r="V49" s="29"/>
      <c r="W49" s="29"/>
      <c r="X49" s="29"/>
    </row>
    <row r="50" spans="1:32" x14ac:dyDescent="0.25">
      <c r="A50" s="40" t="s">
        <v>373</v>
      </c>
      <c r="B50" s="36" t="s">
        <v>190</v>
      </c>
      <c r="C50" s="29"/>
      <c r="D50" s="29"/>
      <c r="E50" s="29"/>
      <c r="F50" s="29"/>
      <c r="G50" s="29"/>
      <c r="H50" s="30"/>
      <c r="I50" s="29"/>
      <c r="J50" s="29"/>
      <c r="K50" s="30"/>
      <c r="L50" s="30"/>
      <c r="M50" s="29"/>
      <c r="N50" s="30"/>
      <c r="O50" s="30"/>
      <c r="P50" s="30"/>
      <c r="Q50" s="30"/>
      <c r="R50" s="30"/>
      <c r="S50" s="33"/>
      <c r="T50" s="30"/>
      <c r="U50" s="30"/>
      <c r="V50" s="30"/>
      <c r="W50" s="30"/>
      <c r="X50" s="30"/>
      <c r="AA50" s="24"/>
      <c r="AB50" s="24"/>
      <c r="AC50" s="24"/>
      <c r="AD50" s="24"/>
      <c r="AE50" s="24"/>
      <c r="AF50" s="24"/>
    </row>
    <row r="51" spans="1:32" x14ac:dyDescent="0.25">
      <c r="A51" s="41" t="s">
        <v>374</v>
      </c>
      <c r="B51" s="27" t="s">
        <v>202</v>
      </c>
      <c r="C51" s="20"/>
      <c r="D51" s="20"/>
      <c r="E51" s="25"/>
      <c r="F51" s="25"/>
      <c r="G51" s="21"/>
      <c r="H51" s="21"/>
      <c r="I51" s="21"/>
      <c r="J51" s="21"/>
      <c r="K51" s="21"/>
      <c r="L51" s="46">
        <v>45070</v>
      </c>
      <c r="M51" s="18" t="s">
        <v>29</v>
      </c>
      <c r="N51" s="21"/>
      <c r="O51" s="21"/>
      <c r="P51" s="25"/>
      <c r="Q51" s="21"/>
      <c r="R51" s="26"/>
      <c r="S51" s="22">
        <v>33183.24</v>
      </c>
      <c r="T51" s="21"/>
      <c r="U51" s="39">
        <v>1</v>
      </c>
      <c r="V51" s="25"/>
      <c r="W51" s="21"/>
      <c r="X51" s="21"/>
      <c r="AA51" s="24"/>
      <c r="AB51" s="24"/>
      <c r="AC51" s="24"/>
      <c r="AD51" s="24"/>
      <c r="AE51" s="24"/>
      <c r="AF51" s="24"/>
    </row>
    <row r="52" spans="1:32" ht="22.5" x14ac:dyDescent="0.25">
      <c r="A52" s="41" t="s">
        <v>375</v>
      </c>
      <c r="B52" s="27" t="s">
        <v>203</v>
      </c>
      <c r="C52" s="20"/>
      <c r="D52" s="20"/>
      <c r="E52" s="25"/>
      <c r="F52" s="25"/>
      <c r="G52" s="21"/>
      <c r="H52" s="21"/>
      <c r="I52" s="21"/>
      <c r="J52" s="21"/>
      <c r="K52" s="21"/>
      <c r="L52" s="46">
        <v>45069</v>
      </c>
      <c r="M52" s="18" t="s">
        <v>29</v>
      </c>
      <c r="N52" s="21"/>
      <c r="O52" s="21"/>
      <c r="P52" s="25"/>
      <c r="Q52" s="21"/>
      <c r="R52" s="26"/>
      <c r="S52" s="22">
        <v>3171.12</v>
      </c>
      <c r="T52" s="21"/>
      <c r="U52" s="39">
        <v>1</v>
      </c>
      <c r="V52" s="25"/>
      <c r="W52" s="21"/>
      <c r="X52" s="21"/>
      <c r="AA52" s="24"/>
      <c r="AB52" s="24"/>
      <c r="AC52" s="24"/>
      <c r="AD52" s="24"/>
      <c r="AE52" s="24"/>
      <c r="AF52" s="24"/>
    </row>
    <row r="53" spans="1:32" s="9" customFormat="1" x14ac:dyDescent="0.25">
      <c r="A53" s="40" t="s">
        <v>376</v>
      </c>
      <c r="B53" s="36" t="s">
        <v>204</v>
      </c>
      <c r="C53" s="29"/>
      <c r="D53" s="29"/>
      <c r="E53" s="29"/>
      <c r="F53" s="29"/>
      <c r="G53" s="29"/>
      <c r="H53" s="30"/>
      <c r="I53" s="29"/>
      <c r="J53" s="29"/>
      <c r="K53" s="30"/>
      <c r="L53" s="29"/>
      <c r="M53" s="31"/>
      <c r="N53" s="29"/>
      <c r="O53" s="29"/>
      <c r="P53" s="29"/>
      <c r="Q53" s="29"/>
      <c r="R53" s="29"/>
      <c r="S53" s="33"/>
      <c r="T53" s="29"/>
      <c r="U53" s="29"/>
      <c r="V53" s="29"/>
      <c r="W53" s="29"/>
      <c r="X53" s="29"/>
    </row>
    <row r="54" spans="1:32" x14ac:dyDescent="0.25">
      <c r="A54" s="41" t="s">
        <v>377</v>
      </c>
      <c r="B54" s="27" t="s">
        <v>205</v>
      </c>
      <c r="C54" s="20"/>
      <c r="D54" s="20"/>
      <c r="E54" s="25"/>
      <c r="F54" s="25"/>
      <c r="G54" s="21"/>
      <c r="H54" s="21"/>
      <c r="I54" s="21"/>
      <c r="J54" s="21"/>
      <c r="K54" s="21"/>
      <c r="L54" s="46">
        <v>45071</v>
      </c>
      <c r="M54" s="18" t="s">
        <v>114</v>
      </c>
      <c r="N54" s="21"/>
      <c r="O54" s="21"/>
      <c r="P54" s="25"/>
      <c r="Q54" s="21"/>
      <c r="R54" s="26"/>
      <c r="S54" s="22">
        <v>22575.9</v>
      </c>
      <c r="T54" s="21"/>
      <c r="U54" s="39">
        <v>1</v>
      </c>
      <c r="V54" s="25"/>
      <c r="W54" s="21"/>
      <c r="X54" s="21"/>
      <c r="AA54" s="24"/>
      <c r="AB54" s="24"/>
      <c r="AC54" s="24"/>
      <c r="AD54" s="24"/>
      <c r="AE54" s="24"/>
      <c r="AF54" s="24"/>
    </row>
    <row r="55" spans="1:32" x14ac:dyDescent="0.25">
      <c r="A55" s="41" t="s">
        <v>378</v>
      </c>
      <c r="B55" s="27" t="s">
        <v>206</v>
      </c>
      <c r="C55" s="20"/>
      <c r="D55" s="20"/>
      <c r="E55" s="25"/>
      <c r="F55" s="25"/>
      <c r="G55" s="21"/>
      <c r="H55" s="21"/>
      <c r="I55" s="21"/>
      <c r="J55" s="21"/>
      <c r="K55" s="21"/>
      <c r="L55" s="46">
        <v>45077</v>
      </c>
      <c r="M55" s="18" t="s">
        <v>18</v>
      </c>
      <c r="N55" s="21"/>
      <c r="O55" s="21"/>
      <c r="P55" s="25"/>
      <c r="Q55" s="21"/>
      <c r="R55" s="26"/>
      <c r="S55" s="22">
        <v>12121.9</v>
      </c>
      <c r="T55" s="21"/>
      <c r="U55" s="39">
        <v>1</v>
      </c>
      <c r="V55" s="25"/>
      <c r="W55" s="21"/>
      <c r="X55" s="21"/>
      <c r="AA55" s="24"/>
      <c r="AB55" s="24"/>
      <c r="AC55" s="24"/>
      <c r="AD55" s="24"/>
      <c r="AE55" s="24"/>
      <c r="AF55" s="24"/>
    </row>
    <row r="56" spans="1:32" x14ac:dyDescent="0.25">
      <c r="A56" s="41" t="s">
        <v>379</v>
      </c>
      <c r="B56" s="27" t="s">
        <v>207</v>
      </c>
      <c r="C56" s="20"/>
      <c r="D56" s="20"/>
      <c r="E56" s="25"/>
      <c r="F56" s="25"/>
      <c r="G56" s="21"/>
      <c r="H56" s="21"/>
      <c r="I56" s="21"/>
      <c r="J56" s="21"/>
      <c r="K56" s="21"/>
      <c r="L56" s="46">
        <v>45078</v>
      </c>
      <c r="M56" s="18" t="s">
        <v>41</v>
      </c>
      <c r="N56" s="21"/>
      <c r="O56" s="21"/>
      <c r="P56" s="25"/>
      <c r="Q56" s="21"/>
      <c r="R56" s="26"/>
      <c r="S56" s="22">
        <v>18167.8</v>
      </c>
      <c r="T56" s="21"/>
      <c r="U56" s="39">
        <v>1</v>
      </c>
      <c r="V56" s="25"/>
      <c r="W56" s="21"/>
      <c r="X56" s="21"/>
      <c r="AA56" s="24"/>
      <c r="AB56" s="24"/>
      <c r="AC56" s="24"/>
      <c r="AD56" s="24"/>
      <c r="AE56" s="24"/>
      <c r="AF56" s="24"/>
    </row>
    <row r="57" spans="1:32" s="9" customFormat="1" x14ac:dyDescent="0.25">
      <c r="A57" s="41" t="s">
        <v>380</v>
      </c>
      <c r="B57" s="27" t="s">
        <v>208</v>
      </c>
      <c r="C57" s="20"/>
      <c r="D57" s="20"/>
      <c r="E57" s="25"/>
      <c r="F57" s="25"/>
      <c r="G57" s="21"/>
      <c r="H57" s="21"/>
      <c r="I57" s="21"/>
      <c r="J57" s="21"/>
      <c r="K57" s="21"/>
      <c r="L57" s="46">
        <v>45081</v>
      </c>
      <c r="M57" s="18" t="s">
        <v>18</v>
      </c>
      <c r="N57" s="21"/>
      <c r="O57" s="21"/>
      <c r="P57" s="25"/>
      <c r="Q57" s="21"/>
      <c r="R57" s="26"/>
      <c r="S57" s="22">
        <v>1342.32</v>
      </c>
      <c r="T57" s="21"/>
      <c r="U57" s="39">
        <v>1</v>
      </c>
      <c r="V57" s="25"/>
      <c r="W57" s="21"/>
      <c r="X57" s="21"/>
    </row>
    <row r="58" spans="1:32" x14ac:dyDescent="0.25">
      <c r="A58" s="41" t="s">
        <v>381</v>
      </c>
      <c r="B58" s="27" t="s">
        <v>209</v>
      </c>
      <c r="C58" s="20"/>
      <c r="D58" s="20"/>
      <c r="E58" s="25"/>
      <c r="F58" s="25"/>
      <c r="G58" s="21"/>
      <c r="H58" s="21"/>
      <c r="I58" s="21"/>
      <c r="J58" s="21"/>
      <c r="K58" s="21"/>
      <c r="L58" s="46">
        <v>45081</v>
      </c>
      <c r="M58" s="18" t="s">
        <v>18</v>
      </c>
      <c r="N58" s="21"/>
      <c r="O58" s="21"/>
      <c r="P58" s="25"/>
      <c r="Q58" s="21"/>
      <c r="R58" s="26"/>
      <c r="S58" s="22">
        <v>6992.96</v>
      </c>
      <c r="T58" s="21"/>
      <c r="U58" s="39">
        <v>1</v>
      </c>
      <c r="V58" s="25"/>
      <c r="W58" s="21"/>
      <c r="X58" s="21"/>
      <c r="AA58" s="24"/>
      <c r="AB58" s="24"/>
      <c r="AC58" s="24"/>
      <c r="AD58" s="24"/>
      <c r="AE58" s="24"/>
      <c r="AF58" s="24"/>
    </row>
    <row r="59" spans="1:32" x14ac:dyDescent="0.25">
      <c r="A59" s="41" t="s">
        <v>382</v>
      </c>
      <c r="B59" s="27" t="s">
        <v>210</v>
      </c>
      <c r="C59" s="20"/>
      <c r="D59" s="20"/>
      <c r="E59" s="25"/>
      <c r="F59" s="25"/>
      <c r="G59" s="21"/>
      <c r="H59" s="21"/>
      <c r="I59" s="21"/>
      <c r="J59" s="21"/>
      <c r="K59" s="21"/>
      <c r="L59" s="46">
        <v>45077</v>
      </c>
      <c r="M59" s="18" t="s">
        <v>18</v>
      </c>
      <c r="N59" s="21"/>
      <c r="O59" s="21"/>
      <c r="P59" s="25"/>
      <c r="Q59" s="21"/>
      <c r="R59" s="26"/>
      <c r="S59" s="22">
        <v>1903.2</v>
      </c>
      <c r="T59" s="21"/>
      <c r="U59" s="39">
        <v>1</v>
      </c>
      <c r="V59" s="25"/>
      <c r="W59" s="21"/>
      <c r="X59" s="21"/>
      <c r="AA59" s="24"/>
      <c r="AB59" s="24"/>
      <c r="AC59" s="24"/>
      <c r="AD59" s="24"/>
      <c r="AE59" s="24"/>
      <c r="AF59" s="24"/>
    </row>
    <row r="60" spans="1:32" s="9" customFormat="1" ht="22.5" x14ac:dyDescent="0.25">
      <c r="A60" s="41" t="s">
        <v>383</v>
      </c>
      <c r="B60" s="27" t="s">
        <v>211</v>
      </c>
      <c r="C60" s="20"/>
      <c r="D60" s="20"/>
      <c r="E60" s="25"/>
      <c r="F60" s="25"/>
      <c r="G60" s="21"/>
      <c r="H60" s="21"/>
      <c r="I60" s="21"/>
      <c r="J60" s="21"/>
      <c r="K60" s="21"/>
      <c r="L60" s="46">
        <v>45082</v>
      </c>
      <c r="M60" s="18" t="s">
        <v>18</v>
      </c>
      <c r="N60" s="21"/>
      <c r="O60" s="21"/>
      <c r="P60" s="25"/>
      <c r="Q60" s="21"/>
      <c r="R60" s="26"/>
      <c r="S60" s="22">
        <v>759.6</v>
      </c>
      <c r="T60" s="21"/>
      <c r="U60" s="39">
        <v>1</v>
      </c>
      <c r="V60" s="25"/>
      <c r="W60" s="21"/>
      <c r="X60" s="21"/>
    </row>
    <row r="61" spans="1:32" x14ac:dyDescent="0.25">
      <c r="A61" s="41" t="s">
        <v>384</v>
      </c>
      <c r="B61" s="27" t="s">
        <v>212</v>
      </c>
      <c r="C61" s="20"/>
      <c r="D61" s="20"/>
      <c r="E61" s="25"/>
      <c r="F61" s="25"/>
      <c r="G61" s="21"/>
      <c r="H61" s="21"/>
      <c r="I61" s="21"/>
      <c r="J61" s="21"/>
      <c r="K61" s="21"/>
      <c r="L61" s="46">
        <v>45093</v>
      </c>
      <c r="M61" s="18" t="s">
        <v>29</v>
      </c>
      <c r="N61" s="21"/>
      <c r="O61" s="21"/>
      <c r="P61" s="25"/>
      <c r="Q61" s="21"/>
      <c r="R61" s="26"/>
      <c r="S61" s="22">
        <v>3514.31</v>
      </c>
      <c r="T61" s="21"/>
      <c r="U61" s="39">
        <v>1</v>
      </c>
      <c r="V61" s="25"/>
      <c r="W61" s="21"/>
      <c r="X61" s="21"/>
      <c r="AA61" s="24"/>
      <c r="AB61" s="24"/>
      <c r="AC61" s="24"/>
      <c r="AD61" s="24"/>
      <c r="AE61" s="24"/>
      <c r="AF61" s="24"/>
    </row>
    <row r="62" spans="1:32" x14ac:dyDescent="0.25">
      <c r="A62" s="40" t="s">
        <v>385</v>
      </c>
      <c r="B62" s="36" t="s">
        <v>213</v>
      </c>
      <c r="C62" s="29"/>
      <c r="D62" s="29"/>
      <c r="E62" s="29"/>
      <c r="F62" s="29"/>
      <c r="G62" s="29"/>
      <c r="H62" s="30"/>
      <c r="I62" s="29"/>
      <c r="J62" s="29"/>
      <c r="K62" s="30"/>
      <c r="L62" s="29"/>
      <c r="M62" s="31"/>
      <c r="N62" s="29"/>
      <c r="O62" s="29"/>
      <c r="P62" s="29"/>
      <c r="Q62" s="29"/>
      <c r="R62" s="29"/>
      <c r="S62" s="33"/>
      <c r="T62" s="29"/>
      <c r="U62" s="29"/>
      <c r="V62" s="29"/>
      <c r="W62" s="29"/>
      <c r="X62" s="29"/>
      <c r="AA62" s="24"/>
      <c r="AB62" s="24"/>
      <c r="AC62" s="24"/>
      <c r="AD62" s="24"/>
      <c r="AE62" s="24"/>
      <c r="AF62" s="24"/>
    </row>
    <row r="63" spans="1:32" x14ac:dyDescent="0.25">
      <c r="A63" s="41" t="s">
        <v>386</v>
      </c>
      <c r="B63" s="27" t="s">
        <v>214</v>
      </c>
      <c r="C63" s="20"/>
      <c r="D63" s="20"/>
      <c r="E63" s="25"/>
      <c r="F63" s="25"/>
      <c r="G63" s="21"/>
      <c r="H63" s="21"/>
      <c r="I63" s="21"/>
      <c r="J63" s="21"/>
      <c r="K63" s="21"/>
      <c r="L63" s="46">
        <v>45083</v>
      </c>
      <c r="M63" s="18" t="s">
        <v>41</v>
      </c>
      <c r="N63" s="21"/>
      <c r="O63" s="21"/>
      <c r="P63" s="25"/>
      <c r="Q63" s="21"/>
      <c r="R63" s="26"/>
      <c r="S63" s="22">
        <v>3600</v>
      </c>
      <c r="T63" s="21"/>
      <c r="U63" s="39">
        <v>1</v>
      </c>
      <c r="V63" s="25"/>
      <c r="W63" s="21"/>
      <c r="X63" s="21"/>
      <c r="AA63" s="24"/>
      <c r="AB63" s="24"/>
      <c r="AC63" s="24"/>
      <c r="AD63" s="24"/>
      <c r="AE63" s="24"/>
      <c r="AF63" s="24"/>
    </row>
    <row r="64" spans="1:32" s="9" customFormat="1" x14ac:dyDescent="0.25">
      <c r="A64" s="40" t="s">
        <v>387</v>
      </c>
      <c r="B64" s="36" t="s">
        <v>215</v>
      </c>
      <c r="C64" s="29"/>
      <c r="D64" s="29"/>
      <c r="E64" s="29"/>
      <c r="F64" s="29"/>
      <c r="G64" s="29"/>
      <c r="H64" s="30"/>
      <c r="I64" s="29"/>
      <c r="J64" s="29"/>
      <c r="K64" s="30"/>
      <c r="L64" s="29"/>
      <c r="M64" s="31"/>
      <c r="N64" s="29"/>
      <c r="O64" s="29"/>
      <c r="P64" s="29"/>
      <c r="Q64" s="29"/>
      <c r="R64" s="29"/>
      <c r="S64" s="33"/>
      <c r="T64" s="29"/>
      <c r="U64" s="29"/>
      <c r="V64" s="29"/>
      <c r="W64" s="29"/>
      <c r="X64" s="29"/>
    </row>
    <row r="65" spans="1:32" x14ac:dyDescent="0.25">
      <c r="A65" s="41" t="s">
        <v>388</v>
      </c>
      <c r="B65" s="27" t="s">
        <v>216</v>
      </c>
      <c r="C65" s="20"/>
      <c r="D65" s="20"/>
      <c r="E65" s="25"/>
      <c r="F65" s="25"/>
      <c r="G65" s="21"/>
      <c r="H65" s="21"/>
      <c r="I65" s="21"/>
      <c r="J65" s="21"/>
      <c r="K65" s="21"/>
      <c r="L65" s="46">
        <v>45086</v>
      </c>
      <c r="M65" s="18" t="s">
        <v>29</v>
      </c>
      <c r="N65" s="21"/>
      <c r="O65" s="21"/>
      <c r="P65" s="25"/>
      <c r="Q65" s="21"/>
      <c r="R65" s="26"/>
      <c r="S65" s="22">
        <v>2400</v>
      </c>
      <c r="T65" s="21"/>
      <c r="U65" s="39">
        <v>1</v>
      </c>
      <c r="V65" s="25"/>
      <c r="W65" s="21"/>
      <c r="X65" s="21"/>
      <c r="AA65" s="24"/>
      <c r="AB65" s="24"/>
      <c r="AC65" s="24"/>
      <c r="AD65" s="24"/>
      <c r="AE65" s="24"/>
      <c r="AF65" s="24"/>
    </row>
    <row r="66" spans="1:32" x14ac:dyDescent="0.25">
      <c r="A66" s="41" t="s">
        <v>389</v>
      </c>
      <c r="B66" s="27" t="s">
        <v>217</v>
      </c>
      <c r="C66" s="20"/>
      <c r="D66" s="20"/>
      <c r="E66" s="25"/>
      <c r="F66" s="25"/>
      <c r="G66" s="21"/>
      <c r="H66" s="21"/>
      <c r="I66" s="21"/>
      <c r="J66" s="21"/>
      <c r="K66" s="21"/>
      <c r="L66" s="46">
        <v>45088</v>
      </c>
      <c r="M66" s="18" t="s">
        <v>18</v>
      </c>
      <c r="N66" s="21"/>
      <c r="O66" s="21"/>
      <c r="P66" s="25"/>
      <c r="Q66" s="21"/>
      <c r="R66" s="26"/>
      <c r="S66" s="22">
        <v>2500</v>
      </c>
      <c r="T66" s="21"/>
      <c r="U66" s="39">
        <v>1</v>
      </c>
      <c r="V66" s="25"/>
      <c r="W66" s="21"/>
      <c r="X66" s="21"/>
      <c r="AA66" s="24"/>
      <c r="AB66" s="24"/>
      <c r="AC66" s="24"/>
      <c r="AD66" s="24"/>
      <c r="AE66" s="24"/>
      <c r="AF66" s="24"/>
    </row>
    <row r="67" spans="1:32" s="9" customFormat="1" x14ac:dyDescent="0.25">
      <c r="A67" s="41" t="s">
        <v>390</v>
      </c>
      <c r="B67" s="27" t="s">
        <v>218</v>
      </c>
      <c r="C67" s="20"/>
      <c r="D67" s="20"/>
      <c r="E67" s="25"/>
      <c r="F67" s="25"/>
      <c r="G67" s="21"/>
      <c r="H67" s="21"/>
      <c r="I67" s="21"/>
      <c r="J67" s="21"/>
      <c r="K67" s="21"/>
      <c r="L67" s="46">
        <v>45089</v>
      </c>
      <c r="M67" s="18" t="s">
        <v>35</v>
      </c>
      <c r="N67" s="21"/>
      <c r="O67" s="21"/>
      <c r="P67" s="25"/>
      <c r="Q67" s="21"/>
      <c r="R67" s="26"/>
      <c r="S67" s="22">
        <v>4200</v>
      </c>
      <c r="T67" s="21"/>
      <c r="U67" s="39">
        <v>1</v>
      </c>
      <c r="V67" s="25"/>
      <c r="W67" s="21"/>
      <c r="X67" s="21"/>
    </row>
    <row r="68" spans="1:32" x14ac:dyDescent="0.25">
      <c r="A68" s="41" t="s">
        <v>391</v>
      </c>
      <c r="B68" s="27" t="s">
        <v>219</v>
      </c>
      <c r="C68" s="20"/>
      <c r="D68" s="20"/>
      <c r="E68" s="25"/>
      <c r="F68" s="25"/>
      <c r="G68" s="21"/>
      <c r="H68" s="21"/>
      <c r="I68" s="21"/>
      <c r="J68" s="21"/>
      <c r="K68" s="21"/>
      <c r="L68" s="46">
        <v>45093</v>
      </c>
      <c r="M68" s="18" t="s">
        <v>18</v>
      </c>
      <c r="N68" s="21"/>
      <c r="O68" s="21"/>
      <c r="P68" s="25"/>
      <c r="Q68" s="21"/>
      <c r="R68" s="26"/>
      <c r="S68" s="22">
        <v>980</v>
      </c>
      <c r="T68" s="21"/>
      <c r="U68" s="39">
        <v>1</v>
      </c>
      <c r="V68" s="25"/>
      <c r="W68" s="21"/>
      <c r="X68" s="21"/>
      <c r="AA68" s="24"/>
      <c r="AB68" s="24"/>
      <c r="AC68" s="24"/>
      <c r="AD68" s="24"/>
      <c r="AE68" s="24"/>
      <c r="AF68" s="24"/>
    </row>
    <row r="69" spans="1:32" x14ac:dyDescent="0.25">
      <c r="A69" s="41" t="s">
        <v>392</v>
      </c>
      <c r="B69" s="27" t="s">
        <v>220</v>
      </c>
      <c r="C69" s="20"/>
      <c r="D69" s="20"/>
      <c r="E69" s="25"/>
      <c r="F69" s="25"/>
      <c r="G69" s="21"/>
      <c r="H69" s="21"/>
      <c r="I69" s="21"/>
      <c r="J69" s="21"/>
      <c r="K69" s="21"/>
      <c r="L69" s="46">
        <v>45096</v>
      </c>
      <c r="M69" s="18" t="s">
        <v>18</v>
      </c>
      <c r="N69" s="21"/>
      <c r="O69" s="21"/>
      <c r="P69" s="25"/>
      <c r="Q69" s="21"/>
      <c r="R69" s="26"/>
      <c r="S69" s="22">
        <v>1200</v>
      </c>
      <c r="T69" s="21"/>
      <c r="U69" s="39">
        <v>1</v>
      </c>
      <c r="V69" s="25"/>
      <c r="W69" s="21"/>
      <c r="X69" s="21"/>
      <c r="AA69" s="24"/>
      <c r="AB69" s="24"/>
      <c r="AC69" s="24"/>
      <c r="AD69" s="24"/>
      <c r="AE69" s="24"/>
      <c r="AF69" s="24"/>
    </row>
    <row r="70" spans="1:32" s="9" customFormat="1" x14ac:dyDescent="0.25">
      <c r="A70" s="40" t="s">
        <v>393</v>
      </c>
      <c r="B70" s="36" t="s">
        <v>221</v>
      </c>
      <c r="C70" s="29"/>
      <c r="D70" s="29"/>
      <c r="E70" s="29"/>
      <c r="F70" s="29"/>
      <c r="G70" s="29"/>
      <c r="H70" s="30"/>
      <c r="I70" s="29"/>
      <c r="J70" s="29"/>
      <c r="K70" s="30"/>
      <c r="L70" s="30"/>
      <c r="M70" s="29"/>
      <c r="N70" s="30"/>
      <c r="O70" s="30"/>
      <c r="P70" s="30"/>
      <c r="Q70" s="30"/>
      <c r="R70" s="30"/>
      <c r="S70" s="33"/>
      <c r="T70" s="30"/>
      <c r="U70" s="30"/>
      <c r="V70" s="30"/>
      <c r="W70" s="30"/>
      <c r="X70" s="30"/>
    </row>
    <row r="71" spans="1:32" s="9" customFormat="1" ht="22.5" x14ac:dyDescent="0.25">
      <c r="A71" s="41" t="s">
        <v>394</v>
      </c>
      <c r="B71" s="27" t="s">
        <v>222</v>
      </c>
      <c r="C71" s="20"/>
      <c r="D71" s="20"/>
      <c r="E71" s="25"/>
      <c r="F71" s="25"/>
      <c r="G71" s="21"/>
      <c r="H71" s="21"/>
      <c r="I71" s="21"/>
      <c r="J71" s="21"/>
      <c r="K71" s="21"/>
      <c r="L71" s="46">
        <v>45096</v>
      </c>
      <c r="M71" s="18" t="s">
        <v>114</v>
      </c>
      <c r="N71" s="21"/>
      <c r="O71" s="21"/>
      <c r="P71" s="25"/>
      <c r="Q71" s="21"/>
      <c r="R71" s="26"/>
      <c r="S71" s="22">
        <v>40673.279999999999</v>
      </c>
      <c r="T71" s="21"/>
      <c r="U71" s="39">
        <v>1</v>
      </c>
      <c r="V71" s="25"/>
      <c r="W71" s="21"/>
      <c r="X71" s="21"/>
    </row>
    <row r="72" spans="1:32" x14ac:dyDescent="0.25">
      <c r="A72" s="40" t="s">
        <v>395</v>
      </c>
      <c r="B72" s="36" t="s">
        <v>223</v>
      </c>
      <c r="C72" s="29"/>
      <c r="D72" s="29"/>
      <c r="E72" s="29"/>
      <c r="F72" s="29"/>
      <c r="G72" s="29"/>
      <c r="H72" s="30"/>
      <c r="I72" s="29"/>
      <c r="J72" s="29"/>
      <c r="K72" s="30"/>
      <c r="L72" s="29"/>
      <c r="M72" s="31"/>
      <c r="N72" s="29"/>
      <c r="O72" s="29"/>
      <c r="P72" s="29"/>
      <c r="Q72" s="29"/>
      <c r="R72" s="29"/>
      <c r="S72" s="33"/>
      <c r="T72" s="29"/>
      <c r="U72" s="29"/>
      <c r="V72" s="29"/>
      <c r="W72" s="29"/>
      <c r="X72" s="29"/>
      <c r="AA72" s="24"/>
      <c r="AB72" s="24"/>
      <c r="AC72" s="24"/>
      <c r="AD72" s="24"/>
      <c r="AE72" s="24"/>
      <c r="AF72" s="24"/>
    </row>
    <row r="73" spans="1:32" ht="22.5" x14ac:dyDescent="0.25">
      <c r="A73" s="41" t="s">
        <v>396</v>
      </c>
      <c r="B73" s="27" t="s">
        <v>224</v>
      </c>
      <c r="C73" s="20"/>
      <c r="D73" s="20"/>
      <c r="E73" s="25"/>
      <c r="F73" s="25"/>
      <c r="G73" s="21"/>
      <c r="H73" s="21"/>
      <c r="I73" s="21"/>
      <c r="J73" s="21"/>
      <c r="K73" s="21"/>
      <c r="L73" s="46">
        <v>45096</v>
      </c>
      <c r="M73" s="18" t="s">
        <v>35</v>
      </c>
      <c r="N73" s="21"/>
      <c r="O73" s="21"/>
      <c r="P73" s="25"/>
      <c r="Q73" s="21"/>
      <c r="R73" s="26"/>
      <c r="S73" s="22">
        <v>7189.0050000000001</v>
      </c>
      <c r="T73" s="21"/>
      <c r="U73" s="39">
        <v>1</v>
      </c>
      <c r="V73" s="25"/>
      <c r="W73" s="21"/>
      <c r="X73" s="21"/>
      <c r="AA73" s="24"/>
      <c r="AB73" s="24"/>
      <c r="AC73" s="24"/>
      <c r="AD73" s="24"/>
      <c r="AE73" s="24"/>
      <c r="AF73" s="24"/>
    </row>
    <row r="74" spans="1:32" s="9" customFormat="1" ht="22.5" x14ac:dyDescent="0.25">
      <c r="A74" s="41" t="s">
        <v>397</v>
      </c>
      <c r="B74" s="27" t="s">
        <v>225</v>
      </c>
      <c r="C74" s="20"/>
      <c r="D74" s="20"/>
      <c r="E74" s="25"/>
      <c r="F74" s="25"/>
      <c r="G74" s="21"/>
      <c r="H74" s="21"/>
      <c r="I74" s="21"/>
      <c r="J74" s="21"/>
      <c r="K74" s="21"/>
      <c r="L74" s="46">
        <v>45101</v>
      </c>
      <c r="M74" s="18" t="s">
        <v>29</v>
      </c>
      <c r="N74" s="21"/>
      <c r="O74" s="21"/>
      <c r="P74" s="25"/>
      <c r="Q74" s="21"/>
      <c r="R74" s="26"/>
      <c r="S74" s="22">
        <v>11165.15</v>
      </c>
      <c r="T74" s="21"/>
      <c r="U74" s="39">
        <v>1</v>
      </c>
      <c r="V74" s="25"/>
      <c r="W74" s="21"/>
      <c r="X74" s="21"/>
    </row>
    <row r="75" spans="1:32" x14ac:dyDescent="0.25">
      <c r="A75" s="41" t="s">
        <v>398</v>
      </c>
      <c r="B75" s="27" t="s">
        <v>226</v>
      </c>
      <c r="C75" s="20"/>
      <c r="D75" s="20"/>
      <c r="E75" s="25"/>
      <c r="F75" s="25"/>
      <c r="G75" s="21"/>
      <c r="H75" s="21"/>
      <c r="I75" s="21"/>
      <c r="J75" s="21"/>
      <c r="K75" s="21"/>
      <c r="L75" s="46">
        <v>45103</v>
      </c>
      <c r="M75" s="18" t="s">
        <v>18</v>
      </c>
      <c r="N75" s="21"/>
      <c r="O75" s="21"/>
      <c r="P75" s="25"/>
      <c r="Q75" s="21"/>
      <c r="R75" s="26"/>
      <c r="S75" s="22">
        <v>486.2</v>
      </c>
      <c r="T75" s="21"/>
      <c r="U75" s="39">
        <v>1</v>
      </c>
      <c r="V75" s="25"/>
      <c r="W75" s="21"/>
      <c r="X75" s="21"/>
      <c r="AA75" s="24"/>
      <c r="AB75" s="24"/>
      <c r="AC75" s="24"/>
      <c r="AD75" s="24"/>
      <c r="AE75" s="24"/>
      <c r="AF75" s="24"/>
    </row>
    <row r="76" spans="1:32" x14ac:dyDescent="0.25">
      <c r="A76" s="41" t="s">
        <v>399</v>
      </c>
      <c r="B76" s="27" t="s">
        <v>227</v>
      </c>
      <c r="C76" s="20"/>
      <c r="D76" s="20"/>
      <c r="E76" s="25"/>
      <c r="F76" s="25"/>
      <c r="G76" s="21"/>
      <c r="H76" s="21"/>
      <c r="I76" s="21"/>
      <c r="J76" s="21"/>
      <c r="K76" s="21"/>
      <c r="L76" s="46">
        <v>45105</v>
      </c>
      <c r="M76" s="18" t="s">
        <v>29</v>
      </c>
      <c r="N76" s="21"/>
      <c r="O76" s="21"/>
      <c r="P76" s="25"/>
      <c r="Q76" s="21"/>
      <c r="R76" s="26"/>
      <c r="S76" s="22">
        <v>2171.02</v>
      </c>
      <c r="T76" s="21"/>
      <c r="U76" s="39">
        <v>1</v>
      </c>
      <c r="V76" s="25"/>
      <c r="W76" s="21"/>
      <c r="X76" s="21"/>
      <c r="AA76" s="24"/>
      <c r="AB76" s="24"/>
      <c r="AC76" s="24"/>
      <c r="AD76" s="24"/>
      <c r="AE76" s="24"/>
      <c r="AF76" s="24"/>
    </row>
    <row r="77" spans="1:32" x14ac:dyDescent="0.25">
      <c r="A77" s="41" t="s">
        <v>400</v>
      </c>
      <c r="B77" s="27" t="s">
        <v>228</v>
      </c>
      <c r="C77" s="20"/>
      <c r="D77" s="20"/>
      <c r="E77" s="25"/>
      <c r="F77" s="25"/>
      <c r="G77" s="21"/>
      <c r="H77" s="21"/>
      <c r="I77" s="21"/>
      <c r="J77" s="21"/>
      <c r="K77" s="21"/>
      <c r="L77" s="46">
        <v>45104</v>
      </c>
      <c r="M77" s="18" t="s">
        <v>18</v>
      </c>
      <c r="N77" s="21"/>
      <c r="O77" s="21"/>
      <c r="P77" s="25"/>
      <c r="Q77" s="21"/>
      <c r="R77" s="26"/>
      <c r="S77" s="22">
        <v>703.85</v>
      </c>
      <c r="T77" s="21"/>
      <c r="U77" s="39">
        <v>1</v>
      </c>
      <c r="V77" s="25"/>
      <c r="W77" s="21"/>
      <c r="X77" s="21"/>
      <c r="AA77" s="24"/>
      <c r="AB77" s="24"/>
      <c r="AC77" s="24"/>
      <c r="AD77" s="24"/>
      <c r="AE77" s="24"/>
      <c r="AF77" s="24"/>
    </row>
    <row r="78" spans="1:32" x14ac:dyDescent="0.25">
      <c r="A78" s="41" t="s">
        <v>401</v>
      </c>
      <c r="B78" s="27" t="s">
        <v>229</v>
      </c>
      <c r="C78" s="20"/>
      <c r="D78" s="20"/>
      <c r="E78" s="25"/>
      <c r="F78" s="25"/>
      <c r="G78" s="21"/>
      <c r="H78" s="21"/>
      <c r="I78" s="21"/>
      <c r="J78" s="21"/>
      <c r="K78" s="21"/>
      <c r="L78" s="46">
        <v>45105</v>
      </c>
      <c r="M78" s="18" t="s">
        <v>19</v>
      </c>
      <c r="N78" s="21"/>
      <c r="O78" s="21"/>
      <c r="P78" s="25"/>
      <c r="Q78" s="21"/>
      <c r="R78" s="26"/>
      <c r="S78" s="22">
        <v>8760.9</v>
      </c>
      <c r="T78" s="21"/>
      <c r="U78" s="39">
        <v>1</v>
      </c>
      <c r="V78" s="25"/>
      <c r="W78" s="21"/>
      <c r="X78" s="21"/>
      <c r="AA78" s="24"/>
      <c r="AB78" s="24"/>
      <c r="AC78" s="24"/>
      <c r="AD78" s="24"/>
      <c r="AE78" s="24"/>
      <c r="AF78" s="24"/>
    </row>
    <row r="79" spans="1:32" x14ac:dyDescent="0.25">
      <c r="A79" s="41" t="s">
        <v>402</v>
      </c>
      <c r="B79" s="27" t="s">
        <v>230</v>
      </c>
      <c r="C79" s="20"/>
      <c r="D79" s="20"/>
      <c r="E79" s="25"/>
      <c r="F79" s="25"/>
      <c r="G79" s="21"/>
      <c r="H79" s="21"/>
      <c r="I79" s="21"/>
      <c r="J79" s="21"/>
      <c r="K79" s="21"/>
      <c r="L79" s="46">
        <v>45107</v>
      </c>
      <c r="M79" s="18" t="s">
        <v>41</v>
      </c>
      <c r="N79" s="21"/>
      <c r="O79" s="21"/>
      <c r="P79" s="25"/>
      <c r="Q79" s="21"/>
      <c r="R79" s="26"/>
      <c r="S79" s="22">
        <v>14499.44</v>
      </c>
      <c r="T79" s="21"/>
      <c r="U79" s="39">
        <v>1</v>
      </c>
      <c r="V79" s="25"/>
      <c r="W79" s="21"/>
      <c r="X79" s="21"/>
    </row>
    <row r="80" spans="1:32" x14ac:dyDescent="0.25">
      <c r="A80" s="41" t="s">
        <v>403</v>
      </c>
      <c r="B80" s="27" t="s">
        <v>231</v>
      </c>
      <c r="C80" s="20"/>
      <c r="D80" s="20"/>
      <c r="E80" s="25"/>
      <c r="F80" s="25"/>
      <c r="G80" s="21"/>
      <c r="H80" s="21"/>
      <c r="I80" s="21"/>
      <c r="J80" s="21"/>
      <c r="K80" s="21"/>
      <c r="L80" s="46">
        <v>45109</v>
      </c>
      <c r="M80" s="18" t="s">
        <v>18</v>
      </c>
      <c r="N80" s="21"/>
      <c r="O80" s="21"/>
      <c r="P80" s="25"/>
      <c r="Q80" s="21"/>
      <c r="R80" s="26"/>
      <c r="S80" s="22">
        <v>10249.65</v>
      </c>
      <c r="T80" s="21"/>
      <c r="U80" s="39">
        <v>1</v>
      </c>
      <c r="V80" s="25"/>
      <c r="W80" s="21"/>
      <c r="X80" s="21"/>
    </row>
    <row r="81" spans="1:24" x14ac:dyDescent="0.25">
      <c r="A81" s="41" t="s">
        <v>404</v>
      </c>
      <c r="B81" s="27" t="s">
        <v>232</v>
      </c>
      <c r="C81" s="20"/>
      <c r="D81" s="20"/>
      <c r="E81" s="25"/>
      <c r="F81" s="25"/>
      <c r="G81" s="21"/>
      <c r="H81" s="21"/>
      <c r="I81" s="21"/>
      <c r="J81" s="21"/>
      <c r="K81" s="21"/>
      <c r="L81" s="46">
        <v>45107</v>
      </c>
      <c r="M81" s="18" t="s">
        <v>18</v>
      </c>
      <c r="N81" s="21"/>
      <c r="O81" s="21"/>
      <c r="P81" s="25"/>
      <c r="Q81" s="21"/>
      <c r="R81" s="26"/>
      <c r="S81" s="22">
        <v>521.12</v>
      </c>
      <c r="T81" s="21"/>
      <c r="U81" s="39">
        <v>1</v>
      </c>
      <c r="V81" s="25"/>
      <c r="W81" s="21"/>
      <c r="X81" s="21"/>
    </row>
    <row r="82" spans="1:24" x14ac:dyDescent="0.25">
      <c r="A82" s="40" t="s">
        <v>405</v>
      </c>
      <c r="B82" s="36" t="s">
        <v>233</v>
      </c>
      <c r="C82" s="29"/>
      <c r="D82" s="29"/>
      <c r="E82" s="29"/>
      <c r="F82" s="29"/>
      <c r="G82" s="29"/>
      <c r="H82" s="30"/>
      <c r="I82" s="29"/>
      <c r="J82" s="29"/>
      <c r="K82" s="30"/>
      <c r="L82" s="29"/>
      <c r="M82" s="31"/>
      <c r="N82" s="29"/>
      <c r="O82" s="29"/>
      <c r="P82" s="29"/>
      <c r="Q82" s="29"/>
      <c r="R82" s="29"/>
      <c r="S82" s="33"/>
      <c r="T82" s="29"/>
      <c r="U82" s="29"/>
      <c r="V82" s="29"/>
      <c r="W82" s="29"/>
      <c r="X82" s="29"/>
    </row>
    <row r="83" spans="1:24" x14ac:dyDescent="0.25">
      <c r="A83" s="41" t="s">
        <v>406</v>
      </c>
      <c r="B83" s="27" t="s">
        <v>234</v>
      </c>
      <c r="C83" s="20"/>
      <c r="D83" s="20"/>
      <c r="E83" s="25"/>
      <c r="F83" s="25"/>
      <c r="G83" s="21"/>
      <c r="H83" s="21"/>
      <c r="I83" s="21"/>
      <c r="J83" s="21"/>
      <c r="K83" s="21"/>
      <c r="L83" s="46">
        <v>45069</v>
      </c>
      <c r="M83" s="18" t="s">
        <v>29</v>
      </c>
      <c r="N83" s="21"/>
      <c r="O83" s="21"/>
      <c r="P83" s="25"/>
      <c r="Q83" s="21"/>
      <c r="R83" s="26"/>
      <c r="S83" s="22">
        <v>15763.95</v>
      </c>
      <c r="T83" s="21"/>
      <c r="U83" s="39">
        <v>1</v>
      </c>
      <c r="V83" s="25"/>
      <c r="W83" s="21"/>
      <c r="X83" s="21"/>
    </row>
    <row r="84" spans="1:24" x14ac:dyDescent="0.25">
      <c r="A84" s="40" t="s">
        <v>407</v>
      </c>
      <c r="B84" s="36" t="s">
        <v>38</v>
      </c>
      <c r="C84" s="29"/>
      <c r="D84" s="29"/>
      <c r="E84" s="29"/>
      <c r="F84" s="29"/>
      <c r="G84" s="29"/>
      <c r="H84" s="30"/>
      <c r="I84" s="29"/>
      <c r="J84" s="29"/>
      <c r="K84" s="30"/>
      <c r="L84" s="29"/>
      <c r="M84" s="31"/>
      <c r="N84" s="29"/>
      <c r="O84" s="29"/>
      <c r="P84" s="29"/>
      <c r="Q84" s="29"/>
      <c r="R84" s="29"/>
      <c r="S84" s="33"/>
      <c r="T84" s="29"/>
      <c r="U84" s="29"/>
      <c r="V84" s="29"/>
      <c r="W84" s="29"/>
      <c r="X84" s="29"/>
    </row>
    <row r="85" spans="1:24" x14ac:dyDescent="0.25">
      <c r="A85" s="41" t="s">
        <v>408</v>
      </c>
      <c r="B85" s="27" t="s">
        <v>130</v>
      </c>
      <c r="C85" s="20"/>
      <c r="D85" s="20"/>
      <c r="E85" s="25"/>
      <c r="F85" s="25"/>
      <c r="G85" s="21"/>
      <c r="H85" s="21"/>
      <c r="I85" s="21"/>
      <c r="J85" s="21"/>
      <c r="K85" s="21"/>
      <c r="L85" s="46">
        <v>45109</v>
      </c>
      <c r="M85" s="18" t="s">
        <v>41</v>
      </c>
      <c r="N85" s="21"/>
      <c r="O85" s="21"/>
      <c r="P85" s="25"/>
      <c r="Q85" s="21"/>
      <c r="R85" s="26"/>
      <c r="S85" s="22">
        <v>1531.25</v>
      </c>
      <c r="T85" s="21"/>
      <c r="U85" s="39">
        <v>1</v>
      </c>
      <c r="V85" s="25"/>
      <c r="W85" s="21"/>
      <c r="X85" s="21"/>
    </row>
    <row r="86" spans="1:24" x14ac:dyDescent="0.25">
      <c r="A86" s="40" t="s">
        <v>409</v>
      </c>
      <c r="B86" s="36" t="s">
        <v>235</v>
      </c>
      <c r="C86" s="29"/>
      <c r="D86" s="29"/>
      <c r="E86" s="29"/>
      <c r="F86" s="29"/>
      <c r="G86" s="29"/>
      <c r="H86" s="30"/>
      <c r="I86" s="29"/>
      <c r="J86" s="29"/>
      <c r="K86" s="30"/>
      <c r="L86" s="29"/>
      <c r="M86" s="31"/>
      <c r="N86" s="29"/>
      <c r="O86" s="29"/>
      <c r="P86" s="29"/>
      <c r="Q86" s="29"/>
      <c r="R86" s="29"/>
      <c r="S86" s="33"/>
      <c r="T86" s="29"/>
      <c r="U86" s="29"/>
      <c r="V86" s="29"/>
      <c r="W86" s="29"/>
      <c r="X86" s="29"/>
    </row>
    <row r="87" spans="1:24" x14ac:dyDescent="0.25">
      <c r="A87" s="40" t="s">
        <v>410</v>
      </c>
      <c r="B87" s="36" t="s">
        <v>236</v>
      </c>
      <c r="C87" s="29"/>
      <c r="D87" s="29"/>
      <c r="E87" s="29"/>
      <c r="F87" s="29"/>
      <c r="G87" s="29"/>
      <c r="H87" s="30"/>
      <c r="I87" s="29"/>
      <c r="J87" s="29"/>
      <c r="K87" s="30"/>
      <c r="L87" s="29"/>
      <c r="M87" s="31"/>
      <c r="N87" s="29"/>
      <c r="O87" s="29"/>
      <c r="P87" s="29"/>
      <c r="Q87" s="29"/>
      <c r="R87" s="29"/>
      <c r="S87" s="33"/>
      <c r="T87" s="29"/>
      <c r="U87" s="29"/>
      <c r="V87" s="29"/>
      <c r="W87" s="29"/>
      <c r="X87" s="29"/>
    </row>
    <row r="88" spans="1:24" x14ac:dyDescent="0.25">
      <c r="A88" s="41" t="s">
        <v>411</v>
      </c>
      <c r="B88" s="27" t="s">
        <v>237</v>
      </c>
      <c r="C88" s="20"/>
      <c r="D88" s="20"/>
      <c r="E88" s="25"/>
      <c r="F88" s="25"/>
      <c r="G88" s="21"/>
      <c r="H88" s="21"/>
      <c r="I88" s="21"/>
      <c r="J88" s="21"/>
      <c r="K88" s="21"/>
      <c r="L88" s="46">
        <v>45072</v>
      </c>
      <c r="M88" s="18" t="s">
        <v>18</v>
      </c>
      <c r="N88" s="21"/>
      <c r="O88" s="21"/>
      <c r="P88" s="25"/>
      <c r="Q88" s="21"/>
      <c r="R88" s="26"/>
      <c r="S88" s="22">
        <v>70.239999999999995</v>
      </c>
      <c r="T88" s="21"/>
      <c r="U88" s="39">
        <v>1</v>
      </c>
      <c r="V88" s="25"/>
      <c r="W88" s="21"/>
      <c r="X88" s="21"/>
    </row>
    <row r="89" spans="1:24" x14ac:dyDescent="0.25">
      <c r="A89" s="41" t="s">
        <v>412</v>
      </c>
      <c r="B89" s="27" t="s">
        <v>238</v>
      </c>
      <c r="C89" s="20"/>
      <c r="D89" s="20"/>
      <c r="E89" s="25"/>
      <c r="F89" s="25"/>
      <c r="G89" s="21"/>
      <c r="H89" s="21"/>
      <c r="I89" s="21"/>
      <c r="J89" s="21"/>
      <c r="K89" s="21"/>
      <c r="L89" s="46">
        <v>45072</v>
      </c>
      <c r="M89" s="18" t="s">
        <v>18</v>
      </c>
      <c r="N89" s="21"/>
      <c r="O89" s="21"/>
      <c r="P89" s="25"/>
      <c r="Q89" s="21"/>
      <c r="R89" s="26"/>
      <c r="S89" s="22">
        <v>119.88</v>
      </c>
      <c r="T89" s="21"/>
      <c r="U89" s="39">
        <v>1</v>
      </c>
      <c r="V89" s="25"/>
      <c r="W89" s="21"/>
      <c r="X89" s="21"/>
    </row>
    <row r="90" spans="1:24" x14ac:dyDescent="0.25">
      <c r="A90" s="41" t="s">
        <v>413</v>
      </c>
      <c r="B90" s="27" t="s">
        <v>239</v>
      </c>
      <c r="C90" s="20"/>
      <c r="D90" s="20"/>
      <c r="E90" s="25"/>
      <c r="F90" s="25"/>
      <c r="G90" s="21"/>
      <c r="H90" s="21"/>
      <c r="I90" s="21"/>
      <c r="J90" s="21"/>
      <c r="K90" s="21"/>
      <c r="L90" s="46">
        <v>45062</v>
      </c>
      <c r="M90" s="18" t="s">
        <v>450</v>
      </c>
      <c r="N90" s="21"/>
      <c r="O90" s="21"/>
      <c r="P90" s="25"/>
      <c r="Q90" s="21"/>
      <c r="R90" s="26"/>
      <c r="S90" s="22">
        <v>4612.62</v>
      </c>
      <c r="T90" s="21"/>
      <c r="U90" s="39">
        <v>1</v>
      </c>
      <c r="V90" s="25"/>
      <c r="W90" s="21"/>
      <c r="X90" s="21"/>
    </row>
    <row r="91" spans="1:24" x14ac:dyDescent="0.25">
      <c r="A91" s="40" t="s">
        <v>414</v>
      </c>
      <c r="B91" s="36" t="s">
        <v>129</v>
      </c>
      <c r="C91" s="29"/>
      <c r="D91" s="29"/>
      <c r="E91" s="29"/>
      <c r="F91" s="29"/>
      <c r="G91" s="29"/>
      <c r="H91" s="30"/>
      <c r="I91" s="29"/>
      <c r="J91" s="29"/>
      <c r="K91" s="30"/>
      <c r="L91" s="29"/>
      <c r="M91" s="31"/>
      <c r="N91" s="29"/>
      <c r="O91" s="29"/>
      <c r="P91" s="29"/>
      <c r="Q91" s="29"/>
      <c r="R91" s="29"/>
      <c r="S91" s="33"/>
      <c r="T91" s="29"/>
      <c r="U91" s="29"/>
      <c r="V91" s="29"/>
      <c r="W91" s="29"/>
      <c r="X91" s="29"/>
    </row>
    <row r="92" spans="1:24" ht="33.75" x14ac:dyDescent="0.25">
      <c r="A92" s="41" t="s">
        <v>415</v>
      </c>
      <c r="B92" s="27" t="s">
        <v>240</v>
      </c>
      <c r="C92" s="20"/>
      <c r="D92" s="20"/>
      <c r="E92" s="25"/>
      <c r="F92" s="25"/>
      <c r="G92" s="21"/>
      <c r="H92" s="21"/>
      <c r="I92" s="21"/>
      <c r="J92" s="21"/>
      <c r="K92" s="21"/>
      <c r="L92" s="46">
        <v>45071</v>
      </c>
      <c r="M92" s="18" t="s">
        <v>451</v>
      </c>
      <c r="N92" s="21"/>
      <c r="O92" s="21"/>
      <c r="P92" s="25"/>
      <c r="Q92" s="21"/>
      <c r="R92" s="26"/>
      <c r="S92" s="22">
        <v>6534.4</v>
      </c>
      <c r="T92" s="21"/>
      <c r="U92" s="39">
        <v>1</v>
      </c>
      <c r="V92" s="25"/>
      <c r="W92" s="21"/>
      <c r="X92" s="21"/>
    </row>
    <row r="93" spans="1:24" ht="22.5" x14ac:dyDescent="0.25">
      <c r="A93" s="41" t="s">
        <v>416</v>
      </c>
      <c r="B93" s="27" t="s">
        <v>241</v>
      </c>
      <c r="C93" s="20"/>
      <c r="D93" s="20"/>
      <c r="E93" s="25"/>
      <c r="F93" s="25"/>
      <c r="G93" s="21"/>
      <c r="H93" s="21"/>
      <c r="I93" s="21"/>
      <c r="J93" s="21"/>
      <c r="K93" s="21"/>
      <c r="L93" s="46">
        <v>45073</v>
      </c>
      <c r="M93" s="18" t="s">
        <v>18</v>
      </c>
      <c r="N93" s="21"/>
      <c r="O93" s="21"/>
      <c r="P93" s="25"/>
      <c r="Q93" s="21"/>
      <c r="R93" s="26"/>
      <c r="S93" s="22">
        <v>33.61</v>
      </c>
      <c r="T93" s="21"/>
      <c r="U93" s="39">
        <v>1</v>
      </c>
      <c r="V93" s="25"/>
      <c r="W93" s="21"/>
      <c r="X93" s="21"/>
    </row>
    <row r="94" spans="1:24" x14ac:dyDescent="0.25">
      <c r="A94" s="41" t="s">
        <v>417</v>
      </c>
      <c r="B94" s="27" t="s">
        <v>242</v>
      </c>
      <c r="C94" s="20"/>
      <c r="D94" s="20"/>
      <c r="E94" s="25"/>
      <c r="F94" s="25"/>
      <c r="G94" s="21"/>
      <c r="H94" s="21"/>
      <c r="I94" s="21"/>
      <c r="J94" s="21"/>
      <c r="K94" s="21"/>
      <c r="L94" s="46">
        <v>45073</v>
      </c>
      <c r="M94" s="18" t="s">
        <v>18</v>
      </c>
      <c r="N94" s="21"/>
      <c r="O94" s="21"/>
      <c r="P94" s="25"/>
      <c r="Q94" s="21"/>
      <c r="R94" s="26"/>
      <c r="S94" s="22">
        <v>54.64</v>
      </c>
      <c r="T94" s="21"/>
      <c r="U94" s="39">
        <v>1</v>
      </c>
      <c r="V94" s="25"/>
      <c r="W94" s="21"/>
      <c r="X94" s="21"/>
    </row>
    <row r="95" spans="1:24" x14ac:dyDescent="0.25">
      <c r="A95" s="40" t="s">
        <v>418</v>
      </c>
      <c r="B95" s="36" t="s">
        <v>243</v>
      </c>
      <c r="C95" s="29"/>
      <c r="D95" s="29"/>
      <c r="E95" s="29"/>
      <c r="F95" s="29"/>
      <c r="G95" s="29"/>
      <c r="H95" s="30"/>
      <c r="I95" s="29"/>
      <c r="J95" s="29"/>
      <c r="K95" s="30"/>
      <c r="L95" s="30"/>
      <c r="M95" s="29"/>
      <c r="N95" s="30"/>
      <c r="O95" s="30"/>
      <c r="P95" s="30"/>
      <c r="Q95" s="30"/>
      <c r="R95" s="30"/>
      <c r="S95" s="33"/>
      <c r="T95" s="30"/>
      <c r="U95" s="30"/>
      <c r="V95" s="30"/>
      <c r="W95" s="30"/>
      <c r="X95" s="30"/>
    </row>
    <row r="96" spans="1:24" x14ac:dyDescent="0.25">
      <c r="A96" s="40" t="s">
        <v>419</v>
      </c>
      <c r="B96" s="36" t="s">
        <v>244</v>
      </c>
      <c r="C96" s="29"/>
      <c r="D96" s="29"/>
      <c r="E96" s="29"/>
      <c r="F96" s="29"/>
      <c r="G96" s="29"/>
      <c r="H96" s="30"/>
      <c r="I96" s="29"/>
      <c r="J96" s="29"/>
      <c r="K96" s="30"/>
      <c r="L96" s="30"/>
      <c r="M96" s="29"/>
      <c r="N96" s="30"/>
      <c r="O96" s="30"/>
      <c r="P96" s="30"/>
      <c r="Q96" s="30"/>
      <c r="R96" s="30"/>
      <c r="S96" s="33"/>
      <c r="T96" s="30"/>
      <c r="U96" s="30"/>
      <c r="V96" s="30"/>
      <c r="W96" s="30"/>
      <c r="X96" s="30"/>
    </row>
    <row r="97" spans="1:24" x14ac:dyDescent="0.25">
      <c r="A97" s="41" t="s">
        <v>420</v>
      </c>
      <c r="B97" s="27" t="s">
        <v>245</v>
      </c>
      <c r="C97" s="20"/>
      <c r="D97" s="20"/>
      <c r="E97" s="25"/>
      <c r="F97" s="25"/>
      <c r="G97" s="21"/>
      <c r="H97" s="21"/>
      <c r="I97" s="21"/>
      <c r="J97" s="21"/>
      <c r="K97" s="21"/>
      <c r="L97" s="46">
        <v>45102</v>
      </c>
      <c r="M97" s="18" t="s">
        <v>29</v>
      </c>
      <c r="N97" s="21"/>
      <c r="O97" s="21"/>
      <c r="P97" s="25"/>
      <c r="Q97" s="21"/>
      <c r="R97" s="26"/>
      <c r="S97" s="22">
        <v>7991.49</v>
      </c>
      <c r="T97" s="21"/>
      <c r="U97" s="39">
        <v>1</v>
      </c>
      <c r="V97" s="25"/>
      <c r="W97" s="21"/>
      <c r="X97" s="21"/>
    </row>
    <row r="98" spans="1:24" x14ac:dyDescent="0.25">
      <c r="A98" s="41" t="s">
        <v>421</v>
      </c>
      <c r="B98" s="27" t="s">
        <v>246</v>
      </c>
      <c r="C98" s="20"/>
      <c r="D98" s="20"/>
      <c r="E98" s="25"/>
      <c r="F98" s="25"/>
      <c r="G98" s="21"/>
      <c r="H98" s="21"/>
      <c r="I98" s="21"/>
      <c r="J98" s="21"/>
      <c r="K98" s="21"/>
      <c r="L98" s="46">
        <v>45104</v>
      </c>
      <c r="M98" s="18" t="s">
        <v>18</v>
      </c>
      <c r="N98" s="21"/>
      <c r="O98" s="21"/>
      <c r="P98" s="25"/>
      <c r="Q98" s="21"/>
      <c r="R98" s="26"/>
      <c r="S98" s="22">
        <v>720</v>
      </c>
      <c r="T98" s="21"/>
      <c r="U98" s="39">
        <v>1</v>
      </c>
      <c r="V98" s="25"/>
      <c r="W98" s="21"/>
      <c r="X98" s="21"/>
    </row>
    <row r="99" spans="1:24" x14ac:dyDescent="0.25">
      <c r="A99" s="41" t="s">
        <v>422</v>
      </c>
      <c r="B99" s="27" t="s">
        <v>247</v>
      </c>
      <c r="C99" s="20"/>
      <c r="D99" s="20"/>
      <c r="E99" s="25"/>
      <c r="F99" s="25"/>
      <c r="G99" s="21"/>
      <c r="H99" s="21"/>
      <c r="I99" s="21"/>
      <c r="J99" s="21"/>
      <c r="K99" s="21"/>
      <c r="L99" s="46">
        <v>45104</v>
      </c>
      <c r="M99" s="18" t="s">
        <v>18</v>
      </c>
      <c r="N99" s="21"/>
      <c r="O99" s="21"/>
      <c r="P99" s="25"/>
      <c r="Q99" s="21"/>
      <c r="R99" s="26"/>
      <c r="S99" s="22">
        <v>223.68</v>
      </c>
      <c r="T99" s="21"/>
      <c r="U99" s="39">
        <v>1</v>
      </c>
      <c r="V99" s="25"/>
      <c r="W99" s="21"/>
      <c r="X99" s="21"/>
    </row>
    <row r="100" spans="1:24" x14ac:dyDescent="0.25">
      <c r="A100" s="41" t="s">
        <v>423</v>
      </c>
      <c r="B100" s="27" t="s">
        <v>248</v>
      </c>
      <c r="C100" s="20"/>
      <c r="D100" s="20"/>
      <c r="E100" s="25"/>
      <c r="F100" s="25"/>
      <c r="G100" s="21"/>
      <c r="H100" s="21"/>
      <c r="I100" s="21"/>
      <c r="J100" s="21"/>
      <c r="K100" s="21"/>
      <c r="L100" s="46">
        <v>45104</v>
      </c>
      <c r="M100" s="18" t="s">
        <v>18</v>
      </c>
      <c r="N100" s="21"/>
      <c r="O100" s="21"/>
      <c r="P100" s="25"/>
      <c r="Q100" s="21"/>
      <c r="R100" s="26"/>
      <c r="S100" s="22">
        <v>139.91999999999999</v>
      </c>
      <c r="T100" s="21"/>
      <c r="U100" s="39">
        <v>1</v>
      </c>
      <c r="V100" s="25"/>
      <c r="W100" s="21"/>
      <c r="X100" s="21"/>
    </row>
    <row r="101" spans="1:24" x14ac:dyDescent="0.25">
      <c r="A101" s="40" t="s">
        <v>424</v>
      </c>
      <c r="B101" s="36" t="s">
        <v>249</v>
      </c>
      <c r="C101" s="29"/>
      <c r="D101" s="29"/>
      <c r="E101" s="29"/>
      <c r="F101" s="29"/>
      <c r="G101" s="29"/>
      <c r="H101" s="30"/>
      <c r="I101" s="29"/>
      <c r="J101" s="29"/>
      <c r="K101" s="30"/>
      <c r="L101" s="29"/>
      <c r="M101" s="31"/>
      <c r="N101" s="29"/>
      <c r="O101" s="29"/>
      <c r="P101" s="29"/>
      <c r="Q101" s="29"/>
      <c r="R101" s="29"/>
      <c r="S101" s="33"/>
      <c r="T101" s="29"/>
      <c r="U101" s="29"/>
      <c r="V101" s="29"/>
      <c r="W101" s="29"/>
      <c r="X101" s="29"/>
    </row>
    <row r="102" spans="1:24" x14ac:dyDescent="0.25">
      <c r="A102" s="40" t="s">
        <v>425</v>
      </c>
      <c r="B102" s="36" t="s">
        <v>250</v>
      </c>
      <c r="C102" s="29"/>
      <c r="D102" s="29"/>
      <c r="E102" s="29"/>
      <c r="F102" s="29"/>
      <c r="G102" s="29"/>
      <c r="H102" s="30"/>
      <c r="I102" s="29"/>
      <c r="J102" s="29"/>
      <c r="K102" s="30"/>
      <c r="L102" s="29"/>
      <c r="M102" s="31"/>
      <c r="N102" s="29"/>
      <c r="O102" s="29"/>
      <c r="P102" s="29"/>
      <c r="Q102" s="29"/>
      <c r="R102" s="29"/>
      <c r="S102" s="33"/>
      <c r="T102" s="29"/>
      <c r="U102" s="29"/>
      <c r="V102" s="29"/>
      <c r="W102" s="29"/>
      <c r="X102" s="29"/>
    </row>
    <row r="103" spans="1:24" x14ac:dyDescent="0.25">
      <c r="A103" s="41" t="s">
        <v>426</v>
      </c>
      <c r="B103" s="27" t="s">
        <v>251</v>
      </c>
      <c r="C103" s="20"/>
      <c r="D103" s="20"/>
      <c r="E103" s="25"/>
      <c r="F103" s="25"/>
      <c r="G103" s="21"/>
      <c r="H103" s="21"/>
      <c r="I103" s="21"/>
      <c r="J103" s="21"/>
      <c r="K103" s="21"/>
      <c r="L103" s="46">
        <v>45105</v>
      </c>
      <c r="M103" s="18" t="s">
        <v>18</v>
      </c>
      <c r="N103" s="21"/>
      <c r="O103" s="21"/>
      <c r="P103" s="25"/>
      <c r="Q103" s="21"/>
      <c r="R103" s="26"/>
      <c r="S103" s="22">
        <v>169.92</v>
      </c>
      <c r="T103" s="21"/>
      <c r="U103" s="39">
        <v>1</v>
      </c>
      <c r="V103" s="25"/>
      <c r="W103" s="21"/>
      <c r="X103" s="21"/>
    </row>
    <row r="104" spans="1:24" x14ac:dyDescent="0.25">
      <c r="A104" s="41" t="s">
        <v>427</v>
      </c>
      <c r="B104" s="27" t="s">
        <v>252</v>
      </c>
      <c r="C104" s="20"/>
      <c r="D104" s="20"/>
      <c r="E104" s="25"/>
      <c r="F104" s="25"/>
      <c r="G104" s="21"/>
      <c r="H104" s="21"/>
      <c r="I104" s="21"/>
      <c r="J104" s="21"/>
      <c r="K104" s="21"/>
      <c r="L104" s="46">
        <v>45105</v>
      </c>
      <c r="M104" s="18" t="s">
        <v>18</v>
      </c>
      <c r="N104" s="21"/>
      <c r="O104" s="21"/>
      <c r="P104" s="25"/>
      <c r="Q104" s="21"/>
      <c r="R104" s="26"/>
      <c r="S104" s="22">
        <v>122.6</v>
      </c>
      <c r="T104" s="21"/>
      <c r="U104" s="39">
        <v>1</v>
      </c>
      <c r="V104" s="25"/>
      <c r="W104" s="21"/>
      <c r="X104" s="21"/>
    </row>
    <row r="105" spans="1:24" x14ac:dyDescent="0.25">
      <c r="A105" s="40" t="s">
        <v>428</v>
      </c>
      <c r="B105" s="36" t="s">
        <v>253</v>
      </c>
      <c r="C105" s="29"/>
      <c r="D105" s="29"/>
      <c r="E105" s="29"/>
      <c r="F105" s="29"/>
      <c r="G105" s="29"/>
      <c r="H105" s="30"/>
      <c r="I105" s="29"/>
      <c r="J105" s="29"/>
      <c r="K105" s="30"/>
      <c r="L105" s="29"/>
      <c r="M105" s="31"/>
      <c r="N105" s="29"/>
      <c r="O105" s="29"/>
      <c r="P105" s="29"/>
      <c r="Q105" s="29"/>
      <c r="R105" s="29"/>
      <c r="S105" s="33"/>
      <c r="T105" s="29"/>
      <c r="U105" s="29"/>
      <c r="V105" s="29"/>
      <c r="W105" s="29"/>
      <c r="X105" s="29"/>
    </row>
    <row r="106" spans="1:24" x14ac:dyDescent="0.25">
      <c r="A106" s="41" t="s">
        <v>429</v>
      </c>
      <c r="B106" s="27" t="s">
        <v>254</v>
      </c>
      <c r="C106" s="20"/>
      <c r="D106" s="20"/>
      <c r="E106" s="25"/>
      <c r="F106" s="25"/>
      <c r="G106" s="21"/>
      <c r="H106" s="21"/>
      <c r="I106" s="21"/>
      <c r="J106" s="21"/>
      <c r="K106" s="21"/>
      <c r="L106" s="46">
        <v>45104</v>
      </c>
      <c r="M106" s="18" t="s">
        <v>18</v>
      </c>
      <c r="N106" s="21"/>
      <c r="O106" s="21"/>
      <c r="P106" s="25"/>
      <c r="Q106" s="21"/>
      <c r="R106" s="26"/>
      <c r="S106" s="22">
        <v>732.16</v>
      </c>
      <c r="T106" s="21"/>
      <c r="U106" s="39">
        <v>1</v>
      </c>
      <c r="V106" s="25"/>
      <c r="W106" s="21"/>
      <c r="X106" s="21"/>
    </row>
    <row r="107" spans="1:24" x14ac:dyDescent="0.25">
      <c r="A107" s="41" t="s">
        <v>430</v>
      </c>
      <c r="B107" s="27" t="s">
        <v>255</v>
      </c>
      <c r="C107" s="20"/>
      <c r="D107" s="20"/>
      <c r="E107" s="25"/>
      <c r="F107" s="25"/>
      <c r="G107" s="21"/>
      <c r="H107" s="21"/>
      <c r="I107" s="21"/>
      <c r="J107" s="21"/>
      <c r="K107" s="21"/>
      <c r="L107" s="46">
        <v>45105</v>
      </c>
      <c r="M107" s="18" t="s">
        <v>18</v>
      </c>
      <c r="N107" s="21"/>
      <c r="O107" s="21"/>
      <c r="P107" s="25"/>
      <c r="Q107" s="21"/>
      <c r="R107" s="26"/>
      <c r="S107" s="22">
        <v>242</v>
      </c>
      <c r="T107" s="21"/>
      <c r="U107" s="39">
        <v>1</v>
      </c>
      <c r="V107" s="25"/>
      <c r="W107" s="21"/>
      <c r="X107" s="21"/>
    </row>
    <row r="108" spans="1:24" x14ac:dyDescent="0.25">
      <c r="A108" s="41" t="s">
        <v>431</v>
      </c>
      <c r="B108" s="27" t="s">
        <v>256</v>
      </c>
      <c r="C108" s="20"/>
      <c r="D108" s="20"/>
      <c r="E108" s="25"/>
      <c r="F108" s="25"/>
      <c r="G108" s="21"/>
      <c r="H108" s="21"/>
      <c r="I108" s="21"/>
      <c r="J108" s="21"/>
      <c r="K108" s="21"/>
      <c r="L108" s="46">
        <v>45105</v>
      </c>
      <c r="M108" s="18" t="s">
        <v>18</v>
      </c>
      <c r="N108" s="21"/>
      <c r="O108" s="21"/>
      <c r="P108" s="25"/>
      <c r="Q108" s="21"/>
      <c r="R108" s="26"/>
      <c r="S108" s="22">
        <v>178.24</v>
      </c>
      <c r="T108" s="21"/>
      <c r="U108" s="39">
        <v>1</v>
      </c>
      <c r="V108" s="25"/>
      <c r="W108" s="21"/>
      <c r="X108" s="21"/>
    </row>
    <row r="109" spans="1:24" x14ac:dyDescent="0.25">
      <c r="A109" s="40" t="s">
        <v>432</v>
      </c>
      <c r="B109" s="36" t="s">
        <v>257</v>
      </c>
      <c r="C109" s="29"/>
      <c r="D109" s="29"/>
      <c r="E109" s="29"/>
      <c r="F109" s="29"/>
      <c r="G109" s="29"/>
      <c r="H109" s="30"/>
      <c r="I109" s="29"/>
      <c r="J109" s="29"/>
      <c r="K109" s="30"/>
      <c r="L109" s="29"/>
      <c r="M109" s="31"/>
      <c r="N109" s="29"/>
      <c r="O109" s="29"/>
      <c r="P109" s="29"/>
      <c r="Q109" s="29"/>
      <c r="R109" s="29"/>
      <c r="S109" s="33"/>
      <c r="T109" s="29"/>
      <c r="U109" s="29"/>
      <c r="V109" s="29"/>
      <c r="W109" s="29"/>
      <c r="X109" s="29"/>
    </row>
    <row r="110" spans="1:24" ht="22.5" x14ac:dyDescent="0.25">
      <c r="A110" s="41" t="s">
        <v>433</v>
      </c>
      <c r="B110" s="27" t="s">
        <v>258</v>
      </c>
      <c r="C110" s="20"/>
      <c r="D110" s="20"/>
      <c r="E110" s="25"/>
      <c r="F110" s="25"/>
      <c r="G110" s="21"/>
      <c r="H110" s="21"/>
      <c r="I110" s="21"/>
      <c r="J110" s="21"/>
      <c r="K110" s="21"/>
      <c r="L110" s="46">
        <v>45106</v>
      </c>
      <c r="M110" s="18" t="s">
        <v>18</v>
      </c>
      <c r="N110" s="21"/>
      <c r="O110" s="21"/>
      <c r="P110" s="25"/>
      <c r="Q110" s="21"/>
      <c r="R110" s="26"/>
      <c r="S110" s="22">
        <v>1569.15</v>
      </c>
      <c r="T110" s="21"/>
      <c r="U110" s="39">
        <v>1</v>
      </c>
      <c r="V110" s="25"/>
      <c r="W110" s="21"/>
      <c r="X110" s="21"/>
    </row>
    <row r="111" spans="1:24" ht="22.5" x14ac:dyDescent="0.25">
      <c r="A111" s="41" t="s">
        <v>434</v>
      </c>
      <c r="B111" s="27" t="s">
        <v>259</v>
      </c>
      <c r="C111" s="20"/>
      <c r="D111" s="20"/>
      <c r="E111" s="25"/>
      <c r="F111" s="25"/>
      <c r="G111" s="21"/>
      <c r="H111" s="21"/>
      <c r="I111" s="21"/>
      <c r="J111" s="21"/>
      <c r="K111" s="21"/>
      <c r="L111" s="46">
        <v>45106</v>
      </c>
      <c r="M111" s="18" t="s">
        <v>18</v>
      </c>
      <c r="N111" s="21"/>
      <c r="O111" s="21"/>
      <c r="P111" s="25"/>
      <c r="Q111" s="21"/>
      <c r="R111" s="26"/>
      <c r="S111" s="22">
        <v>628.65</v>
      </c>
      <c r="T111" s="21"/>
      <c r="U111" s="39">
        <v>1</v>
      </c>
      <c r="V111" s="25"/>
      <c r="W111" s="21"/>
      <c r="X111" s="21"/>
    </row>
    <row r="112" spans="1:24" x14ac:dyDescent="0.25">
      <c r="A112" s="40" t="s">
        <v>435</v>
      </c>
      <c r="B112" s="36" t="s">
        <v>260</v>
      </c>
      <c r="C112" s="29"/>
      <c r="D112" s="29"/>
      <c r="E112" s="29"/>
      <c r="F112" s="29"/>
      <c r="G112" s="29"/>
      <c r="H112" s="30"/>
      <c r="I112" s="29"/>
      <c r="J112" s="29"/>
      <c r="K112" s="30"/>
      <c r="L112" s="29"/>
      <c r="M112" s="31"/>
      <c r="N112" s="29"/>
      <c r="O112" s="29"/>
      <c r="P112" s="29"/>
      <c r="Q112" s="29"/>
      <c r="R112" s="29"/>
      <c r="S112" s="33"/>
      <c r="T112" s="29"/>
      <c r="U112" s="29"/>
      <c r="V112" s="29"/>
      <c r="W112" s="29"/>
      <c r="X112" s="29"/>
    </row>
    <row r="113" spans="1:24" ht="22.5" x14ac:dyDescent="0.25">
      <c r="A113" s="41" t="s">
        <v>436</v>
      </c>
      <c r="B113" s="27" t="s">
        <v>261</v>
      </c>
      <c r="C113" s="20"/>
      <c r="D113" s="20"/>
      <c r="E113" s="25"/>
      <c r="F113" s="25"/>
      <c r="G113" s="21"/>
      <c r="H113" s="21"/>
      <c r="I113" s="21"/>
      <c r="J113" s="21"/>
      <c r="K113" s="21"/>
      <c r="L113" s="46">
        <v>45107</v>
      </c>
      <c r="M113" s="18" t="s">
        <v>18</v>
      </c>
      <c r="N113" s="21"/>
      <c r="O113" s="21"/>
      <c r="P113" s="25"/>
      <c r="Q113" s="21"/>
      <c r="R113" s="26"/>
      <c r="S113" s="22">
        <v>5392.08</v>
      </c>
      <c r="T113" s="21"/>
      <c r="U113" s="39">
        <v>1</v>
      </c>
      <c r="V113" s="25"/>
      <c r="W113" s="21"/>
      <c r="X113" s="21"/>
    </row>
    <row r="114" spans="1:24" x14ac:dyDescent="0.25">
      <c r="A114" s="40" t="s">
        <v>437</v>
      </c>
      <c r="B114" s="36" t="s">
        <v>262</v>
      </c>
      <c r="C114" s="29"/>
      <c r="D114" s="29"/>
      <c r="E114" s="29"/>
      <c r="F114" s="29"/>
      <c r="G114" s="29"/>
      <c r="H114" s="30"/>
      <c r="I114" s="29"/>
      <c r="J114" s="29"/>
      <c r="K114" s="30"/>
      <c r="L114" s="29"/>
      <c r="M114" s="31"/>
      <c r="N114" s="29"/>
      <c r="O114" s="29"/>
      <c r="P114" s="29"/>
      <c r="Q114" s="29"/>
      <c r="R114" s="29"/>
      <c r="S114" s="33"/>
      <c r="T114" s="29"/>
      <c r="U114" s="29"/>
      <c r="V114" s="29"/>
      <c r="W114" s="29"/>
      <c r="X114" s="29"/>
    </row>
    <row r="115" spans="1:24" ht="22.5" x14ac:dyDescent="0.25">
      <c r="A115" s="41" t="s">
        <v>438</v>
      </c>
      <c r="B115" s="27" t="s">
        <v>263</v>
      </c>
      <c r="C115" s="20"/>
      <c r="D115" s="20"/>
      <c r="E115" s="25"/>
      <c r="F115" s="25"/>
      <c r="G115" s="21"/>
      <c r="H115" s="21"/>
      <c r="I115" s="21"/>
      <c r="J115" s="21"/>
      <c r="K115" s="21"/>
      <c r="L115" s="46">
        <v>45107</v>
      </c>
      <c r="M115" s="18" t="s">
        <v>18</v>
      </c>
      <c r="N115" s="21"/>
      <c r="O115" s="21"/>
      <c r="P115" s="25"/>
      <c r="Q115" s="21"/>
      <c r="R115" s="26"/>
      <c r="S115" s="22">
        <v>801.53</v>
      </c>
      <c r="T115" s="21"/>
      <c r="U115" s="39">
        <v>1</v>
      </c>
      <c r="V115" s="25"/>
      <c r="W115" s="21"/>
      <c r="X115" s="21"/>
    </row>
    <row r="116" spans="1:24" x14ac:dyDescent="0.25">
      <c r="A116" s="41"/>
      <c r="B116" s="27"/>
      <c r="C116" s="29"/>
      <c r="D116" s="29"/>
      <c r="E116" s="29"/>
      <c r="F116" s="29"/>
      <c r="G116" s="29"/>
      <c r="H116" s="30"/>
      <c r="I116" s="29"/>
      <c r="J116" s="29"/>
      <c r="K116" s="30"/>
      <c r="L116" s="30"/>
      <c r="M116" s="29"/>
      <c r="N116" s="47"/>
      <c r="O116" s="47"/>
      <c r="P116" s="30"/>
      <c r="Q116" s="47"/>
      <c r="R116" s="47"/>
      <c r="S116" s="47"/>
      <c r="T116" s="30"/>
      <c r="U116" s="30"/>
      <c r="V116" s="30"/>
      <c r="W116" s="30"/>
      <c r="X116" s="30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G3" sqref="G3"/>
    </sheetView>
  </sheetViews>
  <sheetFormatPr defaultColWidth="8.875" defaultRowHeight="15" x14ac:dyDescent="0.25"/>
  <cols>
    <col min="1" max="1" width="9.875" style="10" customWidth="1"/>
    <col min="2" max="3" width="8.875" style="10"/>
    <col min="4" max="4" width="8.625" style="10" customWidth="1"/>
    <col min="5" max="6" width="8.875" style="10"/>
    <col min="7" max="7" width="12.625" style="10" customWidth="1"/>
    <col min="8" max="16384" width="8.875" style="10"/>
  </cols>
  <sheetData>
    <row r="1" spans="1:7" ht="14.1" customHeight="1" x14ac:dyDescent="0.25">
      <c r="A1" s="61" t="s">
        <v>74</v>
      </c>
      <c r="B1" s="62"/>
      <c r="D1" s="63" t="s">
        <v>75</v>
      </c>
      <c r="E1" s="63"/>
      <c r="G1" s="11" t="s">
        <v>76</v>
      </c>
    </row>
    <row r="2" spans="1:7" x14ac:dyDescent="0.25">
      <c r="A2" s="12" t="s">
        <v>77</v>
      </c>
      <c r="B2" s="13" t="s">
        <v>78</v>
      </c>
      <c r="D2" s="12" t="s">
        <v>79</v>
      </c>
      <c r="E2" s="14" t="s">
        <v>80</v>
      </c>
      <c r="G2" s="15">
        <v>45416</v>
      </c>
    </row>
    <row r="3" spans="1:7" x14ac:dyDescent="0.25">
      <c r="A3" s="12" t="s">
        <v>81</v>
      </c>
      <c r="B3" s="13" t="s">
        <v>78</v>
      </c>
      <c r="D3" s="12" t="s">
        <v>82</v>
      </c>
      <c r="E3" s="14" t="s">
        <v>80</v>
      </c>
    </row>
    <row r="4" spans="1:7" x14ac:dyDescent="0.25">
      <c r="A4" s="12" t="s">
        <v>83</v>
      </c>
      <c r="B4" s="13" t="s">
        <v>78</v>
      </c>
      <c r="D4" s="12" t="s">
        <v>84</v>
      </c>
      <c r="E4" s="14" t="s">
        <v>80</v>
      </c>
      <c r="G4" s="16"/>
    </row>
    <row r="5" spans="1:7" x14ac:dyDescent="0.25">
      <c r="A5" s="12" t="s">
        <v>85</v>
      </c>
      <c r="B5" s="13" t="s">
        <v>78</v>
      </c>
      <c r="D5" s="12" t="s">
        <v>86</v>
      </c>
      <c r="E5" s="14" t="s">
        <v>80</v>
      </c>
      <c r="G5" s="16"/>
    </row>
    <row r="6" spans="1:7" x14ac:dyDescent="0.25">
      <c r="A6" s="12" t="s">
        <v>87</v>
      </c>
      <c r="B6" s="13" t="s">
        <v>78</v>
      </c>
      <c r="D6" s="12" t="s">
        <v>88</v>
      </c>
      <c r="E6" s="14" t="s">
        <v>80</v>
      </c>
      <c r="G6" s="16"/>
    </row>
    <row r="7" spans="1:7" x14ac:dyDescent="0.25">
      <c r="A7" s="12" t="s">
        <v>89</v>
      </c>
      <c r="B7" s="13" t="s">
        <v>78</v>
      </c>
      <c r="D7" s="12" t="s">
        <v>90</v>
      </c>
      <c r="E7" s="14" t="s">
        <v>80</v>
      </c>
      <c r="G7" s="16"/>
    </row>
    <row r="8" spans="1:7" x14ac:dyDescent="0.25">
      <c r="A8" s="12" t="s">
        <v>91</v>
      </c>
      <c r="B8" s="13" t="s">
        <v>78</v>
      </c>
      <c r="D8" s="12" t="s">
        <v>92</v>
      </c>
      <c r="E8" s="14" t="s">
        <v>80</v>
      </c>
      <c r="G8" s="16"/>
    </row>
    <row r="9" spans="1:7" x14ac:dyDescent="0.25">
      <c r="A9" s="12" t="s">
        <v>93</v>
      </c>
      <c r="B9" s="13" t="s">
        <v>78</v>
      </c>
      <c r="G9" s="16"/>
    </row>
    <row r="10" spans="1:7" x14ac:dyDescent="0.25">
      <c r="A10" s="12" t="s">
        <v>94</v>
      </c>
      <c r="B10" s="14" t="s">
        <v>80</v>
      </c>
      <c r="G10" s="16"/>
    </row>
    <row r="11" spans="1:7" x14ac:dyDescent="0.25">
      <c r="A11" s="12" t="s">
        <v>95</v>
      </c>
      <c r="B11" s="14" t="s">
        <v>80</v>
      </c>
      <c r="G11" s="16"/>
    </row>
    <row r="12" spans="1:7" x14ac:dyDescent="0.25">
      <c r="A12" s="12" t="s">
        <v>96</v>
      </c>
      <c r="B12" s="14" t="s">
        <v>80</v>
      </c>
      <c r="G12" s="16"/>
    </row>
    <row r="13" spans="1:7" x14ac:dyDescent="0.25">
      <c r="A13" s="12" t="s">
        <v>97</v>
      </c>
      <c r="B13" s="14" t="s">
        <v>80</v>
      </c>
      <c r="G13" s="16"/>
    </row>
    <row r="14" spans="1:7" x14ac:dyDescent="0.25">
      <c r="A14" s="12" t="s">
        <v>98</v>
      </c>
      <c r="B14" s="13" t="s">
        <v>78</v>
      </c>
      <c r="G14" s="16"/>
    </row>
    <row r="15" spans="1:7" x14ac:dyDescent="0.25">
      <c r="A15" s="12" t="s">
        <v>99</v>
      </c>
      <c r="B15" s="14" t="s">
        <v>80</v>
      </c>
      <c r="G15" s="16"/>
    </row>
    <row r="16" spans="1:7" x14ac:dyDescent="0.25">
      <c r="A16" s="12" t="s">
        <v>100</v>
      </c>
      <c r="B16" s="14" t="s">
        <v>80</v>
      </c>
      <c r="G16" s="16"/>
    </row>
    <row r="17" spans="1:7" x14ac:dyDescent="0.25">
      <c r="A17" s="12" t="s">
        <v>101</v>
      </c>
      <c r="B17" s="14" t="s">
        <v>80</v>
      </c>
      <c r="G17" s="16"/>
    </row>
    <row r="18" spans="1:7" x14ac:dyDescent="0.25">
      <c r="A18" s="12" t="s">
        <v>102</v>
      </c>
      <c r="B18" s="14" t="s">
        <v>80</v>
      </c>
      <c r="G18" s="16"/>
    </row>
    <row r="19" spans="1:7" x14ac:dyDescent="0.25">
      <c r="A19" s="12" t="s">
        <v>103</v>
      </c>
      <c r="B19" s="13" t="s">
        <v>78</v>
      </c>
      <c r="G19" s="16"/>
    </row>
    <row r="20" spans="1:7" x14ac:dyDescent="0.25">
      <c r="A20" s="12" t="s">
        <v>104</v>
      </c>
      <c r="B20" s="13" t="s">
        <v>78</v>
      </c>
      <c r="G20" s="16"/>
    </row>
    <row r="21" spans="1:7" x14ac:dyDescent="0.25">
      <c r="A21" s="12" t="s">
        <v>105</v>
      </c>
      <c r="B21" s="13" t="s">
        <v>78</v>
      </c>
      <c r="G21" s="16"/>
    </row>
    <row r="22" spans="1:7" x14ac:dyDescent="0.25">
      <c r="A22" s="12" t="s">
        <v>106</v>
      </c>
      <c r="B22" s="13" t="s">
        <v>78</v>
      </c>
      <c r="G22" s="16"/>
    </row>
    <row r="23" spans="1:7" x14ac:dyDescent="0.25">
      <c r="A23" s="12" t="s">
        <v>107</v>
      </c>
      <c r="B23" s="13" t="s">
        <v>78</v>
      </c>
      <c r="G23" s="16"/>
    </row>
    <row r="24" spans="1:7" x14ac:dyDescent="0.25">
      <c r="A24" s="12" t="s">
        <v>108</v>
      </c>
      <c r="B24" s="13" t="s">
        <v>78</v>
      </c>
      <c r="G24" s="16"/>
    </row>
    <row r="25" spans="1:7" x14ac:dyDescent="0.25">
      <c r="A25" s="12" t="s">
        <v>109</v>
      </c>
      <c r="B25" s="13" t="s">
        <v>78</v>
      </c>
      <c r="G25" s="16"/>
    </row>
    <row r="26" spans="1:7" x14ac:dyDescent="0.25">
      <c r="G26" s="16"/>
    </row>
    <row r="27" spans="1:7" x14ac:dyDescent="0.25">
      <c r="G27" s="16"/>
    </row>
    <row r="28" spans="1:7" x14ac:dyDescent="0.25">
      <c r="G28" s="16"/>
    </row>
    <row r="29" spans="1:7" x14ac:dyDescent="0.25">
      <c r="G29" s="16"/>
    </row>
    <row r="30" spans="1:7" x14ac:dyDescent="0.25">
      <c r="G30" s="16"/>
    </row>
    <row r="31" spans="1:7" x14ac:dyDescent="0.25">
      <c r="G31" s="16"/>
    </row>
    <row r="32" spans="1:7" x14ac:dyDescent="0.25">
      <c r="G32" s="16"/>
    </row>
    <row r="33" spans="7:7" x14ac:dyDescent="0.25">
      <c r="G33" s="16"/>
    </row>
    <row r="34" spans="7:7" x14ac:dyDescent="0.25">
      <c r="G34" s="16"/>
    </row>
    <row r="35" spans="7:7" x14ac:dyDescent="0.25">
      <c r="G35" s="16"/>
    </row>
    <row r="36" spans="7:7" x14ac:dyDescent="0.25">
      <c r="G36" s="16"/>
    </row>
    <row r="37" spans="7:7" x14ac:dyDescent="0.25">
      <c r="G37" s="16"/>
    </row>
    <row r="38" spans="7:7" x14ac:dyDescent="0.25">
      <c r="G38" s="16"/>
    </row>
    <row r="39" spans="7:7" x14ac:dyDescent="0.25">
      <c r="G39" s="16"/>
    </row>
    <row r="40" spans="7:7" x14ac:dyDescent="0.25">
      <c r="G40" s="16"/>
    </row>
    <row r="41" spans="7:7" x14ac:dyDescent="0.25">
      <c r="G41" s="16"/>
    </row>
    <row r="42" spans="7:7" x14ac:dyDescent="0.25">
      <c r="G42" s="16"/>
    </row>
    <row r="43" spans="7:7" x14ac:dyDescent="0.25">
      <c r="G43" s="16"/>
    </row>
    <row r="44" spans="7:7" x14ac:dyDescent="0.25">
      <c r="G44" s="16"/>
    </row>
    <row r="45" spans="7:7" x14ac:dyDescent="0.25">
      <c r="G45" s="16"/>
    </row>
    <row r="46" spans="7:7" x14ac:dyDescent="0.25">
      <c r="G46" s="16"/>
    </row>
    <row r="47" spans="7:7" x14ac:dyDescent="0.25">
      <c r="G47" s="16"/>
    </row>
    <row r="48" spans="7:7" x14ac:dyDescent="0.25">
      <c r="G48" s="16"/>
    </row>
    <row r="49" spans="7:7" x14ac:dyDescent="0.25">
      <c r="G49" s="16"/>
    </row>
    <row r="50" spans="7:7" x14ac:dyDescent="0.25">
      <c r="G50" s="16"/>
    </row>
    <row r="51" spans="7:7" x14ac:dyDescent="0.25">
      <c r="G51" s="16"/>
    </row>
    <row r="52" spans="7:7" x14ac:dyDescent="0.25">
      <c r="G52" s="16"/>
    </row>
    <row r="53" spans="7:7" x14ac:dyDescent="0.25">
      <c r="G53" s="16"/>
    </row>
    <row r="54" spans="7:7" x14ac:dyDescent="0.25">
      <c r="G54" s="16"/>
    </row>
    <row r="55" spans="7:7" x14ac:dyDescent="0.25">
      <c r="G55" s="16"/>
    </row>
    <row r="56" spans="7:7" x14ac:dyDescent="0.25">
      <c r="G56" s="16"/>
    </row>
    <row r="57" spans="7:7" x14ac:dyDescent="0.25">
      <c r="G57" s="16"/>
    </row>
    <row r="58" spans="7:7" x14ac:dyDescent="0.25">
      <c r="G58" s="16"/>
    </row>
    <row r="59" spans="7:7" x14ac:dyDescent="0.25">
      <c r="G59" s="16"/>
    </row>
    <row r="60" spans="7:7" x14ac:dyDescent="0.25">
      <c r="G60" s="16"/>
    </row>
    <row r="61" spans="7:7" x14ac:dyDescent="0.25">
      <c r="G61" s="16"/>
    </row>
    <row r="62" spans="7:7" x14ac:dyDescent="0.25">
      <c r="G62" s="16"/>
    </row>
    <row r="63" spans="7:7" x14ac:dyDescent="0.25">
      <c r="G63" s="16"/>
    </row>
    <row r="64" spans="7:7" x14ac:dyDescent="0.25">
      <c r="G64" s="16"/>
    </row>
    <row r="65" spans="7:7" x14ac:dyDescent="0.25">
      <c r="G65" s="16"/>
    </row>
    <row r="66" spans="7:7" x14ac:dyDescent="0.25">
      <c r="G66" s="16"/>
    </row>
    <row r="67" spans="7:7" x14ac:dyDescent="0.25">
      <c r="G67" s="16"/>
    </row>
    <row r="68" spans="7:7" x14ac:dyDescent="0.25">
      <c r="G68" s="16"/>
    </row>
    <row r="69" spans="7:7" x14ac:dyDescent="0.25">
      <c r="G69" s="16"/>
    </row>
    <row r="70" spans="7:7" x14ac:dyDescent="0.25">
      <c r="G70" s="16"/>
    </row>
    <row r="71" spans="7:7" x14ac:dyDescent="0.25">
      <c r="G71" s="16"/>
    </row>
    <row r="72" spans="7:7" x14ac:dyDescent="0.25">
      <c r="G72" s="16"/>
    </row>
    <row r="73" spans="7:7" x14ac:dyDescent="0.25">
      <c r="G73" s="16"/>
    </row>
    <row r="74" spans="7:7" x14ac:dyDescent="0.25">
      <c r="G74" s="16"/>
    </row>
    <row r="75" spans="7:7" x14ac:dyDescent="0.25">
      <c r="G75" s="16"/>
    </row>
    <row r="76" spans="7:7" x14ac:dyDescent="0.25">
      <c r="G76" s="16"/>
    </row>
    <row r="77" spans="7:7" x14ac:dyDescent="0.25">
      <c r="G77" s="16"/>
    </row>
    <row r="78" spans="7:7" x14ac:dyDescent="0.25">
      <c r="G78" s="16"/>
    </row>
    <row r="79" spans="7:7" x14ac:dyDescent="0.25">
      <c r="G79" s="16"/>
    </row>
    <row r="80" spans="7:7" x14ac:dyDescent="0.25">
      <c r="G80" s="16"/>
    </row>
    <row r="81" spans="7:7" x14ac:dyDescent="0.25">
      <c r="G81" s="16"/>
    </row>
    <row r="82" spans="7:7" x14ac:dyDescent="0.25">
      <c r="G82" s="16"/>
    </row>
    <row r="83" spans="7:7" x14ac:dyDescent="0.25">
      <c r="G83" s="16"/>
    </row>
    <row r="84" spans="7:7" x14ac:dyDescent="0.25">
      <c r="G84" s="16"/>
    </row>
    <row r="85" spans="7:7" x14ac:dyDescent="0.25">
      <c r="G85" s="16"/>
    </row>
    <row r="86" spans="7:7" x14ac:dyDescent="0.25">
      <c r="G86" s="16"/>
    </row>
    <row r="87" spans="7:7" x14ac:dyDescent="0.25">
      <c r="G87" s="16"/>
    </row>
    <row r="88" spans="7:7" x14ac:dyDescent="0.25">
      <c r="G88" s="16"/>
    </row>
    <row r="89" spans="7:7" x14ac:dyDescent="0.25">
      <c r="G89" s="16"/>
    </row>
    <row r="90" spans="7:7" x14ac:dyDescent="0.25">
      <c r="G90" s="16"/>
    </row>
    <row r="91" spans="7:7" x14ac:dyDescent="0.25">
      <c r="G91" s="16"/>
    </row>
    <row r="92" spans="7:7" x14ac:dyDescent="0.25">
      <c r="G92" s="16"/>
    </row>
    <row r="93" spans="7:7" x14ac:dyDescent="0.25">
      <c r="G93" s="16"/>
    </row>
    <row r="94" spans="7:7" x14ac:dyDescent="0.25">
      <c r="G94" s="16"/>
    </row>
    <row r="95" spans="7:7" x14ac:dyDescent="0.25">
      <c r="G95" s="16"/>
    </row>
    <row r="96" spans="7:7" x14ac:dyDescent="0.25">
      <c r="G96" s="16"/>
    </row>
    <row r="97" spans="7:7" x14ac:dyDescent="0.25">
      <c r="G97" s="16"/>
    </row>
    <row r="98" spans="7:7" x14ac:dyDescent="0.25">
      <c r="G98" s="16"/>
    </row>
    <row r="99" spans="7:7" x14ac:dyDescent="0.25">
      <c r="G99" s="16"/>
    </row>
    <row r="100" spans="7:7" x14ac:dyDescent="0.25">
      <c r="G100" s="16"/>
    </row>
    <row r="101" spans="7:7" x14ac:dyDescent="0.25">
      <c r="G101" s="16"/>
    </row>
    <row r="102" spans="7:7" x14ac:dyDescent="0.25">
      <c r="G102" s="16"/>
    </row>
    <row r="103" spans="7:7" x14ac:dyDescent="0.25">
      <c r="G103" s="16"/>
    </row>
    <row r="104" spans="7:7" x14ac:dyDescent="0.25">
      <c r="G104" s="16"/>
    </row>
    <row r="105" spans="7:7" x14ac:dyDescent="0.25">
      <c r="G105" s="16"/>
    </row>
    <row r="106" spans="7:7" x14ac:dyDescent="0.25">
      <c r="G106" s="16"/>
    </row>
    <row r="107" spans="7:7" x14ac:dyDescent="0.25">
      <c r="G107" s="16"/>
    </row>
    <row r="108" spans="7:7" x14ac:dyDescent="0.25">
      <c r="G108" s="16"/>
    </row>
    <row r="109" spans="7:7" x14ac:dyDescent="0.25">
      <c r="G109" s="16"/>
    </row>
    <row r="110" spans="7:7" x14ac:dyDescent="0.2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2026-08-21T10:31:58Z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