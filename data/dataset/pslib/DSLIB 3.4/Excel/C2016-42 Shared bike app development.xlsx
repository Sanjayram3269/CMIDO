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CBDE74F2-25E1-4D41-9617-21227C6447F5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36" r:id="rId2"/>
    <sheet name="Resources" sheetId="2" r:id="rId3"/>
    <sheet name="Risk Analysis" sheetId="3" r:id="rId4"/>
    <sheet name="Project Control - TP1" sheetId="4" r:id="rId5"/>
    <sheet name="TP2" sheetId="5" r:id="rId6"/>
    <sheet name="TP3" sheetId="6" r:id="rId7"/>
    <sheet name="TP4" sheetId="7" r:id="rId8"/>
    <sheet name="TP5" sheetId="8" r:id="rId9"/>
    <sheet name="TP6" sheetId="9" r:id="rId10"/>
    <sheet name="TP7" sheetId="10" r:id="rId11"/>
    <sheet name="TP8" sheetId="11" r:id="rId12"/>
    <sheet name="TP9" sheetId="12" r:id="rId13"/>
    <sheet name="TP10" sheetId="13" r:id="rId14"/>
    <sheet name="TP11" sheetId="14" r:id="rId15"/>
    <sheet name="TP12" sheetId="15" r:id="rId16"/>
    <sheet name="TP13" sheetId="16" r:id="rId17"/>
    <sheet name="TP14" sheetId="17" r:id="rId18"/>
    <sheet name="TP15" sheetId="18" r:id="rId19"/>
    <sheet name="TP16" sheetId="19" r:id="rId20"/>
    <sheet name="TP17" sheetId="20" r:id="rId21"/>
    <sheet name="TP18" sheetId="21" r:id="rId22"/>
    <sheet name="TP19" sheetId="22" r:id="rId23"/>
    <sheet name="TP20" sheetId="23" r:id="rId24"/>
    <sheet name="TP21" sheetId="24" r:id="rId25"/>
    <sheet name="TP22" sheetId="25" r:id="rId26"/>
    <sheet name="TP23" sheetId="26" r:id="rId27"/>
    <sheet name="Agenda" sheetId="27" r:id="rId28"/>
    <sheet name="Tracking Overview" sheetId="28" r:id="rId29"/>
    <sheet name="AC, EV, PV " sheetId="37" r:id="rId30"/>
    <sheet name="CPI, SPI(t)" sheetId="38" r:id="rId31"/>
    <sheet name="SPI, SPI(t), p-factor" sheetId="39" r:id="rId32"/>
    <sheet name="CV" sheetId="40" r:id="rId33"/>
    <sheet name="SV(t)" sheetId="42" r:id="rId34"/>
    <sheet name="CPI" sheetId="41" r:id="rId35"/>
    <sheet name="SPI(t)" sheetId="43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4" i="28" l="1"/>
  <c r="AI5" i="28"/>
  <c r="AI6" i="28"/>
  <c r="AI7" i="28"/>
  <c r="AI8" i="28"/>
  <c r="AI9" i="28"/>
  <c r="AI10" i="28"/>
  <c r="AI11" i="28"/>
  <c r="AI12" i="28"/>
  <c r="AI13" i="28"/>
  <c r="AI14" i="28"/>
  <c r="AI15" i="28"/>
  <c r="AI16" i="28"/>
  <c r="AI17" i="28"/>
  <c r="AI18" i="28"/>
  <c r="AI19" i="28"/>
  <c r="AI20" i="28"/>
  <c r="AI21" i="28"/>
  <c r="AI22" i="28"/>
  <c r="AI23" i="28"/>
  <c r="AI24" i="28"/>
  <c r="AI25" i="28"/>
  <c r="AI3" i="28"/>
  <c r="AH4" i="28"/>
  <c r="AH5" i="28"/>
  <c r="AH6" i="28"/>
  <c r="AH7" i="28"/>
  <c r="AH8" i="28"/>
  <c r="AH9" i="28"/>
  <c r="AH10" i="28"/>
  <c r="AH11" i="28"/>
  <c r="AH12" i="28"/>
  <c r="AH13" i="28"/>
  <c r="AH14" i="28"/>
  <c r="AH15" i="28"/>
  <c r="AH16" i="28"/>
  <c r="AH17" i="28"/>
  <c r="AH18" i="28"/>
  <c r="AH19" i="28"/>
  <c r="AH20" i="28"/>
  <c r="AH21" i="28"/>
  <c r="AH22" i="28"/>
  <c r="AH23" i="28"/>
  <c r="AH24" i="28"/>
  <c r="AH25" i="28"/>
  <c r="AH3" i="28"/>
  <c r="AG4" i="28"/>
  <c r="AG5" i="28"/>
  <c r="AG6" i="28"/>
  <c r="AG7" i="28"/>
  <c r="AG8" i="28"/>
  <c r="AG9" i="28"/>
  <c r="AG10" i="28"/>
  <c r="AG11" i="28"/>
  <c r="AG12" i="28"/>
  <c r="AG13" i="28"/>
  <c r="AG14" i="28"/>
  <c r="AG15" i="28"/>
  <c r="AG16" i="28"/>
  <c r="AG17" i="28"/>
  <c r="AG18" i="28"/>
  <c r="AG19" i="28"/>
  <c r="AG20" i="28"/>
  <c r="AG21" i="28"/>
  <c r="AG22" i="28"/>
  <c r="AG23" i="28"/>
  <c r="AG24" i="28"/>
  <c r="AG25" i="28"/>
  <c r="AG3" i="28"/>
  <c r="AF4" i="28"/>
  <c r="AF5" i="28"/>
  <c r="AF6" i="28"/>
  <c r="AF7" i="28"/>
  <c r="AF8" i="28"/>
  <c r="AF9" i="28"/>
  <c r="AF10" i="28"/>
  <c r="AF11" i="28"/>
  <c r="AF12" i="28"/>
  <c r="AF13" i="28"/>
  <c r="AF14" i="28"/>
  <c r="AF15" i="28"/>
  <c r="AF16" i="28"/>
  <c r="AF17" i="28"/>
  <c r="AF18" i="28"/>
  <c r="AF19" i="28"/>
  <c r="AF20" i="28"/>
  <c r="AF21" i="28"/>
  <c r="AF22" i="28"/>
  <c r="AF23" i="28"/>
  <c r="AF24" i="28"/>
  <c r="AF25" i="28"/>
  <c r="AF3" i="28"/>
  <c r="T43" i="3"/>
  <c r="U43" i="3"/>
  <c r="V43" i="3"/>
  <c r="T44" i="3"/>
  <c r="U44" i="3"/>
  <c r="V44" i="3"/>
  <c r="U42" i="3"/>
  <c r="V42" i="3"/>
  <c r="T42" i="3"/>
  <c r="T40" i="3"/>
  <c r="U40" i="3"/>
  <c r="V40" i="3"/>
  <c r="U39" i="3"/>
  <c r="V39" i="3"/>
  <c r="T39" i="3"/>
  <c r="T36" i="3"/>
  <c r="U36" i="3"/>
  <c r="V36" i="3"/>
  <c r="T37" i="3"/>
  <c r="U37" i="3"/>
  <c r="V37" i="3"/>
  <c r="U35" i="3"/>
  <c r="V35" i="3"/>
  <c r="T35" i="3"/>
  <c r="T32" i="3"/>
  <c r="U32" i="3"/>
  <c r="V32" i="3"/>
  <c r="T33" i="3"/>
  <c r="U33" i="3"/>
  <c r="V33" i="3"/>
  <c r="V31" i="3"/>
  <c r="U31" i="3"/>
  <c r="T31" i="3"/>
  <c r="U29" i="3"/>
  <c r="V29" i="3"/>
  <c r="T29" i="3"/>
  <c r="T24" i="3"/>
  <c r="U24" i="3"/>
  <c r="V24" i="3"/>
  <c r="T25" i="3"/>
  <c r="U25" i="3"/>
  <c r="V25" i="3"/>
  <c r="T26" i="3"/>
  <c r="U26" i="3"/>
  <c r="V26" i="3"/>
  <c r="T27" i="3"/>
  <c r="U27" i="3"/>
  <c r="V27" i="3"/>
  <c r="U23" i="3"/>
  <c r="V23" i="3"/>
  <c r="T23" i="3"/>
  <c r="T17" i="3"/>
  <c r="U17" i="3"/>
  <c r="V17" i="3"/>
  <c r="T18" i="3"/>
  <c r="U18" i="3"/>
  <c r="V18" i="3"/>
  <c r="T19" i="3"/>
  <c r="U19" i="3"/>
  <c r="V19" i="3"/>
  <c r="T20" i="3"/>
  <c r="U20" i="3"/>
  <c r="V20" i="3"/>
  <c r="T21" i="3"/>
  <c r="U21" i="3"/>
  <c r="V21" i="3"/>
  <c r="U16" i="3"/>
  <c r="V16" i="3"/>
  <c r="T16" i="3"/>
  <c r="T13" i="3"/>
  <c r="U13" i="3"/>
  <c r="V13" i="3"/>
  <c r="T14" i="3"/>
  <c r="U14" i="3"/>
  <c r="V14" i="3"/>
  <c r="U12" i="3"/>
  <c r="V12" i="3"/>
  <c r="T12" i="3"/>
  <c r="T6" i="3"/>
  <c r="U6" i="3"/>
  <c r="V6" i="3"/>
  <c r="T7" i="3"/>
  <c r="U7" i="3"/>
  <c r="V7" i="3"/>
  <c r="T8" i="3"/>
  <c r="U8" i="3"/>
  <c r="V8" i="3"/>
  <c r="T9" i="3"/>
  <c r="U9" i="3"/>
  <c r="V9" i="3"/>
  <c r="T10" i="3"/>
  <c r="U10" i="3"/>
  <c r="V10" i="3"/>
  <c r="U5" i="3"/>
  <c r="V5" i="3"/>
  <c r="T5" i="3"/>
  <c r="S6" i="2"/>
  <c r="S7" i="2"/>
  <c r="S10" i="2"/>
  <c r="S11" i="2"/>
  <c r="I3" i="2"/>
  <c r="S4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3" i="1"/>
  <c r="S9" i="2"/>
  <c r="S5" i="2"/>
  <c r="S3" i="2"/>
  <c r="S8" i="2"/>
</calcChain>
</file>

<file path=xl/sharedStrings.xml><?xml version="1.0" encoding="utf-8"?>
<sst xmlns="http://schemas.openxmlformats.org/spreadsheetml/2006/main" count="6039" uniqueCount="539">
  <si>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</si>
  <si>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</si>
  <si>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</si>
  <si>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</si>
  <si>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</si>
  <si>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</si>
  <si>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</si>
  <si>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</si>
  <si>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</si>
  <si>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</si>
  <si>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</si>
  <si>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</si>
  <si>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</si>
  <si>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</si>
  <si>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</si>
  <si>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</si>
  <si>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</si>
  <si>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</si>
  <si>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projectKopie</t>
  </si>
  <si>
    <t>1</t>
  </si>
  <si>
    <t>350d</t>
  </si>
  <si>
    <t>Onderzoek</t>
  </si>
  <si>
    <t>1.1</t>
  </si>
  <si>
    <t>51d</t>
  </si>
  <si>
    <t>Analysis of bikes and bikes usage in gent by students</t>
  </si>
  <si>
    <t>1.1.1</t>
  </si>
  <si>
    <t>FS3;FS4</t>
  </si>
  <si>
    <t>14d</t>
  </si>
  <si>
    <t>Engineer[2.00 #2]</t>
  </si>
  <si>
    <t>Properties of the bike</t>
  </si>
  <si>
    <t>1.1.2</t>
  </si>
  <si>
    <t>2FS</t>
  </si>
  <si>
    <t>4d</t>
  </si>
  <si>
    <t>Engineer</t>
  </si>
  <si>
    <t>Determine amount of bikes needed and hot spots</t>
  </si>
  <si>
    <t>1.1.3</t>
  </si>
  <si>
    <t>FS5;FS9</t>
  </si>
  <si>
    <t>5d</t>
  </si>
  <si>
    <t>research for possibledocking stations</t>
  </si>
  <si>
    <t>1.1.4</t>
  </si>
  <si>
    <t>4FS</t>
  </si>
  <si>
    <t>FS6</t>
  </si>
  <si>
    <t>20d</t>
  </si>
  <si>
    <t>Resarch amount of staff needed (extra contractors)</t>
  </si>
  <si>
    <t>1.1.5</t>
  </si>
  <si>
    <t>5FS</t>
  </si>
  <si>
    <t>FS7</t>
  </si>
  <si>
    <t>feasibility study</t>
  </si>
  <si>
    <t>1.1.6</t>
  </si>
  <si>
    <t>6FS</t>
  </si>
  <si>
    <t>FS13</t>
  </si>
  <si>
    <t>7d</t>
  </si>
  <si>
    <t>Admin</t>
  </si>
  <si>
    <t>Vans</t>
  </si>
  <si>
    <t>1.2</t>
  </si>
  <si>
    <t>33d</t>
  </si>
  <si>
    <t>determine type and amound of vans</t>
  </si>
  <si>
    <t>1.2.1</t>
  </si>
  <si>
    <t>FS10</t>
  </si>
  <si>
    <t>3d</t>
  </si>
  <si>
    <t>buy vans</t>
  </si>
  <si>
    <t>1.2.2</t>
  </si>
  <si>
    <t>9FS</t>
  </si>
  <si>
    <t>FS11</t>
  </si>
  <si>
    <t>15d</t>
  </si>
  <si>
    <t>adjust vans</t>
  </si>
  <si>
    <t>1.2.3</t>
  </si>
  <si>
    <t>10FS</t>
  </si>
  <si>
    <t>FS26</t>
  </si>
  <si>
    <t>Arb</t>
  </si>
  <si>
    <t>Meeting</t>
  </si>
  <si>
    <t>1.3</t>
  </si>
  <si>
    <t>70d</t>
  </si>
  <si>
    <t>Asking town for permission</t>
  </si>
  <si>
    <t>1.3.1</t>
  </si>
  <si>
    <t>7FS</t>
  </si>
  <si>
    <t>FS14;FS15;FS16;FS17;FS18;FS20</t>
  </si>
  <si>
    <t>30d</t>
  </si>
  <si>
    <t>Aankoop</t>
  </si>
  <si>
    <t>Asking town for blue prints porwer network</t>
  </si>
  <si>
    <t>1.3.2</t>
  </si>
  <si>
    <t>13FS</t>
  </si>
  <si>
    <t>FS36</t>
  </si>
  <si>
    <t>meeting with bike suppliers and contracting</t>
  </si>
  <si>
    <t>1.3.3</t>
  </si>
  <si>
    <t>FS28</t>
  </si>
  <si>
    <t>40d</t>
  </si>
  <si>
    <t>Admin[0.50 #2]</t>
  </si>
  <si>
    <t>meeting with docking stations and tower suppliers and contracting</t>
  </si>
  <si>
    <t>1.3.4</t>
  </si>
  <si>
    <t>FS29</t>
  </si>
  <si>
    <t>35d</t>
  </si>
  <si>
    <t>Aankoop[0.50 #2]</t>
  </si>
  <si>
    <t>meeting with duct suppliers &amp; cable supliers &amp; contracting</t>
  </si>
  <si>
    <t>1.3.5</t>
  </si>
  <si>
    <t>FS30</t>
  </si>
  <si>
    <t>Engineer[0.50 #2];Admin[0.50 #2]</t>
  </si>
  <si>
    <t>meeting concrete suppliers</t>
  </si>
  <si>
    <t>1.3.6</t>
  </si>
  <si>
    <t>10d</t>
  </si>
  <si>
    <t>Ict</t>
  </si>
  <si>
    <t>1.4</t>
  </si>
  <si>
    <t>87d</t>
  </si>
  <si>
    <t>ICT contracter search</t>
  </si>
  <si>
    <t>1.4.1</t>
  </si>
  <si>
    <t>FS21;FS22</t>
  </si>
  <si>
    <t>18d</t>
  </si>
  <si>
    <t>Admin[0.50 #2];Aankoop[0.50 #2];Engineer[0.50 #5]</t>
  </si>
  <si>
    <t>Developing app</t>
  </si>
  <si>
    <t>1.4.2</t>
  </si>
  <si>
    <t>20FS</t>
  </si>
  <si>
    <t>FS23</t>
  </si>
  <si>
    <t>57d</t>
  </si>
  <si>
    <t>developing pay system</t>
  </si>
  <si>
    <t>1.4.3</t>
  </si>
  <si>
    <t>FS24</t>
  </si>
  <si>
    <t>Testing &amp; approve app</t>
  </si>
  <si>
    <t>1.4.4</t>
  </si>
  <si>
    <t>21FS</t>
  </si>
  <si>
    <t>12d</t>
  </si>
  <si>
    <t>Testing &amp; approve pay system</t>
  </si>
  <si>
    <t>1.4.5</t>
  </si>
  <si>
    <t>22FS</t>
  </si>
  <si>
    <t>Repair place</t>
  </si>
  <si>
    <t>1.5</t>
  </si>
  <si>
    <t>23d</t>
  </si>
  <si>
    <t>construct bike repearing place</t>
  </si>
  <si>
    <t>1.5.1</t>
  </si>
  <si>
    <t>11FS</t>
  </si>
  <si>
    <t>FS33</t>
  </si>
  <si>
    <t>Arb[4.00 #4]</t>
  </si>
  <si>
    <t>Delivery</t>
  </si>
  <si>
    <t>1.6</t>
  </si>
  <si>
    <t>75d</t>
  </si>
  <si>
    <t>Delivery bikes  parts</t>
  </si>
  <si>
    <t>1.6.1</t>
  </si>
  <si>
    <t>15FS</t>
  </si>
  <si>
    <t>50d</t>
  </si>
  <si>
    <t>delivery docking station &amp; power tower</t>
  </si>
  <si>
    <t>1.6.2</t>
  </si>
  <si>
    <t>16FS</t>
  </si>
  <si>
    <t>FS32</t>
  </si>
  <si>
    <t>delivery ducts</t>
  </si>
  <si>
    <t>1.6.3</t>
  </si>
  <si>
    <t>17FS</t>
  </si>
  <si>
    <t>FS34</t>
  </si>
  <si>
    <t>Assembly</t>
  </si>
  <si>
    <t>1.7</t>
  </si>
  <si>
    <t>93d</t>
  </si>
  <si>
    <t>assembly docking station &amp; power tower</t>
  </si>
  <si>
    <t>1.7.1</t>
  </si>
  <si>
    <t>29FS</t>
  </si>
  <si>
    <t>FS37</t>
  </si>
  <si>
    <t>45d</t>
  </si>
  <si>
    <t>Engineer[0.88 #2];Arb[2.00 #4]</t>
  </si>
  <si>
    <t>assembly bikes  &amp; Testing</t>
  </si>
  <si>
    <t>1.7.2</t>
  </si>
  <si>
    <t>28FS;26FS</t>
  </si>
  <si>
    <t>36d</t>
  </si>
  <si>
    <t>assembly ducts</t>
  </si>
  <si>
    <t>1.7.3</t>
  </si>
  <si>
    <t>30FS</t>
  </si>
  <si>
    <t>Engineer;Arb[2.00 #4]</t>
  </si>
  <si>
    <t>Construction total</t>
  </si>
  <si>
    <t>1.8</t>
  </si>
  <si>
    <t>128d</t>
  </si>
  <si>
    <t>Construction 1</t>
  </si>
  <si>
    <t>1.8.1</t>
  </si>
  <si>
    <t>18FS;14FS</t>
  </si>
  <si>
    <t>64d</t>
  </si>
  <si>
    <t>Construction 2</t>
  </si>
  <si>
    <t>1.8.2</t>
  </si>
  <si>
    <t>32FS</t>
  </si>
  <si>
    <t>FS39</t>
  </si>
  <si>
    <t>38d</t>
  </si>
  <si>
    <t>Final phase</t>
  </si>
  <si>
    <t>1.9</t>
  </si>
  <si>
    <t>41d</t>
  </si>
  <si>
    <t>Placing bikes</t>
  </si>
  <si>
    <t>1.9.1</t>
  </si>
  <si>
    <t>37FS</t>
  </si>
  <si>
    <t>FS40</t>
  </si>
  <si>
    <t>Final testing the total system</t>
  </si>
  <si>
    <t>1.9.2</t>
  </si>
  <si>
    <t>39FS</t>
  </si>
  <si>
    <t>FS50</t>
  </si>
  <si>
    <t>26d</t>
  </si>
  <si>
    <t>Project buffer</t>
  </si>
  <si>
    <t>1.10</t>
  </si>
  <si>
    <t>40FS</t>
  </si>
  <si>
    <t>80d</t>
  </si>
  <si>
    <t>Type</t>
  </si>
  <si>
    <t>Availability</t>
  </si>
  <si>
    <t>Cost/Use</t>
  </si>
  <si>
    <t>Cost/Unit</t>
  </si>
  <si>
    <t>Assigned To</t>
  </si>
  <si>
    <t>Renewable</t>
  </si>
  <si>
    <t xml:space="preserve">2 </t>
  </si>
  <si>
    <t>2[2.00 Engineer];3;4;5;6;17[0.50 Engineer];32[0.88 Engineer];34;</t>
  </si>
  <si>
    <t>Electr</t>
  </si>
  <si>
    <t xml:space="preserve">5 </t>
  </si>
  <si>
    <t xml:space="preserve">4 </t>
  </si>
  <si>
    <t>11;26[4.00 Arb];32[2.00 Arb];33[4.00 Arb];34[2.00 Arb];39[4.00 Arb];</t>
  </si>
  <si>
    <t>7;15[0.50 Admin];17[0.50 Admin];20[0.50 Admin];</t>
  </si>
  <si>
    <t>13;16[0.50 Aankoop];20[0.50 Aankoop];</t>
  </si>
  <si>
    <t>Concrete Worker</t>
  </si>
  <si>
    <t>Construction Labor</t>
  </si>
  <si>
    <t xml:space="preserve">20 </t>
  </si>
  <si>
    <t>20[0.50 Engineer];</t>
  </si>
  <si>
    <t>Activity Duration Distribution Profiles</t>
  </si>
  <si>
    <t>Description</t>
  </si>
  <si>
    <t>Optimistic</t>
  </si>
  <si>
    <t>Most Probable</t>
  </si>
  <si>
    <t>Pessimistic</t>
  </si>
  <si>
    <t>2800h</t>
  </si>
  <si>
    <t>408h</t>
  </si>
  <si>
    <t>112h</t>
  </si>
  <si>
    <t>standard - symmetric</t>
  </si>
  <si>
    <t>32h</t>
  </si>
  <si>
    <t>40h</t>
  </si>
  <si>
    <t>160h</t>
  </si>
  <si>
    <t>56h</t>
  </si>
  <si>
    <t>264h</t>
  </si>
  <si>
    <t>24h</t>
  </si>
  <si>
    <t>120h</t>
  </si>
  <si>
    <t>560h</t>
  </si>
  <si>
    <t>240h</t>
  </si>
  <si>
    <t>320h</t>
  </si>
  <si>
    <t>280h</t>
  </si>
  <si>
    <t>80h</t>
  </si>
  <si>
    <t>696h</t>
  </si>
  <si>
    <t>144h</t>
  </si>
  <si>
    <t>456h</t>
  </si>
  <si>
    <t>96h</t>
  </si>
  <si>
    <t>184h</t>
  </si>
  <si>
    <t>600h</t>
  </si>
  <si>
    <t>400h</t>
  </si>
  <si>
    <t>744h</t>
  </si>
  <si>
    <t>360h</t>
  </si>
  <si>
    <t>288h</t>
  </si>
  <si>
    <t>1024h</t>
  </si>
  <si>
    <t>512h</t>
  </si>
  <si>
    <t>304h</t>
  </si>
  <si>
    <t>328h</t>
  </si>
  <si>
    <t>208h</t>
  </si>
  <si>
    <t>640h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</si>
  <si>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</si>
  <si>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</si>
  <si>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</si>
  <si>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</si>
  <si>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</si>
  <si>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</si>
  <si>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</si>
  <si>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</si>
  <si>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</si>
  <si>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</si>
  <si>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</si>
  <si>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</si>
  <si>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</si>
  <si>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</si>
  <si>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</si>
  <si>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6/12/2016 17:00</t>
  </si>
  <si>
    <t>4d 3h</t>
  </si>
  <si>
    <t>Started</t>
  </si>
  <si>
    <t>0</t>
  </si>
  <si>
    <t>Not Started</t>
  </si>
  <si>
    <t>27/12/2016 17:00</t>
  </si>
  <si>
    <t>19d 3h</t>
  </si>
  <si>
    <t>Finished</t>
  </si>
  <si>
    <t>2d 3h</t>
  </si>
  <si>
    <t>4d 1h</t>
  </si>
  <si>
    <t>6d 4h</t>
  </si>
  <si>
    <t>3d 4h</t>
  </si>
  <si>
    <t>10d 5h</t>
  </si>
  <si>
    <t>17/01/2017 17:00</t>
  </si>
  <si>
    <t>13d 4h</t>
  </si>
  <si>
    <t>5d 7h</t>
  </si>
  <si>
    <t>2d 1h</t>
  </si>
  <si>
    <t>2d 7h</t>
  </si>
  <si>
    <t>21d 4h</t>
  </si>
  <si>
    <t>14d 1h</t>
  </si>
  <si>
    <t>8d 3h</t>
  </si>
  <si>
    <t>7/02/2017 17:00</t>
  </si>
  <si>
    <t>60d</t>
  </si>
  <si>
    <t>47d 7h</t>
  </si>
  <si>
    <t>29d 7h</t>
  </si>
  <si>
    <t>12d 6h</t>
  </si>
  <si>
    <t>12d 1h</t>
  </si>
  <si>
    <t>26d 1h</t>
  </si>
  <si>
    <t>6d 5h</t>
  </si>
  <si>
    <t>21d 2h</t>
  </si>
  <si>
    <t>28/02/2017 17:00</t>
  </si>
  <si>
    <t>27d 1h</t>
  </si>
  <si>
    <t>11d 1h</t>
  </si>
  <si>
    <t>21d 5h</t>
  </si>
  <si>
    <t>6d 2h</t>
  </si>
  <si>
    <t>21/03/2017 17:00</t>
  </si>
  <si>
    <t>90d</t>
  </si>
  <si>
    <t>42d 1h</t>
  </si>
  <si>
    <t>38d 2h</t>
  </si>
  <si>
    <t>3d 7h</t>
  </si>
  <si>
    <t>19d 6h</t>
  </si>
  <si>
    <t>20d 3h</t>
  </si>
  <si>
    <t>6d 1h</t>
  </si>
  <si>
    <t>22d 1h</t>
  </si>
  <si>
    <t>27d 7h</t>
  </si>
  <si>
    <t>11/04/2017 17:00</t>
  </si>
  <si>
    <t>105d</t>
  </si>
  <si>
    <t>57d 1h</t>
  </si>
  <si>
    <t>18d 7h</t>
  </si>
  <si>
    <t>4d 6h</t>
  </si>
  <si>
    <t>5d 3h</t>
  </si>
  <si>
    <t>7d 1h</t>
  </si>
  <si>
    <t>9d 6h</t>
  </si>
  <si>
    <t>2/05/2017 17:00</t>
  </si>
  <si>
    <t>120d</t>
  </si>
  <si>
    <t>63d 3h</t>
  </si>
  <si>
    <t>23d 5h</t>
  </si>
  <si>
    <t>25d 1h</t>
  </si>
  <si>
    <t>24d 2h</t>
  </si>
  <si>
    <t>33d 7h</t>
  </si>
  <si>
    <t>7d 7h</t>
  </si>
  <si>
    <t>20d 5h</t>
  </si>
  <si>
    <t>74d 2h</t>
  </si>
  <si>
    <t>8d 6h</t>
  </si>
  <si>
    <t>60d 1h</t>
  </si>
  <si>
    <t>9d 5h</t>
  </si>
  <si>
    <t>15d 2h</t>
  </si>
  <si>
    <t>13d 5h</t>
  </si>
  <si>
    <t>5d 2h</t>
  </si>
  <si>
    <t>13d 3h</t>
  </si>
  <si>
    <t>10d 2h</t>
  </si>
  <si>
    <t>39d 3h</t>
  </si>
  <si>
    <t>23/05/2017 17:00</t>
  </si>
  <si>
    <t>135d</t>
  </si>
  <si>
    <t>48d 7h</t>
  </si>
  <si>
    <t>22d 7h</t>
  </si>
  <si>
    <t>5d 5h</t>
  </si>
  <si>
    <t>59d 2h</t>
  </si>
  <si>
    <t>23d 6h</t>
  </si>
  <si>
    <t>45d 1h</t>
  </si>
  <si>
    <t>24d 5h</t>
  </si>
  <si>
    <t>2h</t>
  </si>
  <si>
    <t>20d 2h</t>
  </si>
  <si>
    <t>18d 5h</t>
  </si>
  <si>
    <t>25d 2h</t>
  </si>
  <si>
    <t>24d 3h</t>
  </si>
  <si>
    <t>13/06/2017 17:00</t>
  </si>
  <si>
    <t>150d</t>
  </si>
  <si>
    <t>63d 7h</t>
  </si>
  <si>
    <t>28d 4h</t>
  </si>
  <si>
    <t>37d 7h</t>
  </si>
  <si>
    <t>44d 2h</t>
  </si>
  <si>
    <t>9d 3h</t>
  </si>
  <si>
    <t>2d 5h</t>
  </si>
  <si>
    <t>38d 6h</t>
  </si>
  <si>
    <t>30d 1h</t>
  </si>
  <si>
    <t>24d 7h</t>
  </si>
  <si>
    <t>35d 2h</t>
  </si>
  <si>
    <t>14d 6h</t>
  </si>
  <si>
    <t>33d 3h</t>
  </si>
  <si>
    <t>40d 2h</t>
  </si>
  <si>
    <t>4/07/2017 17:00</t>
  </si>
  <si>
    <t>165d</t>
  </si>
  <si>
    <t>78d 7h</t>
  </si>
  <si>
    <t>52d 7h</t>
  </si>
  <si>
    <t>29d 2h</t>
  </si>
  <si>
    <t>53d 6h</t>
  </si>
  <si>
    <t>15d 1h</t>
  </si>
  <si>
    <t>50d 2h</t>
  </si>
  <si>
    <t>29d 6h</t>
  </si>
  <si>
    <t>18d 3h</t>
  </si>
  <si>
    <t>55d 2h</t>
  </si>
  <si>
    <t>49d 5h</t>
  </si>
  <si>
    <t>25/07/2017 17:00</t>
  </si>
  <si>
    <t>180d</t>
  </si>
  <si>
    <t>93d 7h</t>
  </si>
  <si>
    <t>67d 7h</t>
  </si>
  <si>
    <t>14d 2h</t>
  </si>
  <si>
    <t>68d 6h</t>
  </si>
  <si>
    <t>1h</t>
  </si>
  <si>
    <t>65d 2h</t>
  </si>
  <si>
    <t>44d 6h</t>
  </si>
  <si>
    <t>3d 3h</t>
  </si>
  <si>
    <t>70d 2h</t>
  </si>
  <si>
    <t>15/08/2017 17:00</t>
  </si>
  <si>
    <t>195d</t>
  </si>
  <si>
    <t>108d 7h</t>
  </si>
  <si>
    <t>82d 1h</t>
  </si>
  <si>
    <t>6h</t>
  </si>
  <si>
    <t>16d 7h</t>
  </si>
  <si>
    <t>79d</t>
  </si>
  <si>
    <t>68d 7h</t>
  </si>
  <si>
    <t>80d 2h</t>
  </si>
  <si>
    <t>48d 1h</t>
  </si>
  <si>
    <t>14d 7h</t>
  </si>
  <si>
    <t>28d 5h</t>
  </si>
  <si>
    <t>85d 2h</t>
  </si>
  <si>
    <t>11d 5h</t>
  </si>
  <si>
    <t>9d 1h</t>
  </si>
  <si>
    <t>5/09/2017 17:00</t>
  </si>
  <si>
    <t>210d</t>
  </si>
  <si>
    <t>123d 7h</t>
  </si>
  <si>
    <t>15d 6h</t>
  </si>
  <si>
    <t>1d 7h</t>
  </si>
  <si>
    <t>95d 2h</t>
  </si>
  <si>
    <t>94d 3h</t>
  </si>
  <si>
    <t>20d 6h</t>
  </si>
  <si>
    <t>26/09/2017 17:00</t>
  </si>
  <si>
    <t>225d</t>
  </si>
  <si>
    <t>125d 6h</t>
  </si>
  <si>
    <t>17d 5h</t>
  </si>
  <si>
    <t>43d 4h</t>
  </si>
  <si>
    <t>20d 7h</t>
  </si>
  <si>
    <t>10d 7h</t>
  </si>
  <si>
    <t>17/10/2017 17:00</t>
  </si>
  <si>
    <t>240d</t>
  </si>
  <si>
    <t>34d 3h</t>
  </si>
  <si>
    <t>23d 4h</t>
  </si>
  <si>
    <t>1d 4h</t>
  </si>
  <si>
    <t>98d 5h</t>
  </si>
  <si>
    <t>7/11/2017 17:00</t>
  </si>
  <si>
    <t>255d</t>
  </si>
  <si>
    <t>16d 4h</t>
  </si>
  <si>
    <t>83d 5h</t>
  </si>
  <si>
    <t>28/11/2017 17:00</t>
  </si>
  <si>
    <t>270d</t>
  </si>
  <si>
    <t>31d 4h</t>
  </si>
  <si>
    <t>68d 5h</t>
  </si>
  <si>
    <t>19/12/2017 17:00</t>
  </si>
  <si>
    <t>285d</t>
  </si>
  <si>
    <t>46d 4h</t>
  </si>
  <si>
    <t>53d 5h</t>
  </si>
  <si>
    <t>9/01/2018 17:00</t>
  </si>
  <si>
    <t>300d</t>
  </si>
  <si>
    <t>61d 4h</t>
  </si>
  <si>
    <t>38d 5h</t>
  </si>
  <si>
    <t>30/01/2018 17:00</t>
  </si>
  <si>
    <t>315d</t>
  </si>
  <si>
    <t>76d 4h</t>
  </si>
  <si>
    <t>20/02/2018 17:00</t>
  </si>
  <si>
    <t>330d</t>
  </si>
  <si>
    <t>91d 4h</t>
  </si>
  <si>
    <t>8d 5h</t>
  </si>
  <si>
    <t>13/03/2018 17:00</t>
  </si>
  <si>
    <t>338d 5h</t>
  </si>
  <si>
    <t>100d 1h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</si>
  <si>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</si>
  <si>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</si>
  <si>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</si>
  <si>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</si>
  <si>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</si>
  <si>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</si>
  <si>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</si>
  <si>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</si>
  <si>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</si>
  <si>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</si>
  <si>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</si>
  <si>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</si>
  <si>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</si>
  <si>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</si>
  <si>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</si>
  <si>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</si>
  <si>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</si>
  <si>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</si>
  <si>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</si>
  <si>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</si>
  <si>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</si>
  <si>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</si>
  <si>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</si>
  <si>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</si>
  <si>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</si>
  <si>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</si>
  <si>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</si>
  <si>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</si>
  <si>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</si>
  <si>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</si>
  <si>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</si>
  <si>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</si>
  <si>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</si>
  <si>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</si>
  <si>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</si>
  <si>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</si>
  <si>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</si>
  <si>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</si>
  <si>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</si>
  <si>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</si>
  <si>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</si>
  <si>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</si>
  <si>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</si>
  <si>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</si>
  <si>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</si>
  <si>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</si>
  <si>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</si>
  <si>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</si>
  <si>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</si>
  <si>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</si>
  <si>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</si>
  <si>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</si>
  <si>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</si>
  <si>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</si>
  <si>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</si>
  <si>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</si>
  <si>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</si>
  <si>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</si>
  <si>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</si>
  <si>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</si>
  <si>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</si>
  <si>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</si>
  <si>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</si>
  <si>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</si>
  <si>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</si>
  <si>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</si>
  <si>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-4d 2h</t>
  </si>
  <si>
    <t>-1d 3h</t>
  </si>
  <si>
    <t>-3h</t>
  </si>
  <si>
    <t>-1d 6h</t>
  </si>
  <si>
    <t>-4d 5h</t>
  </si>
  <si>
    <t>-5d 2h</t>
  </si>
  <si>
    <t>1d 1h</t>
  </si>
  <si>
    <t>-9d</t>
  </si>
  <si>
    <t>-24d</t>
  </si>
  <si>
    <t>-4d</t>
  </si>
  <si>
    <t>-6d 2h</t>
  </si>
  <si>
    <t>19d</t>
  </si>
  <si>
    <t>Baseline duration (in calendar days)</t>
  </si>
  <si>
    <t>Cost (%)</t>
  </si>
  <si>
    <t>Optimistic (%)</t>
  </si>
  <si>
    <t>Most probable (%)</t>
  </si>
  <si>
    <t>Pessimistic (%)</t>
  </si>
  <si>
    <t>S</t>
  </si>
  <si>
    <t>SPI(t)</t>
  </si>
  <si>
    <t>CPI</t>
  </si>
  <si>
    <t>SPI</t>
  </si>
  <si>
    <t>SV(t)</t>
  </si>
  <si>
    <t>CPI threshold</t>
  </si>
  <si>
    <t>SPI(t) threshold</t>
  </si>
  <si>
    <t>Engineer2</t>
  </si>
  <si>
    <t>Admin[0.50 #2];Aankoop[0.50 #2];Engineer2[0.50 #5]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</si>
</sst>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#,##0.00\€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5" fillId="0" borderId="0" xfId="0" applyFont="1"/>
    <xf numFmtId="9" fontId="2" fillId="6" borderId="1" xfId="0" applyNumberFormat="1" applyFont="1" applyFill="1" applyBorder="1" applyAlignment="1">
      <alignment wrapText="1"/>
    </xf>
    <xf numFmtId="4" fontId="0" fillId="0" borderId="0" xfId="0" applyNumberFormat="1"/>
    <xf numFmtId="0" fontId="2" fillId="9" borderId="1" xfId="0" applyFont="1" applyFill="1" applyBorder="1" applyAlignment="1">
      <alignment wrapText="1"/>
    </xf>
    <xf numFmtId="166" fontId="2" fillId="9" borderId="1" xfId="0" applyNumberFormat="1" applyFont="1" applyFill="1" applyBorder="1" applyAlignment="1">
      <alignment wrapText="1"/>
    </xf>
    <xf numFmtId="2" fontId="2" fillId="9" borderId="1" xfId="0" applyNumberFormat="1" applyFont="1" applyFill="1" applyBorder="1" applyAlignment="1">
      <alignment wrapText="1"/>
    </xf>
    <xf numFmtId="1" fontId="2" fillId="9" borderId="1" xfId="0" applyNumberFormat="1" applyFont="1" applyFill="1" applyBorder="1" applyAlignment="1">
      <alignment wrapText="1"/>
    </xf>
    <xf numFmtId="164" fontId="0" fillId="0" borderId="0" xfId="0" applyNumberFormat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 b="1"/>
              <a:t>Baseline</a:t>
            </a:r>
            <a:r>
              <a:rPr lang="nl-BE" b="1" baseline="0"/>
              <a:t>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'Baseline Schedule'!$F$2</c:f>
              <c:strCache>
                <c:ptCount val="1"/>
                <c:pt idx="0">
                  <c:v>Baseline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('Baseline Schedule'!$B$5:$B$10,'Baseline Schedule'!$B$12:$B$14,'Baseline Schedule'!$B$16:$B$21,'Baseline Schedule'!$B$23:$B$27,'Baseline Schedule'!$B$29,'Baseline Schedule'!$B$31:$B$33,'Baseline Schedule'!$B$35:$B$37,'Baseline Schedule'!$B$39:$B$40,'Baseline Schedule'!$B$42:$B$44)</c:f>
              <c:strCache>
                <c:ptCount val="32"/>
                <c:pt idx="0">
                  <c:v>Analysis of bikes and bikes usage in gent by students</c:v>
                </c:pt>
                <c:pt idx="1">
                  <c:v>Properties of the bike</c:v>
                </c:pt>
                <c:pt idx="2">
                  <c:v>Determine amount of bikes needed and hot spots</c:v>
                </c:pt>
                <c:pt idx="3">
                  <c:v>research for possibledocking stations</c:v>
                </c:pt>
                <c:pt idx="4">
                  <c:v>Resarch amount of staff needed (extra contractors)</c:v>
                </c:pt>
                <c:pt idx="5">
                  <c:v>feasibility study</c:v>
                </c:pt>
                <c:pt idx="6">
                  <c:v>determine type and amound of vans</c:v>
                </c:pt>
                <c:pt idx="7">
                  <c:v>buy vans</c:v>
                </c:pt>
                <c:pt idx="8">
                  <c:v>adjust vans</c:v>
                </c:pt>
                <c:pt idx="9">
                  <c:v>Asking town for permission</c:v>
                </c:pt>
                <c:pt idx="10">
                  <c:v>Asking town for blue prints porwer network</c:v>
                </c:pt>
                <c:pt idx="11">
                  <c:v>meeting with bike suppliers and contracting</c:v>
                </c:pt>
                <c:pt idx="12">
                  <c:v>meeting with docking stations and tower suppliers and contracting</c:v>
                </c:pt>
                <c:pt idx="13">
                  <c:v>meeting with duct suppliers &amp; cable supliers &amp; contracting</c:v>
                </c:pt>
                <c:pt idx="14">
                  <c:v>meeting concrete suppliers</c:v>
                </c:pt>
                <c:pt idx="15">
                  <c:v>ICT contracter search</c:v>
                </c:pt>
                <c:pt idx="16">
                  <c:v>Developing app</c:v>
                </c:pt>
                <c:pt idx="17">
                  <c:v>developing pay system</c:v>
                </c:pt>
                <c:pt idx="18">
                  <c:v>Testing &amp; approve app</c:v>
                </c:pt>
                <c:pt idx="19">
                  <c:v>Testing &amp; approve pay system</c:v>
                </c:pt>
                <c:pt idx="20">
                  <c:v>construct bike repearing place</c:v>
                </c:pt>
                <c:pt idx="21">
                  <c:v>Delivery bikes  parts</c:v>
                </c:pt>
                <c:pt idx="22">
                  <c:v>delivery docking station &amp; power tower</c:v>
                </c:pt>
                <c:pt idx="23">
                  <c:v>delivery ducts</c:v>
                </c:pt>
                <c:pt idx="24">
                  <c:v>assembly docking station &amp; power tower</c:v>
                </c:pt>
                <c:pt idx="25">
                  <c:v>assembly bikes  &amp; Testing</c:v>
                </c:pt>
                <c:pt idx="26">
                  <c:v>assembly ducts</c:v>
                </c:pt>
                <c:pt idx="27">
                  <c:v>Construction 1</c:v>
                </c:pt>
                <c:pt idx="28">
                  <c:v>Construction 2</c:v>
                </c:pt>
                <c:pt idx="29">
                  <c:v>Placing bikes</c:v>
                </c:pt>
                <c:pt idx="30">
                  <c:v>Final testing the total system</c:v>
                </c:pt>
                <c:pt idx="31">
                  <c:v>Project buffer</c:v>
                </c:pt>
              </c:strCache>
            </c:strRef>
          </c:cat>
          <c:val>
            <c:numRef>
              <c:f>('Baseline Schedule'!$F$5:$F$10,'Baseline Schedule'!$F$12:$F$14,'Baseline Schedule'!$F$16:$F$21,'Baseline Schedule'!$F$23:$F$27,'Baseline Schedule'!$F$29,'Baseline Schedule'!$F$31:$F$33,'Baseline Schedule'!$F$35:$F$37,'Baseline Schedule'!$F$39:$F$40,'Baseline Schedule'!$F$42:$F$44)</c:f>
              <c:numCache>
                <c:formatCode>dd/mm/yyyy\ h:mm</c:formatCode>
                <c:ptCount val="32"/>
                <c:pt idx="0">
                  <c:v>42690.333333333299</c:v>
                </c:pt>
                <c:pt idx="1">
                  <c:v>42710.333333333299</c:v>
                </c:pt>
                <c:pt idx="2">
                  <c:v>42710.333333333299</c:v>
                </c:pt>
                <c:pt idx="3">
                  <c:v>42717.333333333299</c:v>
                </c:pt>
                <c:pt idx="4">
                  <c:v>42745.333333333299</c:v>
                </c:pt>
                <c:pt idx="5">
                  <c:v>42752.333333333299</c:v>
                </c:pt>
                <c:pt idx="6">
                  <c:v>42717.333333333299</c:v>
                </c:pt>
                <c:pt idx="7">
                  <c:v>42720.333333333299</c:v>
                </c:pt>
                <c:pt idx="8">
                  <c:v>42741.333333333299</c:v>
                </c:pt>
                <c:pt idx="9">
                  <c:v>42761.333333333299</c:v>
                </c:pt>
                <c:pt idx="10">
                  <c:v>42803.333333333299</c:v>
                </c:pt>
                <c:pt idx="11">
                  <c:v>42803.333333333299</c:v>
                </c:pt>
                <c:pt idx="12">
                  <c:v>42803.333333333299</c:v>
                </c:pt>
                <c:pt idx="13">
                  <c:v>42803.333333333299</c:v>
                </c:pt>
                <c:pt idx="14">
                  <c:v>42803.333333333299</c:v>
                </c:pt>
                <c:pt idx="15">
                  <c:v>42803.333333333299</c:v>
                </c:pt>
                <c:pt idx="16">
                  <c:v>42829.333333333299</c:v>
                </c:pt>
                <c:pt idx="17">
                  <c:v>42829.333333333299</c:v>
                </c:pt>
                <c:pt idx="18">
                  <c:v>42908.333333333299</c:v>
                </c:pt>
                <c:pt idx="19">
                  <c:v>42908.333333333299</c:v>
                </c:pt>
                <c:pt idx="20">
                  <c:v>42762.333333333299</c:v>
                </c:pt>
                <c:pt idx="21">
                  <c:v>42859.333333333299</c:v>
                </c:pt>
                <c:pt idx="22">
                  <c:v>42852.333333333299</c:v>
                </c:pt>
                <c:pt idx="23">
                  <c:v>42824.333333333299</c:v>
                </c:pt>
                <c:pt idx="24">
                  <c:v>42894.333333333299</c:v>
                </c:pt>
                <c:pt idx="25">
                  <c:v>42929.333333333299</c:v>
                </c:pt>
                <c:pt idx="26">
                  <c:v>42850.333333333299</c:v>
                </c:pt>
                <c:pt idx="27">
                  <c:v>42831.333333333299</c:v>
                </c:pt>
                <c:pt idx="28">
                  <c:v>42957.333333333299</c:v>
                </c:pt>
                <c:pt idx="29">
                  <c:v>43011.333333333299</c:v>
                </c:pt>
                <c:pt idx="30">
                  <c:v>43032.333333333299</c:v>
                </c:pt>
                <c:pt idx="31">
                  <c:v>43068.333333333299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A-4756-A2EA-1D93D1757CD4}"/>
            </c:ext>
          </c:extLst>
        </c:ser>
        <c:ser>
          <c:idx val="1"/>
          <c:order val="1"/>
          <c:tx>
            <c:strRef>
              <c:f>'Baseline Schedule'!$P$2</c:f>
              <c:strCache>
                <c:ptCount val="1"/>
                <c:pt idx="0">
                  <c:v>Baseline duration (in calendar 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('Baseline Schedule'!$B$5:$B$10,'Baseline Schedule'!$B$12:$B$14,'Baseline Schedule'!$B$16:$B$21,'Baseline Schedule'!$B$23:$B$27,'Baseline Schedule'!$B$29,'Baseline Schedule'!$B$31:$B$33,'Baseline Schedule'!$B$35:$B$37,'Baseline Schedule'!$B$39:$B$40,'Baseline Schedule'!$B$42:$B$44)</c:f>
              <c:strCache>
                <c:ptCount val="32"/>
                <c:pt idx="0">
                  <c:v>Analysis of bikes and bikes usage in gent by students</c:v>
                </c:pt>
                <c:pt idx="1">
                  <c:v>Properties of the bike</c:v>
                </c:pt>
                <c:pt idx="2">
                  <c:v>Determine amount of bikes needed and hot spots</c:v>
                </c:pt>
                <c:pt idx="3">
                  <c:v>research for possibledocking stations</c:v>
                </c:pt>
                <c:pt idx="4">
                  <c:v>Resarch amount of staff needed (extra contractors)</c:v>
                </c:pt>
                <c:pt idx="5">
                  <c:v>feasibility study</c:v>
                </c:pt>
                <c:pt idx="6">
                  <c:v>determine type and amound of vans</c:v>
                </c:pt>
                <c:pt idx="7">
                  <c:v>buy vans</c:v>
                </c:pt>
                <c:pt idx="8">
                  <c:v>adjust vans</c:v>
                </c:pt>
                <c:pt idx="9">
                  <c:v>Asking town for permission</c:v>
                </c:pt>
                <c:pt idx="10">
                  <c:v>Asking town for blue prints porwer network</c:v>
                </c:pt>
                <c:pt idx="11">
                  <c:v>meeting with bike suppliers and contracting</c:v>
                </c:pt>
                <c:pt idx="12">
                  <c:v>meeting with docking stations and tower suppliers and contracting</c:v>
                </c:pt>
                <c:pt idx="13">
                  <c:v>meeting with duct suppliers &amp; cable supliers &amp; contracting</c:v>
                </c:pt>
                <c:pt idx="14">
                  <c:v>meeting concrete suppliers</c:v>
                </c:pt>
                <c:pt idx="15">
                  <c:v>ICT contracter search</c:v>
                </c:pt>
                <c:pt idx="16">
                  <c:v>Developing app</c:v>
                </c:pt>
                <c:pt idx="17">
                  <c:v>developing pay system</c:v>
                </c:pt>
                <c:pt idx="18">
                  <c:v>Testing &amp; approve app</c:v>
                </c:pt>
                <c:pt idx="19">
                  <c:v>Testing &amp; approve pay system</c:v>
                </c:pt>
                <c:pt idx="20">
                  <c:v>construct bike repearing place</c:v>
                </c:pt>
                <c:pt idx="21">
                  <c:v>Delivery bikes  parts</c:v>
                </c:pt>
                <c:pt idx="22">
                  <c:v>delivery docking station &amp; power tower</c:v>
                </c:pt>
                <c:pt idx="23">
                  <c:v>delivery ducts</c:v>
                </c:pt>
                <c:pt idx="24">
                  <c:v>assembly docking station &amp; power tower</c:v>
                </c:pt>
                <c:pt idx="25">
                  <c:v>assembly bikes  &amp; Testing</c:v>
                </c:pt>
                <c:pt idx="26">
                  <c:v>assembly ducts</c:v>
                </c:pt>
                <c:pt idx="27">
                  <c:v>Construction 1</c:v>
                </c:pt>
                <c:pt idx="28">
                  <c:v>Construction 2</c:v>
                </c:pt>
                <c:pt idx="29">
                  <c:v>Placing bikes</c:v>
                </c:pt>
                <c:pt idx="30">
                  <c:v>Final testing the total system</c:v>
                </c:pt>
                <c:pt idx="31">
                  <c:v>Project buffer</c:v>
                </c:pt>
              </c:strCache>
            </c:strRef>
          </c:cat>
          <c:val>
            <c:numRef>
              <c:f>('Baseline Schedule'!$P$5:$P$10,'Baseline Schedule'!$P$12:$P$14,'Baseline Schedule'!$P$16:$P$21,'Baseline Schedule'!$P$23:$P$27,'Baseline Schedule'!$P$29,'Baseline Schedule'!$P$31:$P$33,'Baseline Schedule'!$P$35:$P$37,'Baseline Schedule'!$P$39:$P$40,'Baseline Schedule'!$P$42:$P$44)</c:f>
              <c:numCache>
                <c:formatCode>General</c:formatCode>
                <c:ptCount val="32"/>
                <c:pt idx="0">
                  <c:v>19.375</c:v>
                </c:pt>
                <c:pt idx="1">
                  <c:v>3.375</c:v>
                </c:pt>
                <c:pt idx="2">
                  <c:v>6.375</c:v>
                </c:pt>
                <c:pt idx="3">
                  <c:v>27.375</c:v>
                </c:pt>
                <c:pt idx="4">
                  <c:v>6.375</c:v>
                </c:pt>
                <c:pt idx="5">
                  <c:v>8.375</c:v>
                </c:pt>
                <c:pt idx="6">
                  <c:v>2.375</c:v>
                </c:pt>
                <c:pt idx="7">
                  <c:v>20.375</c:v>
                </c:pt>
                <c:pt idx="8">
                  <c:v>20.375</c:v>
                </c:pt>
                <c:pt idx="9">
                  <c:v>41.375</c:v>
                </c:pt>
                <c:pt idx="10">
                  <c:v>27.375</c:v>
                </c:pt>
                <c:pt idx="11">
                  <c:v>55.375</c:v>
                </c:pt>
                <c:pt idx="12">
                  <c:v>48.375</c:v>
                </c:pt>
                <c:pt idx="13">
                  <c:v>20.375</c:v>
                </c:pt>
                <c:pt idx="14">
                  <c:v>13.375</c:v>
                </c:pt>
                <c:pt idx="15">
                  <c:v>25.375</c:v>
                </c:pt>
                <c:pt idx="16">
                  <c:v>78.375</c:v>
                </c:pt>
                <c:pt idx="17">
                  <c:v>78.375</c:v>
                </c:pt>
                <c:pt idx="18">
                  <c:v>15.375</c:v>
                </c:pt>
                <c:pt idx="19">
                  <c:v>15.375</c:v>
                </c:pt>
                <c:pt idx="20">
                  <c:v>32.375</c:v>
                </c:pt>
                <c:pt idx="21">
                  <c:v>69.375</c:v>
                </c:pt>
                <c:pt idx="22">
                  <c:v>41.375</c:v>
                </c:pt>
                <c:pt idx="23">
                  <c:v>25.375</c:v>
                </c:pt>
                <c:pt idx="24">
                  <c:v>62.375</c:v>
                </c:pt>
                <c:pt idx="25">
                  <c:v>49.375</c:v>
                </c:pt>
                <c:pt idx="26">
                  <c:v>23.375</c:v>
                </c:pt>
                <c:pt idx="27">
                  <c:v>89.375</c:v>
                </c:pt>
                <c:pt idx="28">
                  <c:v>53.375</c:v>
                </c:pt>
                <c:pt idx="29">
                  <c:v>20.375</c:v>
                </c:pt>
                <c:pt idx="30">
                  <c:v>35.375</c:v>
                </c:pt>
                <c:pt idx="31">
                  <c:v>111.375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A-4756-A2EA-1D93D1757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6"/>
        <c:overlap val="100"/>
        <c:axId val="745739656"/>
        <c:axId val="745739976"/>
      </c:barChart>
      <c:catAx>
        <c:axId val="7457396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745739976"/>
        <c:crosses val="autoZero"/>
        <c:auto val="1"/>
        <c:lblAlgn val="ctr"/>
        <c:lblOffset val="100"/>
        <c:noMultiLvlLbl val="0"/>
      </c:catAx>
      <c:valAx>
        <c:axId val="745739976"/>
        <c:scaling>
          <c:orientation val="minMax"/>
          <c:max val="43190"/>
          <c:min val="426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dd/mm/yyyy\ 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745739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Rescources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Resources!$S$2</c:f>
              <c:strCache>
                <c:ptCount val="1"/>
                <c:pt idx="0">
                  <c:v>Cost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11-4E23-B5DC-3D6A57B7D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11-4E23-B5DC-3D6A57B7D4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11-4E23-B5DC-3D6A57B7D4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11-4E23-B5DC-3D6A57B7D4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11-4E23-B5DC-3D6A57B7D4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11-4E23-B5DC-3D6A57B7D4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A11-4E23-B5DC-3D6A57B7D4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A11-4E23-B5DC-3D6A57B7D4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A11-4E23-B5DC-3D6A57B7D4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Resources!$B$3:$B$10</c:f>
              <c:strCache>
                <c:ptCount val="8"/>
                <c:pt idx="0">
                  <c:v>Engineer</c:v>
                </c:pt>
                <c:pt idx="1">
                  <c:v>Electr</c:v>
                </c:pt>
                <c:pt idx="2">
                  <c:v>Arb</c:v>
                </c:pt>
                <c:pt idx="3">
                  <c:v>Admin</c:v>
                </c:pt>
                <c:pt idx="4">
                  <c:v>Aankoop</c:v>
                </c:pt>
                <c:pt idx="5">
                  <c:v>Concrete Worker</c:v>
                </c:pt>
                <c:pt idx="6">
                  <c:v>Construction Labor</c:v>
                </c:pt>
                <c:pt idx="7">
                  <c:v>Engineer2</c:v>
                </c:pt>
              </c:strCache>
            </c:strRef>
          </c:cat>
          <c:val>
            <c:numRef>
              <c:f>Resources!$S$3:$S$11</c:f>
              <c:numCache>
                <c:formatCode>0.00</c:formatCode>
                <c:ptCount val="9"/>
                <c:pt idx="0">
                  <c:v>29.085407714409218</c:v>
                </c:pt>
                <c:pt idx="1">
                  <c:v>0</c:v>
                </c:pt>
                <c:pt idx="2">
                  <c:v>53.334689414935546</c:v>
                </c:pt>
                <c:pt idx="3">
                  <c:v>5.7514810953749143</c:v>
                </c:pt>
                <c:pt idx="4">
                  <c:v>9.7688728419232618</c:v>
                </c:pt>
                <c:pt idx="5">
                  <c:v>0</c:v>
                </c:pt>
                <c:pt idx="6">
                  <c:v>0</c:v>
                </c:pt>
                <c:pt idx="7">
                  <c:v>2.0595489333570649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4-42CD-AB81-555E9A4BD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71807575023995784"/>
          <c:y val="0.2738261016206916"/>
          <c:w val="0.17765036757652572"/>
          <c:h val="0.513555585974953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 b="1"/>
              <a:t>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Analysis'!$T$2</c:f>
              <c:strCache>
                <c:ptCount val="1"/>
                <c:pt idx="0">
                  <c:v>Optimistic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('Risk Analysis'!$B$5:$B$10,'Risk Analysis'!$B$12:$B$14,'Risk Analysis'!$B$16:$B$21,'Risk Analysis'!$B$23:$B$27,'Risk Analysis'!$B$29,'Risk Analysis'!$B$31:$B$33,'Risk Analysis'!$B$35:$B$37,'Risk Analysis'!$B$39:$B$40,'Risk Analysis'!$B$42:$B$44)</c:f>
              <c:strCache>
                <c:ptCount val="32"/>
                <c:pt idx="0">
                  <c:v>Analysis of bikes and bikes usage in gent by students</c:v>
                </c:pt>
                <c:pt idx="1">
                  <c:v>Properties of the bike</c:v>
                </c:pt>
                <c:pt idx="2">
                  <c:v>Determine amount of bikes needed and hot spots</c:v>
                </c:pt>
                <c:pt idx="3">
                  <c:v>research for possibledocking stations</c:v>
                </c:pt>
                <c:pt idx="4">
                  <c:v>Resarch amount of staff needed (extra contractors)</c:v>
                </c:pt>
                <c:pt idx="5">
                  <c:v>feasibility study</c:v>
                </c:pt>
                <c:pt idx="6">
                  <c:v>determine type and amound of vans</c:v>
                </c:pt>
                <c:pt idx="7">
                  <c:v>buy vans</c:v>
                </c:pt>
                <c:pt idx="8">
                  <c:v>adjust vans</c:v>
                </c:pt>
                <c:pt idx="9">
                  <c:v>Asking town for permission</c:v>
                </c:pt>
                <c:pt idx="10">
                  <c:v>Asking town for blue prints porwer network</c:v>
                </c:pt>
                <c:pt idx="11">
                  <c:v>meeting with bike suppliers and contracting</c:v>
                </c:pt>
                <c:pt idx="12">
                  <c:v>meeting with docking stations and tower suppliers and contracting</c:v>
                </c:pt>
                <c:pt idx="13">
                  <c:v>meeting with duct suppliers &amp; cable supliers &amp; contracting</c:v>
                </c:pt>
                <c:pt idx="14">
                  <c:v>meeting concrete suppliers</c:v>
                </c:pt>
                <c:pt idx="15">
                  <c:v>ICT contracter search</c:v>
                </c:pt>
                <c:pt idx="16">
                  <c:v>Developing app</c:v>
                </c:pt>
                <c:pt idx="17">
                  <c:v>developing pay system</c:v>
                </c:pt>
                <c:pt idx="18">
                  <c:v>Testing &amp; approve app</c:v>
                </c:pt>
                <c:pt idx="19">
                  <c:v>Testing &amp; approve pay system</c:v>
                </c:pt>
                <c:pt idx="20">
                  <c:v>construct bike repearing place</c:v>
                </c:pt>
                <c:pt idx="21">
                  <c:v>Delivery bikes  parts</c:v>
                </c:pt>
                <c:pt idx="22">
                  <c:v>delivery docking station &amp; power tower</c:v>
                </c:pt>
                <c:pt idx="23">
                  <c:v>delivery ducts</c:v>
                </c:pt>
                <c:pt idx="24">
                  <c:v>assembly docking station &amp; power tower</c:v>
                </c:pt>
                <c:pt idx="25">
                  <c:v>assembly bikes  &amp; Testing</c:v>
                </c:pt>
                <c:pt idx="26">
                  <c:v>assembly ducts</c:v>
                </c:pt>
                <c:pt idx="27">
                  <c:v>Construction 1</c:v>
                </c:pt>
                <c:pt idx="28">
                  <c:v>Construction 2</c:v>
                </c:pt>
                <c:pt idx="29">
                  <c:v>Placing bikes</c:v>
                </c:pt>
                <c:pt idx="30">
                  <c:v>Final testing the total system</c:v>
                </c:pt>
                <c:pt idx="31">
                  <c:v>Project buffer</c:v>
                </c:pt>
              </c:strCache>
            </c:strRef>
          </c:cat>
          <c:val>
            <c:numRef>
              <c:f>('Risk Analysis'!$T$5:$T$10,'Risk Analysis'!$T$12:$T$14,'Risk Analysis'!$T$16:$T$21,'Risk Analysis'!$T$23:$T$27,'Risk Analysis'!$T$29,'Risk Analysis'!$T$31,'Risk Analysis'!$T$32,'Risk Analysis'!$T$33,'Risk Analysis'!$T$35:$T$37,'Risk Analysis'!$T$39:$T$40,'Risk Analysis'!$T$42:$T$44)</c:f>
              <c:numCache>
                <c:formatCode>0</c:formatCode>
                <c:ptCount val="32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E-4BFB-90B2-7075B68E8174}"/>
            </c:ext>
          </c:extLst>
        </c:ser>
        <c:ser>
          <c:idx val="1"/>
          <c:order val="1"/>
          <c:tx>
            <c:strRef>
              <c:f>'Risk Analysis'!$U$2</c:f>
              <c:strCache>
                <c:ptCount val="1"/>
                <c:pt idx="0">
                  <c:v>Most probable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('Risk Analysis'!$B$5:$B$10,'Risk Analysis'!$B$12:$B$14,'Risk Analysis'!$B$16:$B$21,'Risk Analysis'!$B$23:$B$27,'Risk Analysis'!$B$29,'Risk Analysis'!$B$31:$B$33,'Risk Analysis'!$B$35:$B$37,'Risk Analysis'!$B$39:$B$40,'Risk Analysis'!$B$42:$B$44)</c:f>
              <c:strCache>
                <c:ptCount val="32"/>
                <c:pt idx="0">
                  <c:v>Analysis of bikes and bikes usage in gent by students</c:v>
                </c:pt>
                <c:pt idx="1">
                  <c:v>Properties of the bike</c:v>
                </c:pt>
                <c:pt idx="2">
                  <c:v>Determine amount of bikes needed and hot spots</c:v>
                </c:pt>
                <c:pt idx="3">
                  <c:v>research for possibledocking stations</c:v>
                </c:pt>
                <c:pt idx="4">
                  <c:v>Resarch amount of staff needed (extra contractors)</c:v>
                </c:pt>
                <c:pt idx="5">
                  <c:v>feasibility study</c:v>
                </c:pt>
                <c:pt idx="6">
                  <c:v>determine type and amound of vans</c:v>
                </c:pt>
                <c:pt idx="7">
                  <c:v>buy vans</c:v>
                </c:pt>
                <c:pt idx="8">
                  <c:v>adjust vans</c:v>
                </c:pt>
                <c:pt idx="9">
                  <c:v>Asking town for permission</c:v>
                </c:pt>
                <c:pt idx="10">
                  <c:v>Asking town for blue prints porwer network</c:v>
                </c:pt>
                <c:pt idx="11">
                  <c:v>meeting with bike suppliers and contracting</c:v>
                </c:pt>
                <c:pt idx="12">
                  <c:v>meeting with docking stations and tower suppliers and contracting</c:v>
                </c:pt>
                <c:pt idx="13">
                  <c:v>meeting with duct suppliers &amp; cable supliers &amp; contracting</c:v>
                </c:pt>
                <c:pt idx="14">
                  <c:v>meeting concrete suppliers</c:v>
                </c:pt>
                <c:pt idx="15">
                  <c:v>ICT contracter search</c:v>
                </c:pt>
                <c:pt idx="16">
                  <c:v>Developing app</c:v>
                </c:pt>
                <c:pt idx="17">
                  <c:v>developing pay system</c:v>
                </c:pt>
                <c:pt idx="18">
                  <c:v>Testing &amp; approve app</c:v>
                </c:pt>
                <c:pt idx="19">
                  <c:v>Testing &amp; approve pay system</c:v>
                </c:pt>
                <c:pt idx="20">
                  <c:v>construct bike repearing place</c:v>
                </c:pt>
                <c:pt idx="21">
                  <c:v>Delivery bikes  parts</c:v>
                </c:pt>
                <c:pt idx="22">
                  <c:v>delivery docking station &amp; power tower</c:v>
                </c:pt>
                <c:pt idx="23">
                  <c:v>delivery ducts</c:v>
                </c:pt>
                <c:pt idx="24">
                  <c:v>assembly docking station &amp; power tower</c:v>
                </c:pt>
                <c:pt idx="25">
                  <c:v>assembly bikes  &amp; Testing</c:v>
                </c:pt>
                <c:pt idx="26">
                  <c:v>assembly ducts</c:v>
                </c:pt>
                <c:pt idx="27">
                  <c:v>Construction 1</c:v>
                </c:pt>
                <c:pt idx="28">
                  <c:v>Construction 2</c:v>
                </c:pt>
                <c:pt idx="29">
                  <c:v>Placing bikes</c:v>
                </c:pt>
                <c:pt idx="30">
                  <c:v>Final testing the total system</c:v>
                </c:pt>
                <c:pt idx="31">
                  <c:v>Project buffer</c:v>
                </c:pt>
              </c:strCache>
            </c:strRef>
          </c:cat>
          <c:val>
            <c:numRef>
              <c:f>('Risk Analysis'!$U$5,'Risk Analysis'!$U$6:$U$10,'Risk Analysis'!$U$12:$U$14,'Risk Analysis'!$U$16:$U$21,'Risk Analysis'!$U$23:$U$27,'Risk Analysis'!$U$29,'Risk Analysis'!$U$31:$U$33,'Risk Analysis'!$U$35:$U$37,'Risk Analysis'!$U$39:$U$40,'Risk Analysis'!$U$42:$U$44)</c:f>
              <c:numCache>
                <c:formatCode>0</c:formatCode>
                <c:ptCount val="3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DE-4BFB-90B2-7075B68E8174}"/>
            </c:ext>
          </c:extLst>
        </c:ser>
        <c:ser>
          <c:idx val="2"/>
          <c:order val="2"/>
          <c:tx>
            <c:strRef>
              <c:f>'Risk Analysis'!$V$2</c:f>
              <c:strCache>
                <c:ptCount val="1"/>
                <c:pt idx="0">
                  <c:v>Pessimistic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('Risk Analysis'!$B$5:$B$10,'Risk Analysis'!$B$12:$B$14,'Risk Analysis'!$B$16:$B$21,'Risk Analysis'!$B$23:$B$27,'Risk Analysis'!$B$29,'Risk Analysis'!$B$31:$B$33,'Risk Analysis'!$B$35:$B$37,'Risk Analysis'!$B$39:$B$40,'Risk Analysis'!$B$42:$B$44)</c:f>
              <c:strCache>
                <c:ptCount val="32"/>
                <c:pt idx="0">
                  <c:v>Analysis of bikes and bikes usage in gent by students</c:v>
                </c:pt>
                <c:pt idx="1">
                  <c:v>Properties of the bike</c:v>
                </c:pt>
                <c:pt idx="2">
                  <c:v>Determine amount of bikes needed and hot spots</c:v>
                </c:pt>
                <c:pt idx="3">
                  <c:v>research for possibledocking stations</c:v>
                </c:pt>
                <c:pt idx="4">
                  <c:v>Resarch amount of staff needed (extra contractors)</c:v>
                </c:pt>
                <c:pt idx="5">
                  <c:v>feasibility study</c:v>
                </c:pt>
                <c:pt idx="6">
                  <c:v>determine type and amound of vans</c:v>
                </c:pt>
                <c:pt idx="7">
                  <c:v>buy vans</c:v>
                </c:pt>
                <c:pt idx="8">
                  <c:v>adjust vans</c:v>
                </c:pt>
                <c:pt idx="9">
                  <c:v>Asking town for permission</c:v>
                </c:pt>
                <c:pt idx="10">
                  <c:v>Asking town for blue prints porwer network</c:v>
                </c:pt>
                <c:pt idx="11">
                  <c:v>meeting with bike suppliers and contracting</c:v>
                </c:pt>
                <c:pt idx="12">
                  <c:v>meeting with docking stations and tower suppliers and contracting</c:v>
                </c:pt>
                <c:pt idx="13">
                  <c:v>meeting with duct suppliers &amp; cable supliers &amp; contracting</c:v>
                </c:pt>
                <c:pt idx="14">
                  <c:v>meeting concrete suppliers</c:v>
                </c:pt>
                <c:pt idx="15">
                  <c:v>ICT contracter search</c:v>
                </c:pt>
                <c:pt idx="16">
                  <c:v>Developing app</c:v>
                </c:pt>
                <c:pt idx="17">
                  <c:v>developing pay system</c:v>
                </c:pt>
                <c:pt idx="18">
                  <c:v>Testing &amp; approve app</c:v>
                </c:pt>
                <c:pt idx="19">
                  <c:v>Testing &amp; approve pay system</c:v>
                </c:pt>
                <c:pt idx="20">
                  <c:v>construct bike repearing place</c:v>
                </c:pt>
                <c:pt idx="21">
                  <c:v>Delivery bikes  parts</c:v>
                </c:pt>
                <c:pt idx="22">
                  <c:v>delivery docking station &amp; power tower</c:v>
                </c:pt>
                <c:pt idx="23">
                  <c:v>delivery ducts</c:v>
                </c:pt>
                <c:pt idx="24">
                  <c:v>assembly docking station &amp; power tower</c:v>
                </c:pt>
                <c:pt idx="25">
                  <c:v>assembly bikes  &amp; Testing</c:v>
                </c:pt>
                <c:pt idx="26">
                  <c:v>assembly ducts</c:v>
                </c:pt>
                <c:pt idx="27">
                  <c:v>Construction 1</c:v>
                </c:pt>
                <c:pt idx="28">
                  <c:v>Construction 2</c:v>
                </c:pt>
                <c:pt idx="29">
                  <c:v>Placing bikes</c:v>
                </c:pt>
                <c:pt idx="30">
                  <c:v>Final testing the total system</c:v>
                </c:pt>
                <c:pt idx="31">
                  <c:v>Project buffer</c:v>
                </c:pt>
              </c:strCache>
            </c:strRef>
          </c:cat>
          <c:val>
            <c:numRef>
              <c:f>('Risk Analysis'!$V$5:$V$10,'Risk Analysis'!$V$12:$V$14,'Risk Analysis'!$V$16:$V$21,'Risk Analysis'!$V$23,'Risk Analysis'!$V$24,'Risk Analysis'!$V$25,'Risk Analysis'!$V$26,'Risk Analysis'!$V$27,'Risk Analysis'!$V$29,'Risk Analysis'!$V$31:$V$33,'Risk Analysis'!$V$35:$V$37,'Risk Analysis'!$V$39:$V$40,'Risk Analysis'!$V$42:$V$44)</c:f>
              <c:numCache>
                <c:formatCode>0</c:formatCode>
                <c:ptCount val="32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E-4BFB-90B2-7075B68E8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9564536"/>
        <c:axId val="579566456"/>
      </c:barChart>
      <c:catAx>
        <c:axId val="57956453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 b="1"/>
                  <a:t>Activities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79566456"/>
        <c:crosses val="autoZero"/>
        <c:auto val="1"/>
        <c:lblAlgn val="ctr"/>
        <c:lblOffset val="100"/>
        <c:noMultiLvlLbl val="0"/>
      </c:catAx>
      <c:valAx>
        <c:axId val="5795664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Duration relative to baseline duration (%)</a:t>
                </a:r>
                <a:endParaRPr lang="nl-BE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7956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Overview'!$F$3:$F$25</c:f>
              <c:numCache>
                <c:formatCode>#,##0.00\€</c:formatCode>
                <c:ptCount val="23"/>
                <c:pt idx="0">
                  <c:v>10800</c:v>
                </c:pt>
                <c:pt idx="1">
                  <c:v>63630</c:v>
                </c:pt>
                <c:pt idx="2">
                  <c:v>69547</c:v>
                </c:pt>
                <c:pt idx="3">
                  <c:v>80139</c:v>
                </c:pt>
                <c:pt idx="4">
                  <c:v>95739</c:v>
                </c:pt>
                <c:pt idx="5">
                  <c:v>109335</c:v>
                </c:pt>
                <c:pt idx="6">
                  <c:v>182394.5</c:v>
                </c:pt>
                <c:pt idx="7">
                  <c:v>1178380</c:v>
                </c:pt>
                <c:pt idx="8">
                  <c:v>1188331</c:v>
                </c:pt>
                <c:pt idx="9">
                  <c:v>1282667.7999746799</c:v>
                </c:pt>
                <c:pt idx="10">
                  <c:v>1293179.79994893</c:v>
                </c:pt>
                <c:pt idx="11">
                  <c:v>1303691.7999231799</c:v>
                </c:pt>
                <c:pt idx="12">
                  <c:v>1584696.9999173901</c:v>
                </c:pt>
                <c:pt idx="13">
                  <c:v>1600728.9999173901</c:v>
                </c:pt>
                <c:pt idx="14">
                  <c:v>1615032.9999173901</c:v>
                </c:pt>
                <c:pt idx="15">
                  <c:v>1715032.9999173901</c:v>
                </c:pt>
                <c:pt idx="16">
                  <c:v>1715032.9999173901</c:v>
                </c:pt>
                <c:pt idx="17">
                  <c:v>1715032.9999173901</c:v>
                </c:pt>
                <c:pt idx="18">
                  <c:v>1715032.9999173901</c:v>
                </c:pt>
                <c:pt idx="19">
                  <c:v>1715032.9999173901</c:v>
                </c:pt>
                <c:pt idx="20">
                  <c:v>1715032.9999173901</c:v>
                </c:pt>
                <c:pt idx="21">
                  <c:v>1715032.9999173901</c:v>
                </c:pt>
                <c:pt idx="22">
                  <c:v>1715032.9999173901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1F-4222-A7CF-F55D4EA437E9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Overview'!$E$3:$E$25</c:f>
              <c:numCache>
                <c:formatCode>#,##0.00\€</c:formatCode>
                <c:ptCount val="23"/>
                <c:pt idx="0">
                  <c:v>7803.8707351684598</c:v>
                </c:pt>
                <c:pt idx="1">
                  <c:v>61786.666746139497</c:v>
                </c:pt>
                <c:pt idx="2">
                  <c:v>68927.035338401794</c:v>
                </c:pt>
                <c:pt idx="3">
                  <c:v>78440.8370742798</c:v>
                </c:pt>
                <c:pt idx="4">
                  <c:v>91146.128051757798</c:v>
                </c:pt>
                <c:pt idx="5">
                  <c:v>103221.441304803</c:v>
                </c:pt>
                <c:pt idx="6">
                  <c:v>176170.39205503499</c:v>
                </c:pt>
                <c:pt idx="7">
                  <c:v>1171812.92606735</c:v>
                </c:pt>
                <c:pt idx="8">
                  <c:v>1181430</c:v>
                </c:pt>
                <c:pt idx="9">
                  <c:v>1275095.57964628</c:v>
                </c:pt>
                <c:pt idx="10">
                  <c:v>1284924.98197549</c:v>
                </c:pt>
                <c:pt idx="11">
                  <c:v>1294754.3843047</c:v>
                </c:pt>
                <c:pt idx="12">
                  <c:v>1573636.3447408699</c:v>
                </c:pt>
                <c:pt idx="13">
                  <c:v>1589393.58514309</c:v>
                </c:pt>
                <c:pt idx="14">
                  <c:v>1603349.9999227501</c:v>
                </c:pt>
                <c:pt idx="15">
                  <c:v>1703349.9999227501</c:v>
                </c:pt>
                <c:pt idx="16">
                  <c:v>1703349.9999227501</c:v>
                </c:pt>
                <c:pt idx="17">
                  <c:v>1703349.9999227501</c:v>
                </c:pt>
                <c:pt idx="18">
                  <c:v>1703349.9999227501</c:v>
                </c:pt>
                <c:pt idx="19">
                  <c:v>1703349.9999227501</c:v>
                </c:pt>
                <c:pt idx="20">
                  <c:v>1703349.9999227501</c:v>
                </c:pt>
                <c:pt idx="21">
                  <c:v>1703349.9999227501</c:v>
                </c:pt>
                <c:pt idx="22">
                  <c:v>1703349.9999227501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1F-4222-A7CF-F55D4EA437E9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Overview'!$D$3:$D$25</c:f>
              <c:numCache>
                <c:formatCode>#,##0.00\€</c:formatCode>
                <c:ptCount val="23"/>
                <c:pt idx="0">
                  <c:v>10800</c:v>
                </c:pt>
                <c:pt idx="1">
                  <c:v>62280</c:v>
                </c:pt>
                <c:pt idx="2">
                  <c:v>69064</c:v>
                </c:pt>
                <c:pt idx="3">
                  <c:v>80248</c:v>
                </c:pt>
                <c:pt idx="4">
                  <c:v>95848</c:v>
                </c:pt>
                <c:pt idx="5">
                  <c:v>108088</c:v>
                </c:pt>
                <c:pt idx="6">
                  <c:v>764878</c:v>
                </c:pt>
                <c:pt idx="7">
                  <c:v>1022398</c:v>
                </c:pt>
                <c:pt idx="8">
                  <c:v>1181430</c:v>
                </c:pt>
                <c:pt idx="9">
                  <c:v>1184233.1999931301</c:v>
                </c:pt>
                <c:pt idx="10">
                  <c:v>1362745.1999673799</c:v>
                </c:pt>
                <c:pt idx="11">
                  <c:v>1380169.19994164</c:v>
                </c:pt>
                <c:pt idx="12">
                  <c:v>1582613.9999227501</c:v>
                </c:pt>
                <c:pt idx="13">
                  <c:v>1591829.9999227501</c:v>
                </c:pt>
                <c:pt idx="14">
                  <c:v>1591829.9999227501</c:v>
                </c:pt>
                <c:pt idx="15">
                  <c:v>1600277.9999227501</c:v>
                </c:pt>
                <c:pt idx="16">
                  <c:v>1603349.9999227501</c:v>
                </c:pt>
                <c:pt idx="17">
                  <c:v>1603349.9999227501</c:v>
                </c:pt>
                <c:pt idx="18">
                  <c:v>1703349.9999227501</c:v>
                </c:pt>
                <c:pt idx="19">
                  <c:v>1703349.9999227501</c:v>
                </c:pt>
                <c:pt idx="20">
                  <c:v>1703349.9999227501</c:v>
                </c:pt>
                <c:pt idx="21">
                  <c:v>1703349.9999227501</c:v>
                </c:pt>
                <c:pt idx="22">
                  <c:v>1703349.9999227501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1F-4222-A7CF-F55D4EA4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Overview'!$AG$3:$AG$25</c:f>
              <c:numCache>
                <c:formatCode>0.0000</c:formatCode>
                <c:ptCount val="23"/>
                <c:pt idx="0">
                  <c:v>0.72258062362670905</c:v>
                </c:pt>
                <c:pt idx="1">
                  <c:v>0.97103043762595498</c:v>
                </c:pt>
                <c:pt idx="2">
                  <c:v>0.99108567355028698</c:v>
                </c:pt>
                <c:pt idx="3">
                  <c:v>0.97880978143325703</c:v>
                </c:pt>
                <c:pt idx="4">
                  <c:v>0.95202715770749402</c:v>
                </c:pt>
                <c:pt idx="5">
                  <c:v>0.94408415699275505</c:v>
                </c:pt>
                <c:pt idx="6">
                  <c:v>0.96587557220768505</c:v>
                </c:pt>
                <c:pt idx="7">
                  <c:v>0.99442703208417704</c:v>
                </c:pt>
                <c:pt idx="8">
                  <c:v>0.99419269546952804</c:v>
                </c:pt>
                <c:pt idx="9">
                  <c:v>0.99409650703903796</c:v>
                </c:pt>
                <c:pt idx="10">
                  <c:v>0.99361665100725305</c:v>
                </c:pt>
                <c:pt idx="11">
                  <c:v>0.99314453337896902</c:v>
                </c:pt>
                <c:pt idx="12">
                  <c:v>0.993020334374901</c:v>
                </c:pt>
                <c:pt idx="13">
                  <c:v>0.99291859223211199</c:v>
                </c:pt>
                <c:pt idx="14">
                  <c:v>0.99276609208899602</c:v>
                </c:pt>
                <c:pt idx="15">
                  <c:v>0.99318788618341503</c:v>
                </c:pt>
                <c:pt idx="16">
                  <c:v>0.99318788618341503</c:v>
                </c:pt>
                <c:pt idx="17">
                  <c:v>0.99318788618341503</c:v>
                </c:pt>
                <c:pt idx="18">
                  <c:v>0.99318788618341503</c:v>
                </c:pt>
                <c:pt idx="19">
                  <c:v>0.99318788618341503</c:v>
                </c:pt>
                <c:pt idx="20">
                  <c:v>0.99318788618341503</c:v>
                </c:pt>
                <c:pt idx="21">
                  <c:v>0.99318788618341503</c:v>
                </c:pt>
                <c:pt idx="22">
                  <c:v>0.99318788618341503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F-41E5-8625-85A21017E88A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0.71666666666666701</c:v>
                </c:pt>
                <c:pt idx="1">
                  <c:v>0.95416666666666705</c:v>
                </c:pt>
                <c:pt idx="2">
                  <c:v>0.99166666666666703</c:v>
                </c:pt>
                <c:pt idx="3">
                  <c:v>0.97083333333333299</c:v>
                </c:pt>
                <c:pt idx="4">
                  <c:v>0.93833333333333302</c:v>
                </c:pt>
                <c:pt idx="5">
                  <c:v>0.94166666666666698</c:v>
                </c:pt>
                <c:pt idx="6">
                  <c:v>0.95952380952381</c:v>
                </c:pt>
                <c:pt idx="7">
                  <c:v>1.0093749999999999</c:v>
                </c:pt>
                <c:pt idx="8" formatCode="General">
                  <c:v>1</c:v>
                </c:pt>
                <c:pt idx="9">
                  <c:v>1.0408333333333299</c:v>
                </c:pt>
                <c:pt idx="10">
                  <c:v>0.94545454545454499</c:v>
                </c:pt>
                <c:pt idx="11">
                  <c:v>0.86666666666666703</c:v>
                </c:pt>
                <c:pt idx="12">
                  <c:v>0.979487179487179</c:v>
                </c:pt>
                <c:pt idx="13">
                  <c:v>0.97023809523809501</c:v>
                </c:pt>
                <c:pt idx="14">
                  <c:v>1.0844444444444401</c:v>
                </c:pt>
                <c:pt idx="15">
                  <c:v>1.12552083333333</c:v>
                </c:pt>
                <c:pt idx="16">
                  <c:v>1.0593137254902001</c:v>
                </c:pt>
                <c:pt idx="17">
                  <c:v>1.00046296296296</c:v>
                </c:pt>
                <c:pt idx="18" formatCode="General">
                  <c:v>1</c:v>
                </c:pt>
                <c:pt idx="19" formatCode="General">
                  <c:v>1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F-41E5-8625-85A21017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0.71666666666666701</c:v>
                </c:pt>
                <c:pt idx="1">
                  <c:v>0.95416666666666705</c:v>
                </c:pt>
                <c:pt idx="2">
                  <c:v>0.99166666666666703</c:v>
                </c:pt>
                <c:pt idx="3">
                  <c:v>0.97083333333333299</c:v>
                </c:pt>
                <c:pt idx="4">
                  <c:v>0.93833333333333302</c:v>
                </c:pt>
                <c:pt idx="5">
                  <c:v>0.94166666666666698</c:v>
                </c:pt>
                <c:pt idx="6">
                  <c:v>0.95952380952381</c:v>
                </c:pt>
                <c:pt idx="7">
                  <c:v>1.0093749999999999</c:v>
                </c:pt>
                <c:pt idx="8" formatCode="General">
                  <c:v>1</c:v>
                </c:pt>
                <c:pt idx="9">
                  <c:v>1.0408333333333299</c:v>
                </c:pt>
                <c:pt idx="10">
                  <c:v>0.94545454545454499</c:v>
                </c:pt>
                <c:pt idx="11">
                  <c:v>0.86666666666666703</c:v>
                </c:pt>
                <c:pt idx="12">
                  <c:v>0.979487179487179</c:v>
                </c:pt>
                <c:pt idx="13">
                  <c:v>0.97023809523809501</c:v>
                </c:pt>
                <c:pt idx="14">
                  <c:v>1.0844444444444401</c:v>
                </c:pt>
                <c:pt idx="15">
                  <c:v>1.12552083333333</c:v>
                </c:pt>
                <c:pt idx="16">
                  <c:v>1.0593137254902001</c:v>
                </c:pt>
                <c:pt idx="17">
                  <c:v>1.00046296296296</c:v>
                </c:pt>
                <c:pt idx="18" formatCode="General">
                  <c:v>1</c:v>
                </c:pt>
                <c:pt idx="19" formatCode="General">
                  <c:v>1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9-4258-911B-DAEE42B0451E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Overview'!$AH$3:$AH$25</c:f>
              <c:numCache>
                <c:formatCode>0.0000</c:formatCode>
                <c:ptCount val="23"/>
                <c:pt idx="0">
                  <c:v>0.72258062362670905</c:v>
                </c:pt>
                <c:pt idx="1">
                  <c:v>0.99207878526235604</c:v>
                </c:pt>
                <c:pt idx="2">
                  <c:v>0.99801684435309002</c:v>
                </c:pt>
                <c:pt idx="3">
                  <c:v>0.97748027457730802</c:v>
                </c:pt>
                <c:pt idx="4">
                  <c:v>0.95094449599112996</c:v>
                </c:pt>
                <c:pt idx="5">
                  <c:v>0.95497595759753995</c:v>
                </c:pt>
                <c:pt idx="6">
                  <c:v>0.23032482573042301</c:v>
                </c:pt>
                <c:pt idx="7">
                  <c:v>1.14614164549163</c:v>
                </c:pt>
                <c:pt idx="8" formatCode="General">
                  <c:v>1</c:v>
                </c:pt>
                <c:pt idx="9">
                  <c:v>1.0767267626457899</c:v>
                </c:pt>
                <c:pt idx="10">
                  <c:v>0.94289452056498801</c:v>
                </c:pt>
                <c:pt idx="11">
                  <c:v>0.93811279396718095</c:v>
                </c:pt>
                <c:pt idx="12">
                  <c:v>0.99432732480420205</c:v>
                </c:pt>
                <c:pt idx="13">
                  <c:v>0.99846942526539795</c:v>
                </c:pt>
                <c:pt idx="14">
                  <c:v>1.00723695369516</c:v>
                </c:pt>
                <c:pt idx="15">
                  <c:v>1.0644088089725501</c:v>
                </c:pt>
                <c:pt idx="16">
                  <c:v>1.0623694140423601</c:v>
                </c:pt>
                <c:pt idx="17">
                  <c:v>1.0623694140423601</c:v>
                </c:pt>
                <c:pt idx="18" formatCode="General">
                  <c:v>1</c:v>
                </c:pt>
                <c:pt idx="19" formatCode="General">
                  <c:v>1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D9-4258-911B-DAEE42B0451E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Overview'!$AI$3:$AI$25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 formatCode="0.0000">
                  <c:v>0.99309625505767896</c:v>
                </c:pt>
                <c:pt idx="3" formatCode="0.0000">
                  <c:v>0.99232634159488298</c:v>
                </c:pt>
                <c:pt idx="4" formatCode="0.0000">
                  <c:v>0.99551243971546399</c:v>
                </c:pt>
                <c:pt idx="5" formatCode="0.0000">
                  <c:v>0.99565344206029105</c:v>
                </c:pt>
                <c:pt idx="6" formatCode="0.0000">
                  <c:v>0.98823896089027397</c:v>
                </c:pt>
                <c:pt idx="7" formatCode="0.0000">
                  <c:v>0.99869937508883</c:v>
                </c:pt>
                <c:pt idx="8">
                  <c:v>1</c:v>
                </c:pt>
                <c:pt idx="9" formatCode="0.0000">
                  <c:v>0.93807709931823202</c:v>
                </c:pt>
                <c:pt idx="10">
                  <c:v>1</c:v>
                </c:pt>
                <c:pt idx="11">
                  <c:v>1</c:v>
                </c:pt>
                <c:pt idx="12" formatCode="0.0000">
                  <c:v>0.99577057565195304</c:v>
                </c:pt>
                <c:pt idx="13" formatCode="0.0000">
                  <c:v>0.99612173229023404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D9-4258-911B-DAEE42B04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Overview'!$J$3:$J$25</c:f>
              <c:numCache>
                <c:formatCode>#,##0.00\€</c:formatCode>
                <c:ptCount val="23"/>
                <c:pt idx="0">
                  <c:v>-2996.1292648315398</c:v>
                </c:pt>
                <c:pt idx="1">
                  <c:v>-1843.33325386047</c:v>
                </c:pt>
                <c:pt idx="2">
                  <c:v>-619.96466159820602</c:v>
                </c:pt>
                <c:pt idx="3">
                  <c:v>-1698.1629257202101</c:v>
                </c:pt>
                <c:pt idx="4">
                  <c:v>-4592.8719482421902</c:v>
                </c:pt>
                <c:pt idx="5">
                  <c:v>-6113.55869519711</c:v>
                </c:pt>
                <c:pt idx="6">
                  <c:v>-6224.1079449653598</c:v>
                </c:pt>
                <c:pt idx="7">
                  <c:v>-6567.0739326477096</c:v>
                </c:pt>
                <c:pt idx="8">
                  <c:v>-6901</c:v>
                </c:pt>
                <c:pt idx="9">
                  <c:v>-7572.2203284034003</c:v>
                </c:pt>
                <c:pt idx="10">
                  <c:v>-8254.8179734447003</c:v>
                </c:pt>
                <c:pt idx="11">
                  <c:v>-8937.4156184857693</c:v>
                </c:pt>
                <c:pt idx="12">
                  <c:v>-11060.6551765203</c:v>
                </c:pt>
                <c:pt idx="13">
                  <c:v>-11335.414774298701</c:v>
                </c:pt>
                <c:pt idx="14">
                  <c:v>-11682.9999946356</c:v>
                </c:pt>
                <c:pt idx="15">
                  <c:v>-11682.9999946356</c:v>
                </c:pt>
                <c:pt idx="16">
                  <c:v>-11682.9999946356</c:v>
                </c:pt>
                <c:pt idx="17">
                  <c:v>-11682.9999946356</c:v>
                </c:pt>
                <c:pt idx="18">
                  <c:v>-11682.9999946356</c:v>
                </c:pt>
                <c:pt idx="19">
                  <c:v>-11682.9999946356</c:v>
                </c:pt>
                <c:pt idx="20">
                  <c:v>-11682.9999946356</c:v>
                </c:pt>
                <c:pt idx="21">
                  <c:v>-11682.9999946356</c:v>
                </c:pt>
                <c:pt idx="22">
                  <c:v>-11682.9999946356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7B-482C-A89E-C05216BB0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high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Overview'!$AJ$3:$AJ$25</c:f>
              <c:numCache>
                <c:formatCode>General</c:formatCode>
                <c:ptCount val="23"/>
                <c:pt idx="0">
                  <c:v>-4.25</c:v>
                </c:pt>
                <c:pt idx="1">
                  <c:v>-1.375</c:v>
                </c:pt>
                <c:pt idx="2">
                  <c:v>-3</c:v>
                </c:pt>
                <c:pt idx="3">
                  <c:v>-1.75</c:v>
                </c:pt>
                <c:pt idx="4">
                  <c:v>-4.625</c:v>
                </c:pt>
                <c:pt idx="5">
                  <c:v>-5.25</c:v>
                </c:pt>
                <c:pt idx="6">
                  <c:v>-4.25</c:v>
                </c:pt>
                <c:pt idx="7">
                  <c:v>1.125</c:v>
                </c:pt>
                <c:pt idx="8">
                  <c:v>0</c:v>
                </c:pt>
                <c:pt idx="9">
                  <c:v>6.125</c:v>
                </c:pt>
                <c:pt idx="10">
                  <c:v>-9</c:v>
                </c:pt>
                <c:pt idx="11">
                  <c:v>-24</c:v>
                </c:pt>
                <c:pt idx="12">
                  <c:v>-4</c:v>
                </c:pt>
                <c:pt idx="13">
                  <c:v>-6.25</c:v>
                </c:pt>
                <c:pt idx="14">
                  <c:v>19</c:v>
                </c:pt>
                <c:pt idx="15">
                  <c:v>30.125</c:v>
                </c:pt>
                <c:pt idx="16">
                  <c:v>15.125</c:v>
                </c:pt>
                <c:pt idx="17">
                  <c:v>0.125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6-427B-9592-6D3AC0CE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high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ax val="35"/>
          <c:min val="-2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Overview'!$AG$3:$AG$25</c:f>
              <c:numCache>
                <c:formatCode>0.0000</c:formatCode>
                <c:ptCount val="23"/>
                <c:pt idx="0">
                  <c:v>0.72258062362670905</c:v>
                </c:pt>
                <c:pt idx="1">
                  <c:v>0.97103043762595498</c:v>
                </c:pt>
                <c:pt idx="2">
                  <c:v>0.99108567355028698</c:v>
                </c:pt>
                <c:pt idx="3">
                  <c:v>0.97880978143325703</c:v>
                </c:pt>
                <c:pt idx="4">
                  <c:v>0.95202715770749402</c:v>
                </c:pt>
                <c:pt idx="5">
                  <c:v>0.94408415699275505</c:v>
                </c:pt>
                <c:pt idx="6">
                  <c:v>0.96587557220768505</c:v>
                </c:pt>
                <c:pt idx="7">
                  <c:v>0.99442703208417704</c:v>
                </c:pt>
                <c:pt idx="8">
                  <c:v>0.99419269546952804</c:v>
                </c:pt>
                <c:pt idx="9">
                  <c:v>0.99409650703903796</c:v>
                </c:pt>
                <c:pt idx="10">
                  <c:v>0.99361665100725305</c:v>
                </c:pt>
                <c:pt idx="11">
                  <c:v>0.99314453337896902</c:v>
                </c:pt>
                <c:pt idx="12">
                  <c:v>0.993020334374901</c:v>
                </c:pt>
                <c:pt idx="13">
                  <c:v>0.99291859223211199</c:v>
                </c:pt>
                <c:pt idx="14">
                  <c:v>0.99276609208899602</c:v>
                </c:pt>
                <c:pt idx="15">
                  <c:v>0.99318788618341503</c:v>
                </c:pt>
                <c:pt idx="16">
                  <c:v>0.99318788618341503</c:v>
                </c:pt>
                <c:pt idx="17">
                  <c:v>0.99318788618341503</c:v>
                </c:pt>
                <c:pt idx="18">
                  <c:v>0.99318788618341503</c:v>
                </c:pt>
                <c:pt idx="19">
                  <c:v>0.99318788618341503</c:v>
                </c:pt>
                <c:pt idx="20">
                  <c:v>0.99318788618341503</c:v>
                </c:pt>
                <c:pt idx="21">
                  <c:v>0.99318788618341503</c:v>
                </c:pt>
                <c:pt idx="22">
                  <c:v>0.99318788618341503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5-4C7E-840C-E71BC3DB686C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Overview'!$AK$3:$AK$25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5-4C7E-840C-E71BC3DB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3600000"/>
          <a:lstStyle/>
          <a:p>
            <a:pPr>
              <a:defRPr/>
            </a:pPr>
            <a:endParaRPr lang="nl-BE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Overview'!$AF$3:$AF$25</c:f>
              <c:numCache>
                <c:formatCode>0.0000</c:formatCode>
                <c:ptCount val="23"/>
                <c:pt idx="0">
                  <c:v>0.71666666666666701</c:v>
                </c:pt>
                <c:pt idx="1">
                  <c:v>0.95416666666666705</c:v>
                </c:pt>
                <c:pt idx="2">
                  <c:v>0.99166666666666703</c:v>
                </c:pt>
                <c:pt idx="3">
                  <c:v>0.97083333333333299</c:v>
                </c:pt>
                <c:pt idx="4">
                  <c:v>0.93833333333333302</c:v>
                </c:pt>
                <c:pt idx="5">
                  <c:v>0.94166666666666698</c:v>
                </c:pt>
                <c:pt idx="6">
                  <c:v>0.95952380952381</c:v>
                </c:pt>
                <c:pt idx="7">
                  <c:v>1.0093749999999999</c:v>
                </c:pt>
                <c:pt idx="8" formatCode="General">
                  <c:v>1</c:v>
                </c:pt>
                <c:pt idx="9">
                  <c:v>1.0408333333333299</c:v>
                </c:pt>
                <c:pt idx="10">
                  <c:v>0.94545454545454499</c:v>
                </c:pt>
                <c:pt idx="11">
                  <c:v>0.86666666666666703</c:v>
                </c:pt>
                <c:pt idx="12">
                  <c:v>0.979487179487179</c:v>
                </c:pt>
                <c:pt idx="13">
                  <c:v>0.97023809523809501</c:v>
                </c:pt>
                <c:pt idx="14">
                  <c:v>1.0844444444444401</c:v>
                </c:pt>
                <c:pt idx="15">
                  <c:v>1.12552083333333</c:v>
                </c:pt>
                <c:pt idx="16">
                  <c:v>1.0593137254902001</c:v>
                </c:pt>
                <c:pt idx="17">
                  <c:v>1.00046296296296</c:v>
                </c:pt>
                <c:pt idx="18" formatCode="General">
                  <c:v>1</c:v>
                </c:pt>
                <c:pt idx="19" formatCode="General">
                  <c:v>1</c:v>
                </c:pt>
                <c:pt idx="20" formatCode="General">
                  <c:v>1</c:v>
                </c:pt>
                <c:pt idx="21" formatCode="General">
                  <c:v>1</c:v>
                </c:pt>
                <c:pt idx="22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3D-443C-855A-0808AD32D001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Overview'!$A$3:$A$25</c:f>
              <c:strCache>
                <c:ptCount val="23"/>
                <c:pt idx="0">
                  <c:v>6/12/2016 17:00</c:v>
                </c:pt>
                <c:pt idx="1">
                  <c:v>27/12/2016 17:00</c:v>
                </c:pt>
                <c:pt idx="2">
                  <c:v>17/01/2017 17:00</c:v>
                </c:pt>
                <c:pt idx="3">
                  <c:v>7/02/2017 17:00</c:v>
                </c:pt>
                <c:pt idx="4">
                  <c:v>28/02/2017 17:00</c:v>
                </c:pt>
                <c:pt idx="5">
                  <c:v>21/03/2017 17:00</c:v>
                </c:pt>
                <c:pt idx="6">
                  <c:v>11/04/2017 17:00</c:v>
                </c:pt>
                <c:pt idx="7">
                  <c:v>2/05/2017 17:00</c:v>
                </c:pt>
                <c:pt idx="8">
                  <c:v>23/05/2017 17:00</c:v>
                </c:pt>
                <c:pt idx="9">
                  <c:v>13/06/2017 17:00</c:v>
                </c:pt>
                <c:pt idx="10">
                  <c:v>4/07/2017 17:00</c:v>
                </c:pt>
                <c:pt idx="11">
                  <c:v>25/07/2017 17:00</c:v>
                </c:pt>
                <c:pt idx="12">
                  <c:v>15/08/2017 17:00</c:v>
                </c:pt>
                <c:pt idx="13">
                  <c:v>5/09/2017 17:00</c:v>
                </c:pt>
                <c:pt idx="14">
                  <c:v>26/09/2017 17:00</c:v>
                </c:pt>
                <c:pt idx="15">
                  <c:v>17/10/2017 17:00</c:v>
                </c:pt>
                <c:pt idx="16">
                  <c:v>7/11/2017 17:00</c:v>
                </c:pt>
                <c:pt idx="17">
                  <c:v>28/11/2017 17:00</c:v>
                </c:pt>
                <c:pt idx="18">
                  <c:v>19/12/2017 17:00</c:v>
                </c:pt>
                <c:pt idx="19">
                  <c:v>9/01/2018 17:00</c:v>
                </c:pt>
                <c:pt idx="20">
                  <c:v>30/01/2018 17:00</c:v>
                </c:pt>
                <c:pt idx="21">
                  <c:v>20/02/2018 17:00</c:v>
                </c:pt>
                <c:pt idx="22">
                  <c:v>13/03/2018 17:00</c:v>
                </c:pt>
              </c:strCache>
            </c:strRef>
          </c:cat>
          <c:val>
            <c:numRef>
              <c:f>'Tracking Overview'!$AL$3:$AL$25</c:f>
              <c:numCache>
                <c:formatCode>General</c:formatCode>
                <c:ptCount val="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3D-443C-855A-0808AD32D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3900000"/>
          <a:lstStyle/>
          <a:p>
            <a:pPr>
              <a:defRPr/>
            </a:pPr>
            <a:endParaRPr lang="nl-BE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nl-BE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21</xdr:col>
      <xdr:colOff>600074</xdr:colOff>
      <xdr:row>39</xdr:row>
      <xdr:rowOff>95251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5218C005-D406-4FE4-A74F-3181E8F2B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1</xdr:row>
      <xdr:rowOff>14286</xdr:rowOff>
    </xdr:from>
    <xdr:to>
      <xdr:col>17</xdr:col>
      <xdr:colOff>600075</xdr:colOff>
      <xdr:row>16</xdr:row>
      <xdr:rowOff>161924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ABF67FF-03D7-4C70-AA4A-5CFCFAC27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180974</xdr:rowOff>
    </xdr:from>
    <xdr:to>
      <xdr:col>18</xdr:col>
      <xdr:colOff>266700</xdr:colOff>
      <xdr:row>36</xdr:row>
      <xdr:rowOff>114300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E986EBD9-E19E-4969-B445-D2814E1D9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81009A-821C-4A1B-9D52-DD6D20AAF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886BA-EE5C-4D95-97E5-76E2A0BFC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FAEBD-B7C0-449E-88BC-565E5B458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DDB71-D61F-4180-AD20-81AB7B0CF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64093-7E9B-4188-B86C-A880E411A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F4E5AF-7668-4F8C-B29F-8E738ED80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E8D0D-AB7C-4586-881D-0A36EE0C0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opLeftCell="A4" workbookViewId="0">
      <selection activeCell="G23" sqref="G23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6" x14ac:dyDescent="0.35">
      <c r="A1" s="25" t="s">
        <v>0</v>
      </c>
      <c r="B1" s="25"/>
      <c r="C1" s="25"/>
      <c r="D1" s="25" t="s">
        <v>1</v>
      </c>
      <c r="E1" s="25"/>
      <c r="F1" s="25" t="s">
        <v>2</v>
      </c>
      <c r="G1" s="25"/>
      <c r="H1" s="25"/>
      <c r="I1" s="25" t="s">
        <v>3</v>
      </c>
      <c r="J1" s="25"/>
      <c r="K1" s="25" t="s">
        <v>4</v>
      </c>
      <c r="L1" s="25"/>
      <c r="M1" s="25"/>
      <c r="N1" s="25"/>
    </row>
    <row r="2" spans="1:16" ht="51.75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P2" s="1" t="s">
        <v>525</v>
      </c>
    </row>
    <row r="3" spans="1:16" x14ac:dyDescent="0.35">
      <c r="A3" s="2">
        <v>0</v>
      </c>
      <c r="B3" s="3" t="s">
        <v>18</v>
      </c>
      <c r="C3" s="4" t="s">
        <v>19</v>
      </c>
      <c r="D3" s="2"/>
      <c r="E3" s="2"/>
      <c r="F3" s="5">
        <v>42690.333333333336</v>
      </c>
      <c r="G3" s="5">
        <v>43179.708333333299</v>
      </c>
      <c r="H3" s="2" t="s">
        <v>20</v>
      </c>
      <c r="I3" s="2"/>
      <c r="J3" s="6"/>
      <c r="K3" s="6">
        <v>1546034</v>
      </c>
      <c r="L3" s="6"/>
      <c r="M3" s="6"/>
      <c r="N3" s="6">
        <v>1703349.9999227501</v>
      </c>
      <c r="P3" s="20">
        <f>G3-F3</f>
        <v>489.37499999996362</v>
      </c>
    </row>
    <row r="4" spans="1:16" x14ac:dyDescent="0.35">
      <c r="A4" s="4">
        <v>41</v>
      </c>
      <c r="B4" s="4" t="s">
        <v>21</v>
      </c>
      <c r="C4" s="4" t="s">
        <v>22</v>
      </c>
      <c r="D4" s="2"/>
      <c r="E4" s="2"/>
      <c r="F4" s="5">
        <v>42690.333333333299</v>
      </c>
      <c r="G4" s="5">
        <v>42760.708333333299</v>
      </c>
      <c r="H4" s="2" t="s">
        <v>23</v>
      </c>
      <c r="I4" s="2"/>
      <c r="J4" s="6"/>
      <c r="K4" s="6">
        <v>0</v>
      </c>
      <c r="L4" s="6"/>
      <c r="M4" s="6"/>
      <c r="N4" s="6">
        <v>23776</v>
      </c>
      <c r="P4" s="20">
        <f t="shared" ref="P4:P44" si="0">G4-F4</f>
        <v>70.375</v>
      </c>
    </row>
    <row r="5" spans="1:16" ht="22" x14ac:dyDescent="0.35">
      <c r="A5" s="3">
        <v>2</v>
      </c>
      <c r="B5" s="3" t="s">
        <v>24</v>
      </c>
      <c r="C5" s="4" t="s">
        <v>25</v>
      </c>
      <c r="D5" s="3"/>
      <c r="E5" s="3" t="s">
        <v>26</v>
      </c>
      <c r="F5" s="7">
        <v>42690.333333333299</v>
      </c>
      <c r="G5" s="8">
        <v>42709.708333333299</v>
      </c>
      <c r="H5" s="3" t="s">
        <v>27</v>
      </c>
      <c r="I5" s="4" t="s">
        <v>28</v>
      </c>
      <c r="J5" s="9">
        <v>10080</v>
      </c>
      <c r="K5" s="10">
        <v>0</v>
      </c>
      <c r="L5" s="9">
        <v>0</v>
      </c>
      <c r="M5" s="10">
        <v>0</v>
      </c>
      <c r="N5" s="9">
        <v>10080</v>
      </c>
      <c r="P5" s="20">
        <f t="shared" si="0"/>
        <v>19.375</v>
      </c>
    </row>
    <row r="6" spans="1:16" x14ac:dyDescent="0.35">
      <c r="A6" s="3">
        <v>3</v>
      </c>
      <c r="B6" s="3" t="s">
        <v>29</v>
      </c>
      <c r="C6" s="4" t="s">
        <v>30</v>
      </c>
      <c r="D6" s="3" t="s">
        <v>31</v>
      </c>
      <c r="E6" s="3"/>
      <c r="F6" s="7">
        <v>42710.333333333299</v>
      </c>
      <c r="G6" s="8">
        <v>42713.708333333299</v>
      </c>
      <c r="H6" s="3" t="s">
        <v>32</v>
      </c>
      <c r="I6" s="4" t="s">
        <v>33</v>
      </c>
      <c r="J6" s="9">
        <v>1440</v>
      </c>
      <c r="K6" s="10">
        <v>0</v>
      </c>
      <c r="L6" s="9">
        <v>0</v>
      </c>
      <c r="M6" s="10">
        <v>0</v>
      </c>
      <c r="N6" s="9">
        <v>1440</v>
      </c>
      <c r="P6" s="20">
        <f t="shared" si="0"/>
        <v>3.375</v>
      </c>
    </row>
    <row r="7" spans="1:16" ht="22" x14ac:dyDescent="0.35">
      <c r="A7" s="3">
        <v>4</v>
      </c>
      <c r="B7" s="3" t="s">
        <v>34</v>
      </c>
      <c r="C7" s="4" t="s">
        <v>35</v>
      </c>
      <c r="D7" s="3" t="s">
        <v>31</v>
      </c>
      <c r="E7" s="3" t="s">
        <v>36</v>
      </c>
      <c r="F7" s="7">
        <v>42710.333333333299</v>
      </c>
      <c r="G7" s="8">
        <v>42716.708333333299</v>
      </c>
      <c r="H7" s="3" t="s">
        <v>37</v>
      </c>
      <c r="I7" s="4" t="s">
        <v>33</v>
      </c>
      <c r="J7" s="9">
        <v>1800</v>
      </c>
      <c r="K7" s="10">
        <v>0</v>
      </c>
      <c r="L7" s="9">
        <v>0</v>
      </c>
      <c r="M7" s="10">
        <v>0</v>
      </c>
      <c r="N7" s="9">
        <v>1800</v>
      </c>
      <c r="P7" s="20">
        <f t="shared" si="0"/>
        <v>6.375</v>
      </c>
    </row>
    <row r="8" spans="1:16" x14ac:dyDescent="0.35">
      <c r="A8" s="3">
        <v>5</v>
      </c>
      <c r="B8" s="3" t="s">
        <v>38</v>
      </c>
      <c r="C8" s="4" t="s">
        <v>39</v>
      </c>
      <c r="D8" s="3" t="s">
        <v>40</v>
      </c>
      <c r="E8" s="3" t="s">
        <v>41</v>
      </c>
      <c r="F8" s="7">
        <v>42717.333333333299</v>
      </c>
      <c r="G8" s="8">
        <v>42744.708333333299</v>
      </c>
      <c r="H8" s="3" t="s">
        <v>42</v>
      </c>
      <c r="I8" s="4" t="s">
        <v>33</v>
      </c>
      <c r="J8" s="9">
        <v>7200</v>
      </c>
      <c r="K8" s="10">
        <v>0</v>
      </c>
      <c r="L8" s="9">
        <v>0</v>
      </c>
      <c r="M8" s="10">
        <v>0</v>
      </c>
      <c r="N8" s="9">
        <v>7200</v>
      </c>
      <c r="P8" s="20">
        <f t="shared" si="0"/>
        <v>27.375</v>
      </c>
    </row>
    <row r="9" spans="1:16" ht="22" x14ac:dyDescent="0.35">
      <c r="A9" s="3">
        <v>6</v>
      </c>
      <c r="B9" s="3" t="s">
        <v>43</v>
      </c>
      <c r="C9" s="4" t="s">
        <v>44</v>
      </c>
      <c r="D9" s="3" t="s">
        <v>45</v>
      </c>
      <c r="E9" s="3" t="s">
        <v>46</v>
      </c>
      <c r="F9" s="7">
        <v>42745.333333333299</v>
      </c>
      <c r="G9" s="8">
        <v>42751.708333333299</v>
      </c>
      <c r="H9" s="3" t="s">
        <v>37</v>
      </c>
      <c r="I9" s="4" t="s">
        <v>33</v>
      </c>
      <c r="J9" s="9">
        <v>1800</v>
      </c>
      <c r="K9" s="10">
        <v>0</v>
      </c>
      <c r="L9" s="9">
        <v>0</v>
      </c>
      <c r="M9" s="10">
        <v>0</v>
      </c>
      <c r="N9" s="9">
        <v>1800</v>
      </c>
      <c r="P9" s="20">
        <f t="shared" si="0"/>
        <v>6.375</v>
      </c>
    </row>
    <row r="10" spans="1:16" x14ac:dyDescent="0.35">
      <c r="A10" s="3">
        <v>7</v>
      </c>
      <c r="B10" s="3" t="s">
        <v>47</v>
      </c>
      <c r="C10" s="4" t="s">
        <v>48</v>
      </c>
      <c r="D10" s="3" t="s">
        <v>49</v>
      </c>
      <c r="E10" s="3" t="s">
        <v>50</v>
      </c>
      <c r="F10" s="7">
        <v>42752.333333333299</v>
      </c>
      <c r="G10" s="8">
        <v>42760.708333333299</v>
      </c>
      <c r="H10" s="3" t="s">
        <v>51</v>
      </c>
      <c r="I10" s="4" t="s">
        <v>52</v>
      </c>
      <c r="J10" s="9">
        <v>1456</v>
      </c>
      <c r="K10" s="10">
        <v>0</v>
      </c>
      <c r="L10" s="9">
        <v>0</v>
      </c>
      <c r="M10" s="10">
        <v>0</v>
      </c>
      <c r="N10" s="9">
        <v>1456</v>
      </c>
      <c r="P10" s="20">
        <f t="shared" si="0"/>
        <v>8.375</v>
      </c>
    </row>
    <row r="11" spans="1:16" x14ac:dyDescent="0.35">
      <c r="A11" s="4">
        <v>42</v>
      </c>
      <c r="B11" s="4" t="s">
        <v>53</v>
      </c>
      <c r="C11" s="4" t="s">
        <v>54</v>
      </c>
      <c r="D11" s="2"/>
      <c r="E11" s="2"/>
      <c r="F11" s="5">
        <v>42717.333333333299</v>
      </c>
      <c r="G11" s="5">
        <v>42761.708333333299</v>
      </c>
      <c r="H11" s="2" t="s">
        <v>55</v>
      </c>
      <c r="I11" s="2"/>
      <c r="J11" s="6"/>
      <c r="K11" s="6">
        <v>45000</v>
      </c>
      <c r="L11" s="6"/>
      <c r="M11" s="6"/>
      <c r="N11" s="6">
        <v>47880</v>
      </c>
      <c r="P11" s="20">
        <f t="shared" si="0"/>
        <v>44.375</v>
      </c>
    </row>
    <row r="12" spans="1:16" x14ac:dyDescent="0.35">
      <c r="A12" s="3">
        <v>9</v>
      </c>
      <c r="B12" s="3" t="s">
        <v>56</v>
      </c>
      <c r="C12" s="4" t="s">
        <v>57</v>
      </c>
      <c r="D12" s="3" t="s">
        <v>40</v>
      </c>
      <c r="E12" s="3" t="s">
        <v>58</v>
      </c>
      <c r="F12" s="7">
        <v>42717.333333333299</v>
      </c>
      <c r="G12" s="8">
        <v>42719.708333333299</v>
      </c>
      <c r="H12" s="3" t="s">
        <v>59</v>
      </c>
      <c r="I12" s="4"/>
      <c r="J12" s="9">
        <v>0</v>
      </c>
      <c r="K12" s="10">
        <v>0</v>
      </c>
      <c r="L12" s="9">
        <v>0</v>
      </c>
      <c r="M12" s="10">
        <v>0</v>
      </c>
      <c r="N12" s="9">
        <v>0</v>
      </c>
      <c r="P12" s="20">
        <f t="shared" si="0"/>
        <v>2.375</v>
      </c>
    </row>
    <row r="13" spans="1:16" x14ac:dyDescent="0.35">
      <c r="A13" s="3">
        <v>10</v>
      </c>
      <c r="B13" s="3" t="s">
        <v>60</v>
      </c>
      <c r="C13" s="4" t="s">
        <v>61</v>
      </c>
      <c r="D13" s="3" t="s">
        <v>62</v>
      </c>
      <c r="E13" s="3" t="s">
        <v>63</v>
      </c>
      <c r="F13" s="7">
        <v>42720.333333333299</v>
      </c>
      <c r="G13" s="8">
        <v>42740.708333333299</v>
      </c>
      <c r="H13" s="3" t="s">
        <v>64</v>
      </c>
      <c r="I13" s="4"/>
      <c r="J13" s="9">
        <v>0</v>
      </c>
      <c r="K13" s="10">
        <v>45000</v>
      </c>
      <c r="L13" s="9">
        <v>0</v>
      </c>
      <c r="M13" s="10">
        <v>0</v>
      </c>
      <c r="N13" s="9">
        <v>45000</v>
      </c>
      <c r="P13" s="20">
        <f t="shared" si="0"/>
        <v>20.375</v>
      </c>
    </row>
    <row r="14" spans="1:16" x14ac:dyDescent="0.35">
      <c r="A14" s="3">
        <v>11</v>
      </c>
      <c r="B14" s="3" t="s">
        <v>65</v>
      </c>
      <c r="C14" s="4" t="s">
        <v>66</v>
      </c>
      <c r="D14" s="3" t="s">
        <v>67</v>
      </c>
      <c r="E14" s="3" t="s">
        <v>68</v>
      </c>
      <c r="F14" s="7">
        <v>42741.333333333299</v>
      </c>
      <c r="G14" s="8">
        <v>42761.708333333299</v>
      </c>
      <c r="H14" s="3" t="s">
        <v>64</v>
      </c>
      <c r="I14" s="4" t="s">
        <v>69</v>
      </c>
      <c r="J14" s="9">
        <v>2880</v>
      </c>
      <c r="K14" s="10">
        <v>0</v>
      </c>
      <c r="L14" s="9">
        <v>0</v>
      </c>
      <c r="M14" s="10">
        <v>0</v>
      </c>
      <c r="N14" s="9">
        <v>2880</v>
      </c>
      <c r="P14" s="20">
        <f t="shared" si="0"/>
        <v>20.375</v>
      </c>
    </row>
    <row r="15" spans="1:16" x14ac:dyDescent="0.35">
      <c r="A15" s="4">
        <v>43</v>
      </c>
      <c r="B15" s="4" t="s">
        <v>70</v>
      </c>
      <c r="C15" s="4" t="s">
        <v>71</v>
      </c>
      <c r="D15" s="2"/>
      <c r="E15" s="2"/>
      <c r="F15" s="5">
        <v>42761.333333333299</v>
      </c>
      <c r="G15" s="5">
        <v>42858.708333333299</v>
      </c>
      <c r="H15" s="2" t="s">
        <v>72</v>
      </c>
      <c r="I15" s="2"/>
      <c r="J15" s="6"/>
      <c r="K15" s="6">
        <v>2112</v>
      </c>
      <c r="L15" s="6"/>
      <c r="M15" s="6"/>
      <c r="N15" s="6">
        <v>23452</v>
      </c>
      <c r="P15" s="20">
        <f t="shared" si="0"/>
        <v>97.375</v>
      </c>
    </row>
    <row r="16" spans="1:16" ht="22" x14ac:dyDescent="0.35">
      <c r="A16" s="3">
        <v>13</v>
      </c>
      <c r="B16" s="3" t="s">
        <v>73</v>
      </c>
      <c r="C16" s="4" t="s">
        <v>74</v>
      </c>
      <c r="D16" s="3" t="s">
        <v>75</v>
      </c>
      <c r="E16" s="3" t="s">
        <v>76</v>
      </c>
      <c r="F16" s="7">
        <v>42761.333333333299</v>
      </c>
      <c r="G16" s="8">
        <v>42802.708333333299</v>
      </c>
      <c r="H16" s="3" t="s">
        <v>77</v>
      </c>
      <c r="I16" s="4" t="s">
        <v>78</v>
      </c>
      <c r="J16" s="9">
        <v>8160</v>
      </c>
      <c r="K16" s="10">
        <v>0</v>
      </c>
      <c r="L16" s="9">
        <v>0</v>
      </c>
      <c r="M16" s="10">
        <v>0</v>
      </c>
      <c r="N16" s="9">
        <v>8160</v>
      </c>
      <c r="P16" s="20">
        <f t="shared" si="0"/>
        <v>41.375</v>
      </c>
    </row>
    <row r="17" spans="1:16" ht="22" x14ac:dyDescent="0.35">
      <c r="A17" s="3">
        <v>14</v>
      </c>
      <c r="B17" s="3" t="s">
        <v>79</v>
      </c>
      <c r="C17" s="4" t="s">
        <v>80</v>
      </c>
      <c r="D17" s="3" t="s">
        <v>81</v>
      </c>
      <c r="E17" s="3" t="s">
        <v>82</v>
      </c>
      <c r="F17" s="7">
        <v>42803.333333333299</v>
      </c>
      <c r="G17" s="8">
        <v>42830.708333333299</v>
      </c>
      <c r="H17" s="3" t="s">
        <v>42</v>
      </c>
      <c r="I17" s="4"/>
      <c r="J17" s="9">
        <v>0</v>
      </c>
      <c r="K17" s="10">
        <v>0</v>
      </c>
      <c r="L17" s="9">
        <v>0</v>
      </c>
      <c r="M17" s="10">
        <v>0</v>
      </c>
      <c r="N17" s="9">
        <v>0</v>
      </c>
      <c r="P17" s="20">
        <f t="shared" si="0"/>
        <v>27.375</v>
      </c>
    </row>
    <row r="18" spans="1:16" ht="22" x14ac:dyDescent="0.35">
      <c r="A18" s="3">
        <v>15</v>
      </c>
      <c r="B18" s="3" t="s">
        <v>83</v>
      </c>
      <c r="C18" s="4" t="s">
        <v>84</v>
      </c>
      <c r="D18" s="3" t="s">
        <v>81</v>
      </c>
      <c r="E18" s="3" t="s">
        <v>85</v>
      </c>
      <c r="F18" s="7">
        <v>42803.333333333299</v>
      </c>
      <c r="G18" s="8">
        <v>42858.708333333299</v>
      </c>
      <c r="H18" s="3" t="s">
        <v>86</v>
      </c>
      <c r="I18" s="4" t="s">
        <v>87</v>
      </c>
      <c r="J18" s="9">
        <v>4160</v>
      </c>
      <c r="K18" s="10">
        <v>0</v>
      </c>
      <c r="L18" s="9">
        <v>0</v>
      </c>
      <c r="M18" s="10">
        <v>0</v>
      </c>
      <c r="N18" s="9">
        <v>4160</v>
      </c>
      <c r="P18" s="20">
        <f t="shared" si="0"/>
        <v>55.375</v>
      </c>
    </row>
    <row r="19" spans="1:16" ht="22" x14ac:dyDescent="0.35">
      <c r="A19" s="3">
        <v>16</v>
      </c>
      <c r="B19" s="3" t="s">
        <v>88</v>
      </c>
      <c r="C19" s="4" t="s">
        <v>89</v>
      </c>
      <c r="D19" s="3" t="s">
        <v>81</v>
      </c>
      <c r="E19" s="3" t="s">
        <v>90</v>
      </c>
      <c r="F19" s="7">
        <v>42803.333333333299</v>
      </c>
      <c r="G19" s="8">
        <v>42851.708333333299</v>
      </c>
      <c r="H19" s="3" t="s">
        <v>91</v>
      </c>
      <c r="I19" s="4" t="s">
        <v>92</v>
      </c>
      <c r="J19" s="9">
        <v>4760</v>
      </c>
      <c r="K19" s="10">
        <v>0</v>
      </c>
      <c r="L19" s="9">
        <v>0</v>
      </c>
      <c r="M19" s="10">
        <v>0</v>
      </c>
      <c r="N19" s="9">
        <v>4760</v>
      </c>
      <c r="P19" s="20">
        <f t="shared" si="0"/>
        <v>48.375</v>
      </c>
    </row>
    <row r="20" spans="1:16" ht="22" x14ac:dyDescent="0.35">
      <c r="A20" s="3">
        <v>17</v>
      </c>
      <c r="B20" s="3" t="s">
        <v>93</v>
      </c>
      <c r="C20" s="4" t="s">
        <v>94</v>
      </c>
      <c r="D20" s="3" t="s">
        <v>81</v>
      </c>
      <c r="E20" s="3" t="s">
        <v>95</v>
      </c>
      <c r="F20" s="7">
        <v>42803.333333333299</v>
      </c>
      <c r="G20" s="8">
        <v>42823.708333333299</v>
      </c>
      <c r="H20" s="3" t="s">
        <v>64</v>
      </c>
      <c r="I20" s="4" t="s">
        <v>96</v>
      </c>
      <c r="J20" s="9">
        <v>4260</v>
      </c>
      <c r="K20" s="10">
        <v>0</v>
      </c>
      <c r="L20" s="9">
        <v>0</v>
      </c>
      <c r="M20" s="10">
        <v>0</v>
      </c>
      <c r="N20" s="9">
        <v>4260</v>
      </c>
      <c r="P20" s="20">
        <f t="shared" si="0"/>
        <v>20.375</v>
      </c>
    </row>
    <row r="21" spans="1:16" x14ac:dyDescent="0.35">
      <c r="A21" s="3">
        <v>18</v>
      </c>
      <c r="B21" s="3" t="s">
        <v>97</v>
      </c>
      <c r="C21" s="4" t="s">
        <v>98</v>
      </c>
      <c r="D21" s="3" t="s">
        <v>81</v>
      </c>
      <c r="E21" s="3" t="s">
        <v>82</v>
      </c>
      <c r="F21" s="7">
        <v>42803.333333333299</v>
      </c>
      <c r="G21" s="8">
        <v>42816.708333333299</v>
      </c>
      <c r="H21" s="3" t="s">
        <v>99</v>
      </c>
      <c r="I21" s="4"/>
      <c r="J21" s="9">
        <v>0</v>
      </c>
      <c r="K21" s="10">
        <v>2112</v>
      </c>
      <c r="L21" s="9">
        <v>0</v>
      </c>
      <c r="M21" s="10">
        <v>0</v>
      </c>
      <c r="N21" s="9">
        <v>2112</v>
      </c>
      <c r="P21" s="20">
        <f t="shared" si="0"/>
        <v>13.375</v>
      </c>
    </row>
    <row r="22" spans="1:16" x14ac:dyDescent="0.35">
      <c r="A22" s="4">
        <v>44</v>
      </c>
      <c r="B22" s="4" t="s">
        <v>100</v>
      </c>
      <c r="C22" s="4" t="s">
        <v>101</v>
      </c>
      <c r="D22" s="2"/>
      <c r="E22" s="2"/>
      <c r="F22" s="5">
        <v>42803.333333333299</v>
      </c>
      <c r="G22" s="5">
        <v>42923.708333333299</v>
      </c>
      <c r="H22" s="2" t="s">
        <v>102</v>
      </c>
      <c r="I22" s="2"/>
      <c r="J22" s="6"/>
      <c r="K22" s="6">
        <v>168000</v>
      </c>
      <c r="L22" s="6"/>
      <c r="M22" s="6"/>
      <c r="N22" s="6">
        <v>175560</v>
      </c>
      <c r="P22" s="20">
        <f t="shared" si="0"/>
        <v>120.375</v>
      </c>
    </row>
    <row r="23" spans="1:16" ht="22" x14ac:dyDescent="0.35">
      <c r="A23" s="3">
        <v>20</v>
      </c>
      <c r="B23" s="3" t="s">
        <v>103</v>
      </c>
      <c r="C23" s="4" t="s">
        <v>104</v>
      </c>
      <c r="D23" s="3" t="s">
        <v>81</v>
      </c>
      <c r="E23" s="3" t="s">
        <v>105</v>
      </c>
      <c r="F23" s="7">
        <v>42803.333333333299</v>
      </c>
      <c r="G23" s="8">
        <v>42828.708333333299</v>
      </c>
      <c r="H23" s="3" t="s">
        <v>106</v>
      </c>
      <c r="I23" s="4" t="s">
        <v>538</v>
      </c>
      <c r="J23" s="9">
        <v>7560</v>
      </c>
      <c r="K23" s="10">
        <v>0</v>
      </c>
      <c r="L23" s="9">
        <v>0</v>
      </c>
      <c r="M23" s="10">
        <v>0</v>
      </c>
      <c r="N23" s="9">
        <v>7560</v>
      </c>
      <c r="P23" s="20">
        <f t="shared" si="0"/>
        <v>25.375</v>
      </c>
    </row>
    <row r="24" spans="1:16" x14ac:dyDescent="0.35">
      <c r="A24" s="3">
        <v>21</v>
      </c>
      <c r="B24" s="3" t="s">
        <v>108</v>
      </c>
      <c r="C24" s="4" t="s">
        <v>109</v>
      </c>
      <c r="D24" s="3" t="s">
        <v>110</v>
      </c>
      <c r="E24" s="3" t="s">
        <v>111</v>
      </c>
      <c r="F24" s="7">
        <v>42829.333333333299</v>
      </c>
      <c r="G24" s="8">
        <v>42907.708333333299</v>
      </c>
      <c r="H24" s="3" t="s">
        <v>112</v>
      </c>
      <c r="I24" s="4"/>
      <c r="J24" s="9">
        <v>0</v>
      </c>
      <c r="K24" s="10">
        <v>0</v>
      </c>
      <c r="L24" s="9">
        <v>0</v>
      </c>
      <c r="M24" s="10">
        <v>0</v>
      </c>
      <c r="N24" s="9">
        <v>0</v>
      </c>
      <c r="P24" s="20">
        <f t="shared" si="0"/>
        <v>78.375</v>
      </c>
    </row>
    <row r="25" spans="1:16" x14ac:dyDescent="0.35">
      <c r="A25" s="3">
        <v>22</v>
      </c>
      <c r="B25" s="3" t="s">
        <v>113</v>
      </c>
      <c r="C25" s="4" t="s">
        <v>114</v>
      </c>
      <c r="D25" s="3" t="s">
        <v>110</v>
      </c>
      <c r="E25" s="3" t="s">
        <v>115</v>
      </c>
      <c r="F25" s="7">
        <v>42829.333333333299</v>
      </c>
      <c r="G25" s="8">
        <v>42907.708333333299</v>
      </c>
      <c r="H25" s="3" t="s">
        <v>112</v>
      </c>
      <c r="I25" s="4"/>
      <c r="J25" s="9">
        <v>0</v>
      </c>
      <c r="K25" s="10">
        <v>0</v>
      </c>
      <c r="L25" s="9">
        <v>0</v>
      </c>
      <c r="M25" s="10">
        <v>0</v>
      </c>
      <c r="N25" s="9">
        <v>0</v>
      </c>
      <c r="P25" s="20">
        <f t="shared" si="0"/>
        <v>78.375</v>
      </c>
    </row>
    <row r="26" spans="1:16" x14ac:dyDescent="0.35">
      <c r="A26" s="3">
        <v>23</v>
      </c>
      <c r="B26" s="3" t="s">
        <v>116</v>
      </c>
      <c r="C26" s="4" t="s">
        <v>117</v>
      </c>
      <c r="D26" s="3" t="s">
        <v>118</v>
      </c>
      <c r="E26" s="3"/>
      <c r="F26" s="7">
        <v>42908.333333333299</v>
      </c>
      <c r="G26" s="8">
        <v>42923.708333333299</v>
      </c>
      <c r="H26" s="3" t="s">
        <v>119</v>
      </c>
      <c r="I26" s="4"/>
      <c r="J26" s="9">
        <v>0</v>
      </c>
      <c r="K26" s="10">
        <v>84000</v>
      </c>
      <c r="L26" s="9">
        <v>0</v>
      </c>
      <c r="M26" s="10">
        <v>0</v>
      </c>
      <c r="N26" s="9">
        <v>84000</v>
      </c>
      <c r="P26" s="20">
        <f t="shared" si="0"/>
        <v>15.375</v>
      </c>
    </row>
    <row r="27" spans="1:16" x14ac:dyDescent="0.35">
      <c r="A27" s="3">
        <v>24</v>
      </c>
      <c r="B27" s="3" t="s">
        <v>120</v>
      </c>
      <c r="C27" s="4" t="s">
        <v>121</v>
      </c>
      <c r="D27" s="3" t="s">
        <v>122</v>
      </c>
      <c r="E27" s="3"/>
      <c r="F27" s="7">
        <v>42908.333333333299</v>
      </c>
      <c r="G27" s="8">
        <v>42923.708333333299</v>
      </c>
      <c r="H27" s="3" t="s">
        <v>119</v>
      </c>
      <c r="I27" s="4"/>
      <c r="J27" s="9">
        <v>0</v>
      </c>
      <c r="K27" s="10">
        <v>84000</v>
      </c>
      <c r="L27" s="9">
        <v>0</v>
      </c>
      <c r="M27" s="10">
        <v>0</v>
      </c>
      <c r="N27" s="9">
        <v>84000</v>
      </c>
      <c r="P27" s="20">
        <f t="shared" si="0"/>
        <v>15.375</v>
      </c>
    </row>
    <row r="28" spans="1:16" x14ac:dyDescent="0.35">
      <c r="A28" s="4">
        <v>45</v>
      </c>
      <c r="B28" s="4" t="s">
        <v>123</v>
      </c>
      <c r="C28" s="4" t="s">
        <v>124</v>
      </c>
      <c r="D28" s="2"/>
      <c r="E28" s="2"/>
      <c r="F28" s="5">
        <v>42762.333333333299</v>
      </c>
      <c r="G28" s="5">
        <v>42794.708333333299</v>
      </c>
      <c r="H28" s="2" t="s">
        <v>125</v>
      </c>
      <c r="I28" s="2"/>
      <c r="J28" s="6"/>
      <c r="K28" s="6">
        <v>0</v>
      </c>
      <c r="L28" s="6"/>
      <c r="M28" s="6"/>
      <c r="N28" s="6">
        <v>17664</v>
      </c>
      <c r="P28" s="20">
        <f t="shared" si="0"/>
        <v>32.375</v>
      </c>
    </row>
    <row r="29" spans="1:16" x14ac:dyDescent="0.35">
      <c r="A29" s="3">
        <v>26</v>
      </c>
      <c r="B29" s="3" t="s">
        <v>126</v>
      </c>
      <c r="C29" s="4" t="s">
        <v>127</v>
      </c>
      <c r="D29" s="3" t="s">
        <v>128</v>
      </c>
      <c r="E29" s="3" t="s">
        <v>129</v>
      </c>
      <c r="F29" s="7">
        <v>42762.333333333299</v>
      </c>
      <c r="G29" s="8">
        <v>42794.708333333299</v>
      </c>
      <c r="H29" s="3" t="s">
        <v>125</v>
      </c>
      <c r="I29" s="4" t="s">
        <v>130</v>
      </c>
      <c r="J29" s="9">
        <v>17664</v>
      </c>
      <c r="K29" s="10">
        <v>0</v>
      </c>
      <c r="L29" s="9">
        <v>0</v>
      </c>
      <c r="M29" s="10">
        <v>0</v>
      </c>
      <c r="N29" s="9">
        <v>17664</v>
      </c>
      <c r="P29" s="20">
        <f t="shared" si="0"/>
        <v>32.375</v>
      </c>
    </row>
    <row r="30" spans="1:16" x14ac:dyDescent="0.35">
      <c r="A30" s="4">
        <v>46</v>
      </c>
      <c r="B30" s="4" t="s">
        <v>131</v>
      </c>
      <c r="C30" s="4" t="s">
        <v>132</v>
      </c>
      <c r="D30" s="2"/>
      <c r="E30" s="2"/>
      <c r="F30" s="5">
        <v>42824.333333333299</v>
      </c>
      <c r="G30" s="5">
        <v>42928.708333333299</v>
      </c>
      <c r="H30" s="2" t="s">
        <v>133</v>
      </c>
      <c r="I30" s="2"/>
      <c r="J30" s="6"/>
      <c r="K30" s="6">
        <v>460000</v>
      </c>
      <c r="L30" s="6"/>
      <c r="M30" s="6"/>
      <c r="N30" s="6">
        <v>460000</v>
      </c>
      <c r="P30" s="20">
        <f t="shared" si="0"/>
        <v>104.375</v>
      </c>
    </row>
    <row r="31" spans="1:16" x14ac:dyDescent="0.35">
      <c r="A31" s="3">
        <v>28</v>
      </c>
      <c r="B31" s="3" t="s">
        <v>134</v>
      </c>
      <c r="C31" s="4" t="s">
        <v>135</v>
      </c>
      <c r="D31" s="3" t="s">
        <v>136</v>
      </c>
      <c r="E31" s="3" t="s">
        <v>129</v>
      </c>
      <c r="F31" s="7">
        <v>42859.333333333299</v>
      </c>
      <c r="G31" s="8">
        <v>42928.708333333299</v>
      </c>
      <c r="H31" s="3" t="s">
        <v>137</v>
      </c>
      <c r="I31" s="4"/>
      <c r="J31" s="9">
        <v>0</v>
      </c>
      <c r="K31" s="10">
        <v>150000</v>
      </c>
      <c r="L31" s="9">
        <v>0</v>
      </c>
      <c r="M31" s="10">
        <v>0</v>
      </c>
      <c r="N31" s="9">
        <v>150000</v>
      </c>
      <c r="P31" s="20">
        <f t="shared" si="0"/>
        <v>69.375</v>
      </c>
    </row>
    <row r="32" spans="1:16" x14ac:dyDescent="0.35">
      <c r="A32" s="3">
        <v>29</v>
      </c>
      <c r="B32" s="3" t="s">
        <v>138</v>
      </c>
      <c r="C32" s="4" t="s">
        <v>139</v>
      </c>
      <c r="D32" s="3" t="s">
        <v>140</v>
      </c>
      <c r="E32" s="3" t="s">
        <v>141</v>
      </c>
      <c r="F32" s="7">
        <v>42852.333333333299</v>
      </c>
      <c r="G32" s="8">
        <v>42893.708333333299</v>
      </c>
      <c r="H32" s="3" t="s">
        <v>77</v>
      </c>
      <c r="I32" s="4"/>
      <c r="J32" s="9">
        <v>0</v>
      </c>
      <c r="K32" s="10">
        <v>250000</v>
      </c>
      <c r="L32" s="9">
        <v>0</v>
      </c>
      <c r="M32" s="10">
        <v>0</v>
      </c>
      <c r="N32" s="9">
        <v>250000</v>
      </c>
      <c r="P32" s="20">
        <f t="shared" si="0"/>
        <v>41.375</v>
      </c>
    </row>
    <row r="33" spans="1:16" x14ac:dyDescent="0.35">
      <c r="A33" s="3">
        <v>30</v>
      </c>
      <c r="B33" s="3" t="s">
        <v>142</v>
      </c>
      <c r="C33" s="4" t="s">
        <v>143</v>
      </c>
      <c r="D33" s="3" t="s">
        <v>144</v>
      </c>
      <c r="E33" s="3" t="s">
        <v>145</v>
      </c>
      <c r="F33" s="7">
        <v>42824.333333333299</v>
      </c>
      <c r="G33" s="8">
        <v>42849.708333333299</v>
      </c>
      <c r="H33" s="3" t="s">
        <v>106</v>
      </c>
      <c r="I33" s="4"/>
      <c r="J33" s="9">
        <v>0</v>
      </c>
      <c r="K33" s="10">
        <v>60000</v>
      </c>
      <c r="L33" s="9">
        <v>0</v>
      </c>
      <c r="M33" s="10">
        <v>0</v>
      </c>
      <c r="N33" s="9">
        <v>60000</v>
      </c>
      <c r="P33" s="20">
        <f t="shared" si="0"/>
        <v>25.375</v>
      </c>
    </row>
    <row r="34" spans="1:16" x14ac:dyDescent="0.35">
      <c r="A34" s="4">
        <v>47</v>
      </c>
      <c r="B34" s="4" t="s">
        <v>146</v>
      </c>
      <c r="C34" s="4" t="s">
        <v>147</v>
      </c>
      <c r="D34" s="2"/>
      <c r="E34" s="2"/>
      <c r="F34" s="5">
        <v>42850.333333333299</v>
      </c>
      <c r="G34" s="5">
        <v>42978.708333333299</v>
      </c>
      <c r="H34" s="2" t="s">
        <v>148</v>
      </c>
      <c r="I34" s="2"/>
      <c r="J34" s="6"/>
      <c r="K34" s="6">
        <v>0</v>
      </c>
      <c r="L34" s="6"/>
      <c r="M34" s="6"/>
      <c r="N34" s="6">
        <v>72575.999922752395</v>
      </c>
      <c r="P34" s="20">
        <f t="shared" si="0"/>
        <v>128.375</v>
      </c>
    </row>
    <row r="35" spans="1:16" x14ac:dyDescent="0.35">
      <c r="A35" s="3">
        <v>32</v>
      </c>
      <c r="B35" s="3" t="s">
        <v>149</v>
      </c>
      <c r="C35" s="4" t="s">
        <v>150</v>
      </c>
      <c r="D35" s="3" t="s">
        <v>151</v>
      </c>
      <c r="E35" s="3" t="s">
        <v>152</v>
      </c>
      <c r="F35" s="7">
        <v>42894.333333333299</v>
      </c>
      <c r="G35" s="8">
        <v>42956.708333333299</v>
      </c>
      <c r="H35" s="3" t="s">
        <v>153</v>
      </c>
      <c r="I35" s="4" t="s">
        <v>154</v>
      </c>
      <c r="J35" s="9">
        <v>31535.999922752399</v>
      </c>
      <c r="K35" s="10">
        <v>0</v>
      </c>
      <c r="L35" s="9">
        <v>0</v>
      </c>
      <c r="M35" s="10">
        <v>0</v>
      </c>
      <c r="N35" s="9">
        <v>31535.999922752399</v>
      </c>
      <c r="P35" s="20">
        <f t="shared" si="0"/>
        <v>62.375</v>
      </c>
    </row>
    <row r="36" spans="1:16" x14ac:dyDescent="0.35">
      <c r="A36" s="3">
        <v>33</v>
      </c>
      <c r="B36" s="3" t="s">
        <v>155</v>
      </c>
      <c r="C36" s="4" t="s">
        <v>156</v>
      </c>
      <c r="D36" s="3" t="s">
        <v>157</v>
      </c>
      <c r="E36" s="3"/>
      <c r="F36" s="7">
        <v>42929.333333333299</v>
      </c>
      <c r="G36" s="8">
        <v>42978.708333333299</v>
      </c>
      <c r="H36" s="3" t="s">
        <v>158</v>
      </c>
      <c r="I36" s="4" t="s">
        <v>130</v>
      </c>
      <c r="J36" s="9">
        <v>27648</v>
      </c>
      <c r="K36" s="10">
        <v>0</v>
      </c>
      <c r="L36" s="9">
        <v>0</v>
      </c>
      <c r="M36" s="10">
        <v>0</v>
      </c>
      <c r="N36" s="9">
        <v>27648</v>
      </c>
      <c r="P36" s="20">
        <f t="shared" si="0"/>
        <v>49.375</v>
      </c>
    </row>
    <row r="37" spans="1:16" x14ac:dyDescent="0.35">
      <c r="A37" s="3">
        <v>34</v>
      </c>
      <c r="B37" s="3" t="s">
        <v>159</v>
      </c>
      <c r="C37" s="4" t="s">
        <v>160</v>
      </c>
      <c r="D37" s="3" t="s">
        <v>161</v>
      </c>
      <c r="E37" s="3"/>
      <c r="F37" s="7">
        <v>42850.333333333299</v>
      </c>
      <c r="G37" s="8">
        <v>42873.708333333299</v>
      </c>
      <c r="H37" s="3" t="s">
        <v>106</v>
      </c>
      <c r="I37" s="4" t="s">
        <v>162</v>
      </c>
      <c r="J37" s="9">
        <v>13392</v>
      </c>
      <c r="K37" s="10">
        <v>0</v>
      </c>
      <c r="L37" s="9">
        <v>0</v>
      </c>
      <c r="M37" s="10">
        <v>0</v>
      </c>
      <c r="N37" s="9">
        <v>13392</v>
      </c>
      <c r="P37" s="20">
        <f t="shared" si="0"/>
        <v>23.375</v>
      </c>
    </row>
    <row r="38" spans="1:16" x14ac:dyDescent="0.35">
      <c r="A38" s="4">
        <v>48</v>
      </c>
      <c r="B38" s="4" t="s">
        <v>163</v>
      </c>
      <c r="C38" s="4" t="s">
        <v>164</v>
      </c>
      <c r="D38" s="2"/>
      <c r="E38" s="2"/>
      <c r="F38" s="5">
        <v>42831.333333333299</v>
      </c>
      <c r="G38" s="5">
        <v>43010.708333333299</v>
      </c>
      <c r="H38" s="2" t="s">
        <v>165</v>
      </c>
      <c r="I38" s="2"/>
      <c r="J38" s="6"/>
      <c r="K38" s="6">
        <v>770922</v>
      </c>
      <c r="L38" s="6"/>
      <c r="M38" s="6"/>
      <c r="N38" s="6">
        <v>770922</v>
      </c>
      <c r="P38" s="20">
        <f t="shared" si="0"/>
        <v>179.375</v>
      </c>
    </row>
    <row r="39" spans="1:16" x14ac:dyDescent="0.35">
      <c r="A39" s="3">
        <v>36</v>
      </c>
      <c r="B39" s="3" t="s">
        <v>166</v>
      </c>
      <c r="C39" s="4" t="s">
        <v>167</v>
      </c>
      <c r="D39" s="3" t="s">
        <v>168</v>
      </c>
      <c r="E39" s="3"/>
      <c r="F39" s="7">
        <v>42831.333333333299</v>
      </c>
      <c r="G39" s="8">
        <v>42920.708333333299</v>
      </c>
      <c r="H39" s="3" t="s">
        <v>169</v>
      </c>
      <c r="I39" s="4"/>
      <c r="J39" s="9">
        <v>0</v>
      </c>
      <c r="K39" s="10">
        <v>587706</v>
      </c>
      <c r="L39" s="9">
        <v>0</v>
      </c>
      <c r="M39" s="10">
        <v>0</v>
      </c>
      <c r="N39" s="9">
        <v>587706</v>
      </c>
      <c r="P39" s="20">
        <f t="shared" si="0"/>
        <v>89.375</v>
      </c>
    </row>
    <row r="40" spans="1:16" x14ac:dyDescent="0.35">
      <c r="A40" s="3">
        <v>37</v>
      </c>
      <c r="B40" s="3" t="s">
        <v>170</v>
      </c>
      <c r="C40" s="4" t="s">
        <v>171</v>
      </c>
      <c r="D40" s="3" t="s">
        <v>172</v>
      </c>
      <c r="E40" s="3" t="s">
        <v>173</v>
      </c>
      <c r="F40" s="7">
        <v>42957.333333333299</v>
      </c>
      <c r="G40" s="8">
        <v>43010.708333333299</v>
      </c>
      <c r="H40" s="3" t="s">
        <v>174</v>
      </c>
      <c r="I40" s="4"/>
      <c r="J40" s="9">
        <v>0</v>
      </c>
      <c r="K40" s="10">
        <v>183216</v>
      </c>
      <c r="L40" s="9">
        <v>0</v>
      </c>
      <c r="M40" s="10">
        <v>0</v>
      </c>
      <c r="N40" s="9">
        <v>183216</v>
      </c>
      <c r="P40" s="20">
        <f t="shared" si="0"/>
        <v>53.375</v>
      </c>
    </row>
    <row r="41" spans="1:16" x14ac:dyDescent="0.35">
      <c r="A41" s="4">
        <v>49</v>
      </c>
      <c r="B41" s="4" t="s">
        <v>175</v>
      </c>
      <c r="C41" s="4" t="s">
        <v>176</v>
      </c>
      <c r="D41" s="2"/>
      <c r="E41" s="2"/>
      <c r="F41" s="5">
        <v>43011.333333333299</v>
      </c>
      <c r="G41" s="5">
        <v>43067.708333333299</v>
      </c>
      <c r="H41" s="2" t="s">
        <v>177</v>
      </c>
      <c r="I41" s="2"/>
      <c r="J41" s="6"/>
      <c r="K41" s="6">
        <v>0</v>
      </c>
      <c r="L41" s="6"/>
      <c r="M41" s="6"/>
      <c r="N41" s="6">
        <v>11520</v>
      </c>
      <c r="P41" s="20">
        <f t="shared" si="0"/>
        <v>56.375</v>
      </c>
    </row>
    <row r="42" spans="1:16" x14ac:dyDescent="0.35">
      <c r="A42" s="3">
        <v>39</v>
      </c>
      <c r="B42" s="3" t="s">
        <v>178</v>
      </c>
      <c r="C42" s="4" t="s">
        <v>179</v>
      </c>
      <c r="D42" s="3" t="s">
        <v>180</v>
      </c>
      <c r="E42" s="3" t="s">
        <v>181</v>
      </c>
      <c r="F42" s="7">
        <v>43011.333333333299</v>
      </c>
      <c r="G42" s="8">
        <v>43031.708333333299</v>
      </c>
      <c r="H42" s="3" t="s">
        <v>64</v>
      </c>
      <c r="I42" s="4" t="s">
        <v>130</v>
      </c>
      <c r="J42" s="9">
        <v>11520</v>
      </c>
      <c r="K42" s="10">
        <v>0</v>
      </c>
      <c r="L42" s="9">
        <v>0</v>
      </c>
      <c r="M42" s="10">
        <v>0</v>
      </c>
      <c r="N42" s="9">
        <v>11520</v>
      </c>
      <c r="P42" s="20">
        <f t="shared" si="0"/>
        <v>20.375</v>
      </c>
    </row>
    <row r="43" spans="1:16" x14ac:dyDescent="0.35">
      <c r="A43" s="3">
        <v>40</v>
      </c>
      <c r="B43" s="3" t="s">
        <v>182</v>
      </c>
      <c r="C43" s="4" t="s">
        <v>183</v>
      </c>
      <c r="D43" s="3" t="s">
        <v>184</v>
      </c>
      <c r="E43" s="3" t="s">
        <v>185</v>
      </c>
      <c r="F43" s="7">
        <v>43032.333333333299</v>
      </c>
      <c r="G43" s="8">
        <v>43067.708333333299</v>
      </c>
      <c r="H43" s="3" t="s">
        <v>186</v>
      </c>
      <c r="I43" s="4"/>
      <c r="J43" s="9">
        <v>0</v>
      </c>
      <c r="K43" s="10">
        <v>0</v>
      </c>
      <c r="L43" s="9">
        <v>0</v>
      </c>
      <c r="M43" s="10">
        <v>0</v>
      </c>
      <c r="N43" s="9">
        <v>0</v>
      </c>
      <c r="P43" s="20">
        <f t="shared" si="0"/>
        <v>35.375</v>
      </c>
    </row>
    <row r="44" spans="1:16" x14ac:dyDescent="0.35">
      <c r="A44" s="3">
        <v>50</v>
      </c>
      <c r="B44" s="3" t="s">
        <v>187</v>
      </c>
      <c r="C44" s="4" t="s">
        <v>188</v>
      </c>
      <c r="D44" s="3" t="s">
        <v>189</v>
      </c>
      <c r="E44" s="3"/>
      <c r="F44" s="7">
        <v>43068.333333333299</v>
      </c>
      <c r="G44" s="8">
        <v>43179.708333333299</v>
      </c>
      <c r="H44" s="3" t="s">
        <v>190</v>
      </c>
      <c r="I44" s="4"/>
      <c r="J44" s="9">
        <v>0</v>
      </c>
      <c r="K44" s="10">
        <v>100000</v>
      </c>
      <c r="L44" s="9">
        <v>0</v>
      </c>
      <c r="M44" s="10">
        <v>0</v>
      </c>
      <c r="N44" s="9">
        <v>100000</v>
      </c>
      <c r="P44" s="20">
        <f t="shared" si="0"/>
        <v>111.375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FC5C-4BEF-4F41-BD22-BB327D390313}">
  <dimension ref="A1"/>
  <sheetViews>
    <sheetView topLeftCell="A10" workbookViewId="0">
      <selection activeCell="X16" sqref="X1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D14" sqref="D14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  <col min="9" max="9" width="10" bestFit="1" customWidth="1"/>
    <col min="19" max="19" width="10" bestFit="1" customWidth="1"/>
  </cols>
  <sheetData>
    <row r="1" spans="1:19" x14ac:dyDescent="0.35">
      <c r="A1" s="25" t="s">
        <v>0</v>
      </c>
      <c r="B1" s="25"/>
      <c r="C1" s="25"/>
      <c r="D1" s="25"/>
      <c r="E1" s="25" t="s">
        <v>13</v>
      </c>
      <c r="F1" s="25"/>
      <c r="G1" s="25" t="s">
        <v>3</v>
      </c>
      <c r="H1" s="25"/>
    </row>
    <row r="2" spans="1:19" ht="25" customHeight="1" x14ac:dyDescent="0.35">
      <c r="A2" s="1" t="s">
        <v>5</v>
      </c>
      <c r="B2" s="1" t="s">
        <v>6</v>
      </c>
      <c r="C2" s="1" t="s">
        <v>191</v>
      </c>
      <c r="D2" s="1" t="s">
        <v>192</v>
      </c>
      <c r="E2" s="1" t="s">
        <v>193</v>
      </c>
      <c r="F2" s="1" t="s">
        <v>194</v>
      </c>
      <c r="G2" s="1" t="s">
        <v>195</v>
      </c>
      <c r="H2" s="1" t="s">
        <v>17</v>
      </c>
      <c r="S2" s="1" t="s">
        <v>526</v>
      </c>
    </row>
    <row r="3" spans="1:19" x14ac:dyDescent="0.35">
      <c r="A3" s="4">
        <v>1</v>
      </c>
      <c r="B3" s="4" t="s">
        <v>33</v>
      </c>
      <c r="C3" s="4" t="s">
        <v>196</v>
      </c>
      <c r="D3" s="4" t="s">
        <v>197</v>
      </c>
      <c r="E3" s="11">
        <v>0</v>
      </c>
      <c r="F3" s="11">
        <v>45</v>
      </c>
      <c r="G3" s="12" t="s">
        <v>198</v>
      </c>
      <c r="H3" s="9">
        <v>45756</v>
      </c>
      <c r="I3" s="19">
        <f>H3+H4+H5+H6+H7+H8+H9+H10</f>
        <v>157316</v>
      </c>
      <c r="S3" s="22">
        <f>H3/$I$3*100</f>
        <v>29.085407714409218</v>
      </c>
    </row>
    <row r="4" spans="1:19" x14ac:dyDescent="0.35">
      <c r="A4" s="4">
        <v>2</v>
      </c>
      <c r="B4" s="4" t="s">
        <v>199</v>
      </c>
      <c r="C4" s="4" t="s">
        <v>196</v>
      </c>
      <c r="D4" s="4" t="s">
        <v>200</v>
      </c>
      <c r="E4" s="11">
        <v>0</v>
      </c>
      <c r="F4" s="11">
        <v>32</v>
      </c>
      <c r="G4" s="12"/>
      <c r="H4" s="9">
        <v>0</v>
      </c>
      <c r="S4" s="22">
        <f t="shared" ref="S4:S11" si="0">H4/$I$3*100</f>
        <v>0</v>
      </c>
    </row>
    <row r="5" spans="1:19" ht="22" x14ac:dyDescent="0.35">
      <c r="A5" s="4">
        <v>3</v>
      </c>
      <c r="B5" s="4" t="s">
        <v>69</v>
      </c>
      <c r="C5" s="4" t="s">
        <v>196</v>
      </c>
      <c r="D5" s="4">
        <v>4</v>
      </c>
      <c r="E5" s="11">
        <v>0</v>
      </c>
      <c r="F5" s="11">
        <v>24</v>
      </c>
      <c r="G5" s="12" t="s">
        <v>202</v>
      </c>
      <c r="H5" s="9">
        <v>83904</v>
      </c>
      <c r="S5" s="22">
        <f t="shared" si="0"/>
        <v>53.334689414935546</v>
      </c>
    </row>
    <row r="6" spans="1:19" x14ac:dyDescent="0.35">
      <c r="A6" s="4">
        <v>4</v>
      </c>
      <c r="B6" s="4" t="s">
        <v>52</v>
      </c>
      <c r="C6" s="4" t="s">
        <v>196</v>
      </c>
      <c r="D6" s="4" t="s">
        <v>197</v>
      </c>
      <c r="E6" s="11">
        <v>0</v>
      </c>
      <c r="F6" s="11">
        <v>26</v>
      </c>
      <c r="G6" s="12" t="s">
        <v>203</v>
      </c>
      <c r="H6" s="9">
        <v>9048</v>
      </c>
      <c r="S6" s="22">
        <f t="shared" si="0"/>
        <v>5.7514810953749143</v>
      </c>
    </row>
    <row r="7" spans="1:19" x14ac:dyDescent="0.35">
      <c r="A7" s="4">
        <v>5</v>
      </c>
      <c r="B7" s="4" t="s">
        <v>78</v>
      </c>
      <c r="C7" s="4" t="s">
        <v>196</v>
      </c>
      <c r="D7" s="4" t="s">
        <v>197</v>
      </c>
      <c r="E7" s="11">
        <v>0</v>
      </c>
      <c r="F7" s="11">
        <v>34</v>
      </c>
      <c r="G7" s="12" t="s">
        <v>204</v>
      </c>
      <c r="H7" s="9">
        <v>15368</v>
      </c>
      <c r="S7" s="22">
        <f t="shared" si="0"/>
        <v>9.7688728419232618</v>
      </c>
    </row>
    <row r="8" spans="1:19" x14ac:dyDescent="0.35">
      <c r="A8" s="4">
        <v>6</v>
      </c>
      <c r="B8" s="4" t="s">
        <v>205</v>
      </c>
      <c r="C8" s="4" t="s">
        <v>196</v>
      </c>
      <c r="D8" s="4" t="s">
        <v>201</v>
      </c>
      <c r="E8" s="11">
        <v>0</v>
      </c>
      <c r="F8" s="11">
        <v>36</v>
      </c>
      <c r="G8" s="12"/>
      <c r="H8" s="9">
        <v>0</v>
      </c>
      <c r="S8" s="22">
        <f t="shared" si="0"/>
        <v>0</v>
      </c>
    </row>
    <row r="9" spans="1:19" x14ac:dyDescent="0.35">
      <c r="A9" s="4">
        <v>7</v>
      </c>
      <c r="B9" s="4" t="s">
        <v>206</v>
      </c>
      <c r="C9" s="4" t="s">
        <v>196</v>
      </c>
      <c r="D9" s="4" t="s">
        <v>207</v>
      </c>
      <c r="E9" s="11">
        <v>0</v>
      </c>
      <c r="F9" s="11">
        <v>36</v>
      </c>
      <c r="G9" s="12"/>
      <c r="H9" s="9">
        <v>0</v>
      </c>
      <c r="S9" s="22">
        <f t="shared" si="0"/>
        <v>0</v>
      </c>
    </row>
    <row r="10" spans="1:19" x14ac:dyDescent="0.35">
      <c r="A10" s="4">
        <v>8</v>
      </c>
      <c r="B10" s="4" t="s">
        <v>537</v>
      </c>
      <c r="C10" s="4" t="s">
        <v>196</v>
      </c>
      <c r="D10" s="4" t="s">
        <v>200</v>
      </c>
      <c r="E10" s="11">
        <v>0</v>
      </c>
      <c r="F10" s="11">
        <v>45</v>
      </c>
      <c r="G10" s="12" t="s">
        <v>208</v>
      </c>
      <c r="H10" s="9">
        <v>3240</v>
      </c>
      <c r="S10" s="22">
        <f t="shared" si="0"/>
        <v>2.0595489333570649</v>
      </c>
    </row>
    <row r="11" spans="1:19" x14ac:dyDescent="0.35">
      <c r="S11" s="22">
        <f t="shared" si="0"/>
        <v>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4"/>
  <sheetViews>
    <sheetView workbookViewId="0">
      <selection activeCell="X8" sqref="X8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2" x14ac:dyDescent="0.35">
      <c r="A1" s="25" t="s">
        <v>0</v>
      </c>
      <c r="B1" s="25"/>
      <c r="C1" s="1" t="s">
        <v>2</v>
      </c>
      <c r="D1" s="25" t="s">
        <v>209</v>
      </c>
      <c r="E1" s="25"/>
      <c r="F1" s="25"/>
      <c r="G1" s="25"/>
    </row>
    <row r="2" spans="1:22" ht="22" x14ac:dyDescent="0.35">
      <c r="A2" s="1" t="s">
        <v>5</v>
      </c>
      <c r="B2" s="1" t="s">
        <v>6</v>
      </c>
      <c r="C2" s="1" t="s">
        <v>12</v>
      </c>
      <c r="D2" s="1" t="s">
        <v>210</v>
      </c>
      <c r="E2" s="1" t="s">
        <v>211</v>
      </c>
      <c r="F2" s="1" t="s">
        <v>212</v>
      </c>
      <c r="G2" s="1" t="s">
        <v>213</v>
      </c>
      <c r="T2" s="1" t="s">
        <v>527</v>
      </c>
      <c r="U2" s="1" t="s">
        <v>528</v>
      </c>
      <c r="V2" s="1" t="s">
        <v>529</v>
      </c>
    </row>
    <row r="3" spans="1:22" x14ac:dyDescent="0.35">
      <c r="A3" s="2">
        <v>0</v>
      </c>
      <c r="B3" s="3" t="s">
        <v>18</v>
      </c>
      <c r="C3" s="2" t="s">
        <v>214</v>
      </c>
      <c r="D3" s="2"/>
      <c r="E3" s="2"/>
      <c r="F3" s="2"/>
      <c r="G3" s="2"/>
      <c r="T3" s="23">
        <v>99</v>
      </c>
      <c r="U3" s="23">
        <v>100</v>
      </c>
      <c r="V3" s="23">
        <v>101</v>
      </c>
    </row>
    <row r="4" spans="1:22" x14ac:dyDescent="0.35">
      <c r="A4" s="4">
        <v>41</v>
      </c>
      <c r="B4" s="4" t="s">
        <v>21</v>
      </c>
      <c r="C4" s="2" t="s">
        <v>215</v>
      </c>
      <c r="D4" s="2"/>
      <c r="E4" s="2"/>
      <c r="F4" s="2"/>
      <c r="G4" s="2"/>
      <c r="T4" s="23">
        <v>99</v>
      </c>
      <c r="U4" s="23">
        <v>100</v>
      </c>
      <c r="V4" s="23">
        <v>101</v>
      </c>
    </row>
    <row r="5" spans="1:22" ht="22" x14ac:dyDescent="0.35">
      <c r="A5" s="3">
        <v>2</v>
      </c>
      <c r="B5" s="3" t="s">
        <v>24</v>
      </c>
      <c r="C5" s="12" t="s">
        <v>216</v>
      </c>
      <c r="D5" s="4" t="s">
        <v>217</v>
      </c>
      <c r="E5" s="4">
        <v>80</v>
      </c>
      <c r="F5" s="4">
        <v>100</v>
      </c>
      <c r="G5" s="4">
        <v>120</v>
      </c>
      <c r="T5" s="23">
        <f>E5</f>
        <v>80</v>
      </c>
      <c r="U5" s="23">
        <f t="shared" ref="U5:V5" si="0">F5</f>
        <v>100</v>
      </c>
      <c r="V5" s="23">
        <f t="shared" si="0"/>
        <v>120</v>
      </c>
    </row>
    <row r="6" spans="1:22" x14ac:dyDescent="0.35">
      <c r="A6" s="3">
        <v>3</v>
      </c>
      <c r="B6" s="3" t="s">
        <v>29</v>
      </c>
      <c r="C6" s="12" t="s">
        <v>218</v>
      </c>
      <c r="D6" s="4" t="s">
        <v>217</v>
      </c>
      <c r="E6" s="4">
        <v>80</v>
      </c>
      <c r="F6" s="4">
        <v>100</v>
      </c>
      <c r="G6" s="4">
        <v>120</v>
      </c>
      <c r="T6" s="23">
        <f t="shared" ref="T6:T10" si="1">E6</f>
        <v>80</v>
      </c>
      <c r="U6" s="23">
        <f t="shared" ref="U6:U10" si="2">F6</f>
        <v>100</v>
      </c>
      <c r="V6" s="23">
        <f t="shared" ref="V6:V10" si="3">G6</f>
        <v>120</v>
      </c>
    </row>
    <row r="7" spans="1:22" ht="22" x14ac:dyDescent="0.35">
      <c r="A7" s="3">
        <v>4</v>
      </c>
      <c r="B7" s="3" t="s">
        <v>34</v>
      </c>
      <c r="C7" s="12" t="s">
        <v>219</v>
      </c>
      <c r="D7" s="4" t="s">
        <v>217</v>
      </c>
      <c r="E7" s="4">
        <v>80</v>
      </c>
      <c r="F7" s="4">
        <v>100</v>
      </c>
      <c r="G7" s="4">
        <v>120</v>
      </c>
      <c r="T7" s="23">
        <f t="shared" si="1"/>
        <v>80</v>
      </c>
      <c r="U7" s="23">
        <f t="shared" si="2"/>
        <v>100</v>
      </c>
      <c r="V7" s="23">
        <f t="shared" si="3"/>
        <v>120</v>
      </c>
    </row>
    <row r="8" spans="1:22" ht="22" x14ac:dyDescent="0.35">
      <c r="A8" s="3">
        <v>5</v>
      </c>
      <c r="B8" s="3" t="s">
        <v>38</v>
      </c>
      <c r="C8" s="12" t="s">
        <v>220</v>
      </c>
      <c r="D8" s="4" t="s">
        <v>217</v>
      </c>
      <c r="E8" s="4">
        <v>80</v>
      </c>
      <c r="F8" s="4">
        <v>100</v>
      </c>
      <c r="G8" s="4">
        <v>120</v>
      </c>
      <c r="T8" s="23">
        <f t="shared" si="1"/>
        <v>80</v>
      </c>
      <c r="U8" s="23">
        <f t="shared" si="2"/>
        <v>100</v>
      </c>
      <c r="V8" s="23">
        <f t="shared" si="3"/>
        <v>120</v>
      </c>
    </row>
    <row r="9" spans="1:22" ht="22" x14ac:dyDescent="0.35">
      <c r="A9" s="3">
        <v>6</v>
      </c>
      <c r="B9" s="3" t="s">
        <v>43</v>
      </c>
      <c r="C9" s="12" t="s">
        <v>219</v>
      </c>
      <c r="D9" s="4" t="s">
        <v>217</v>
      </c>
      <c r="E9" s="4">
        <v>80</v>
      </c>
      <c r="F9" s="4">
        <v>100</v>
      </c>
      <c r="G9" s="4">
        <v>120</v>
      </c>
      <c r="T9" s="23">
        <f t="shared" si="1"/>
        <v>80</v>
      </c>
      <c r="U9" s="23">
        <f t="shared" si="2"/>
        <v>100</v>
      </c>
      <c r="V9" s="23">
        <f t="shared" si="3"/>
        <v>120</v>
      </c>
    </row>
    <row r="10" spans="1:22" x14ac:dyDescent="0.35">
      <c r="A10" s="3">
        <v>7</v>
      </c>
      <c r="B10" s="3" t="s">
        <v>47</v>
      </c>
      <c r="C10" s="12" t="s">
        <v>221</v>
      </c>
      <c r="D10" s="4" t="s">
        <v>217</v>
      </c>
      <c r="E10" s="4">
        <v>80</v>
      </c>
      <c r="F10" s="4">
        <v>100</v>
      </c>
      <c r="G10" s="4">
        <v>120</v>
      </c>
      <c r="T10" s="23">
        <f t="shared" si="1"/>
        <v>80</v>
      </c>
      <c r="U10" s="23">
        <f t="shared" si="2"/>
        <v>100</v>
      </c>
      <c r="V10" s="23">
        <f t="shared" si="3"/>
        <v>120</v>
      </c>
    </row>
    <row r="11" spans="1:22" x14ac:dyDescent="0.35">
      <c r="A11" s="4">
        <v>42</v>
      </c>
      <c r="B11" s="4" t="s">
        <v>53</v>
      </c>
      <c r="C11" s="2" t="s">
        <v>222</v>
      </c>
      <c r="D11" s="2"/>
      <c r="E11" s="2"/>
      <c r="F11" s="2"/>
      <c r="G11" s="2"/>
      <c r="T11" s="23">
        <v>99</v>
      </c>
      <c r="U11" s="23">
        <v>100</v>
      </c>
      <c r="V11" s="23">
        <v>101</v>
      </c>
    </row>
    <row r="12" spans="1:22" ht="22" x14ac:dyDescent="0.35">
      <c r="A12" s="3">
        <v>9</v>
      </c>
      <c r="B12" s="3" t="s">
        <v>56</v>
      </c>
      <c r="C12" s="12" t="s">
        <v>223</v>
      </c>
      <c r="D12" s="4" t="s">
        <v>217</v>
      </c>
      <c r="E12" s="4">
        <v>80</v>
      </c>
      <c r="F12" s="4">
        <v>100</v>
      </c>
      <c r="G12" s="4">
        <v>120</v>
      </c>
      <c r="T12" s="23">
        <f>E12</f>
        <v>80</v>
      </c>
      <c r="U12" s="23">
        <f t="shared" ref="U12:V12" si="4">F12</f>
        <v>100</v>
      </c>
      <c r="V12" s="23">
        <f t="shared" si="4"/>
        <v>120</v>
      </c>
    </row>
    <row r="13" spans="1:22" x14ac:dyDescent="0.35">
      <c r="A13" s="3">
        <v>10</v>
      </c>
      <c r="B13" s="3" t="s">
        <v>60</v>
      </c>
      <c r="C13" s="12" t="s">
        <v>224</v>
      </c>
      <c r="D13" s="4" t="s">
        <v>217</v>
      </c>
      <c r="E13" s="4">
        <v>80</v>
      </c>
      <c r="F13" s="4">
        <v>100</v>
      </c>
      <c r="G13" s="4">
        <v>120</v>
      </c>
      <c r="T13" s="23">
        <f t="shared" ref="T13:T14" si="5">E13</f>
        <v>80</v>
      </c>
      <c r="U13" s="23">
        <f t="shared" ref="U13:U14" si="6">F13</f>
        <v>100</v>
      </c>
      <c r="V13" s="23">
        <f t="shared" ref="V13:V14" si="7">G13</f>
        <v>120</v>
      </c>
    </row>
    <row r="14" spans="1:22" x14ac:dyDescent="0.35">
      <c r="A14" s="3">
        <v>11</v>
      </c>
      <c r="B14" s="3" t="s">
        <v>65</v>
      </c>
      <c r="C14" s="12" t="s">
        <v>224</v>
      </c>
      <c r="D14" s="4" t="s">
        <v>217</v>
      </c>
      <c r="E14" s="4">
        <v>80</v>
      </c>
      <c r="F14" s="4">
        <v>100</v>
      </c>
      <c r="G14" s="4">
        <v>120</v>
      </c>
      <c r="T14" s="23">
        <f t="shared" si="5"/>
        <v>80</v>
      </c>
      <c r="U14" s="23">
        <f t="shared" si="6"/>
        <v>100</v>
      </c>
      <c r="V14" s="23">
        <f t="shared" si="7"/>
        <v>120</v>
      </c>
    </row>
    <row r="15" spans="1:22" x14ac:dyDescent="0.35">
      <c r="A15" s="4">
        <v>43</v>
      </c>
      <c r="B15" s="4" t="s">
        <v>70</v>
      </c>
      <c r="C15" s="2" t="s">
        <v>225</v>
      </c>
      <c r="D15" s="2"/>
      <c r="E15" s="2"/>
      <c r="F15" s="2"/>
      <c r="G15" s="2"/>
      <c r="T15" s="23">
        <v>99</v>
      </c>
      <c r="U15" s="23">
        <v>100</v>
      </c>
      <c r="V15" s="23">
        <v>101</v>
      </c>
    </row>
    <row r="16" spans="1:22" x14ac:dyDescent="0.35">
      <c r="A16" s="3">
        <v>13</v>
      </c>
      <c r="B16" s="3" t="s">
        <v>73</v>
      </c>
      <c r="C16" s="12" t="s">
        <v>226</v>
      </c>
      <c r="D16" s="4" t="s">
        <v>217</v>
      </c>
      <c r="E16" s="4">
        <v>80</v>
      </c>
      <c r="F16" s="4">
        <v>100</v>
      </c>
      <c r="G16" s="4">
        <v>120</v>
      </c>
      <c r="T16" s="23">
        <f>E16</f>
        <v>80</v>
      </c>
      <c r="U16" s="23">
        <f t="shared" ref="U16:V16" si="8">F16</f>
        <v>100</v>
      </c>
      <c r="V16" s="23">
        <f t="shared" si="8"/>
        <v>120</v>
      </c>
    </row>
    <row r="17" spans="1:22" ht="22" x14ac:dyDescent="0.35">
      <c r="A17" s="3">
        <v>14</v>
      </c>
      <c r="B17" s="3" t="s">
        <v>79</v>
      </c>
      <c r="C17" s="12" t="s">
        <v>220</v>
      </c>
      <c r="D17" s="4" t="s">
        <v>217</v>
      </c>
      <c r="E17" s="4">
        <v>80</v>
      </c>
      <c r="F17" s="4">
        <v>100</v>
      </c>
      <c r="G17" s="4">
        <v>120</v>
      </c>
      <c r="T17" s="23">
        <f t="shared" ref="T17:T21" si="9">E17</f>
        <v>80</v>
      </c>
      <c r="U17" s="23">
        <f t="shared" ref="U17:U21" si="10">F17</f>
        <v>100</v>
      </c>
      <c r="V17" s="23">
        <f t="shared" ref="V17:V21" si="11">G17</f>
        <v>120</v>
      </c>
    </row>
    <row r="18" spans="1:22" ht="22" x14ac:dyDescent="0.35">
      <c r="A18" s="3">
        <v>15</v>
      </c>
      <c r="B18" s="3" t="s">
        <v>83</v>
      </c>
      <c r="C18" s="12" t="s">
        <v>227</v>
      </c>
      <c r="D18" s="4" t="s">
        <v>217</v>
      </c>
      <c r="E18" s="4">
        <v>80</v>
      </c>
      <c r="F18" s="4">
        <v>100</v>
      </c>
      <c r="G18" s="4">
        <v>120</v>
      </c>
      <c r="T18" s="23">
        <f t="shared" si="9"/>
        <v>80</v>
      </c>
      <c r="U18" s="23">
        <f t="shared" si="10"/>
        <v>100</v>
      </c>
      <c r="V18" s="23">
        <f t="shared" si="11"/>
        <v>120</v>
      </c>
    </row>
    <row r="19" spans="1:22" ht="32.5" x14ac:dyDescent="0.35">
      <c r="A19" s="3">
        <v>16</v>
      </c>
      <c r="B19" s="3" t="s">
        <v>88</v>
      </c>
      <c r="C19" s="12" t="s">
        <v>228</v>
      </c>
      <c r="D19" s="4" t="s">
        <v>217</v>
      </c>
      <c r="E19" s="4">
        <v>80</v>
      </c>
      <c r="F19" s="4">
        <v>100</v>
      </c>
      <c r="G19" s="4">
        <v>120</v>
      </c>
      <c r="T19" s="23">
        <f t="shared" si="9"/>
        <v>80</v>
      </c>
      <c r="U19" s="23">
        <f t="shared" si="10"/>
        <v>100</v>
      </c>
      <c r="V19" s="23">
        <f t="shared" si="11"/>
        <v>120</v>
      </c>
    </row>
    <row r="20" spans="1:22" ht="22" x14ac:dyDescent="0.35">
      <c r="A20" s="3">
        <v>17</v>
      </c>
      <c r="B20" s="3" t="s">
        <v>93</v>
      </c>
      <c r="C20" s="12" t="s">
        <v>224</v>
      </c>
      <c r="D20" s="4" t="s">
        <v>217</v>
      </c>
      <c r="E20" s="4">
        <v>80</v>
      </c>
      <c r="F20" s="4">
        <v>100</v>
      </c>
      <c r="G20" s="4">
        <v>120</v>
      </c>
      <c r="T20" s="23">
        <f t="shared" si="9"/>
        <v>80</v>
      </c>
      <c r="U20" s="23">
        <f t="shared" si="10"/>
        <v>100</v>
      </c>
      <c r="V20" s="23">
        <f t="shared" si="11"/>
        <v>120</v>
      </c>
    </row>
    <row r="21" spans="1:22" x14ac:dyDescent="0.35">
      <c r="A21" s="3">
        <v>18</v>
      </c>
      <c r="B21" s="3" t="s">
        <v>97</v>
      </c>
      <c r="C21" s="12" t="s">
        <v>229</v>
      </c>
      <c r="D21" s="4" t="s">
        <v>217</v>
      </c>
      <c r="E21" s="4">
        <v>80</v>
      </c>
      <c r="F21" s="4">
        <v>100</v>
      </c>
      <c r="G21" s="4">
        <v>120</v>
      </c>
      <c r="T21" s="23">
        <f t="shared" si="9"/>
        <v>80</v>
      </c>
      <c r="U21" s="23">
        <f t="shared" si="10"/>
        <v>100</v>
      </c>
      <c r="V21" s="23">
        <f t="shared" si="11"/>
        <v>120</v>
      </c>
    </row>
    <row r="22" spans="1:22" x14ac:dyDescent="0.35">
      <c r="A22" s="4">
        <v>44</v>
      </c>
      <c r="B22" s="4" t="s">
        <v>100</v>
      </c>
      <c r="C22" s="2" t="s">
        <v>230</v>
      </c>
      <c r="D22" s="2"/>
      <c r="E22" s="2"/>
      <c r="F22" s="2"/>
      <c r="G22" s="2"/>
      <c r="T22" s="23">
        <v>99</v>
      </c>
      <c r="U22" s="23">
        <v>100</v>
      </c>
      <c r="V22" s="23">
        <v>101</v>
      </c>
    </row>
    <row r="23" spans="1:22" x14ac:dyDescent="0.35">
      <c r="A23" s="3">
        <v>20</v>
      </c>
      <c r="B23" s="3" t="s">
        <v>103</v>
      </c>
      <c r="C23" s="12" t="s">
        <v>231</v>
      </c>
      <c r="D23" s="4" t="s">
        <v>217</v>
      </c>
      <c r="E23" s="4">
        <v>80</v>
      </c>
      <c r="F23" s="4">
        <v>100</v>
      </c>
      <c r="G23" s="4">
        <v>120</v>
      </c>
      <c r="T23" s="23">
        <f>E23</f>
        <v>80</v>
      </c>
      <c r="U23" s="23">
        <f t="shared" ref="U23:V23" si="12">F23</f>
        <v>100</v>
      </c>
      <c r="V23" s="23">
        <f t="shared" si="12"/>
        <v>120</v>
      </c>
    </row>
    <row r="24" spans="1:22" x14ac:dyDescent="0.35">
      <c r="A24" s="3">
        <v>21</v>
      </c>
      <c r="B24" s="3" t="s">
        <v>108</v>
      </c>
      <c r="C24" s="12" t="s">
        <v>232</v>
      </c>
      <c r="D24" s="4" t="s">
        <v>217</v>
      </c>
      <c r="E24" s="4">
        <v>80</v>
      </c>
      <c r="F24" s="4">
        <v>100</v>
      </c>
      <c r="G24" s="4">
        <v>120</v>
      </c>
      <c r="T24" s="23">
        <f t="shared" ref="T24:T27" si="13">E24</f>
        <v>80</v>
      </c>
      <c r="U24" s="23">
        <f t="shared" ref="U24:U27" si="14">F24</f>
        <v>100</v>
      </c>
      <c r="V24" s="23">
        <f t="shared" ref="V24:V27" si="15">G24</f>
        <v>120</v>
      </c>
    </row>
    <row r="25" spans="1:22" x14ac:dyDescent="0.35">
      <c r="A25" s="3">
        <v>22</v>
      </c>
      <c r="B25" s="3" t="s">
        <v>113</v>
      </c>
      <c r="C25" s="12" t="s">
        <v>232</v>
      </c>
      <c r="D25" s="4" t="s">
        <v>217</v>
      </c>
      <c r="E25" s="4">
        <v>80</v>
      </c>
      <c r="F25" s="4">
        <v>100</v>
      </c>
      <c r="G25" s="4">
        <v>120</v>
      </c>
      <c r="T25" s="23">
        <f t="shared" si="13"/>
        <v>80</v>
      </c>
      <c r="U25" s="23">
        <f t="shared" si="14"/>
        <v>100</v>
      </c>
      <c r="V25" s="23">
        <f t="shared" si="15"/>
        <v>120</v>
      </c>
    </row>
    <row r="26" spans="1:22" x14ac:dyDescent="0.35">
      <c r="A26" s="3">
        <v>23</v>
      </c>
      <c r="B26" s="3" t="s">
        <v>116</v>
      </c>
      <c r="C26" s="12" t="s">
        <v>233</v>
      </c>
      <c r="D26" s="4" t="s">
        <v>217</v>
      </c>
      <c r="E26" s="4">
        <v>80</v>
      </c>
      <c r="F26" s="4">
        <v>100</v>
      </c>
      <c r="G26" s="4">
        <v>120</v>
      </c>
      <c r="T26" s="23">
        <f t="shared" si="13"/>
        <v>80</v>
      </c>
      <c r="U26" s="23">
        <f t="shared" si="14"/>
        <v>100</v>
      </c>
      <c r="V26" s="23">
        <f t="shared" si="15"/>
        <v>120</v>
      </c>
    </row>
    <row r="27" spans="1:22" ht="22" x14ac:dyDescent="0.35">
      <c r="A27" s="3">
        <v>24</v>
      </c>
      <c r="B27" s="3" t="s">
        <v>120</v>
      </c>
      <c r="C27" s="12" t="s">
        <v>233</v>
      </c>
      <c r="D27" s="4" t="s">
        <v>217</v>
      </c>
      <c r="E27" s="4">
        <v>80</v>
      </c>
      <c r="F27" s="4">
        <v>100</v>
      </c>
      <c r="G27" s="4">
        <v>120</v>
      </c>
      <c r="T27" s="23">
        <f t="shared" si="13"/>
        <v>80</v>
      </c>
      <c r="U27" s="23">
        <f t="shared" si="14"/>
        <v>100</v>
      </c>
      <c r="V27" s="23">
        <f t="shared" si="15"/>
        <v>120</v>
      </c>
    </row>
    <row r="28" spans="1:22" x14ac:dyDescent="0.35">
      <c r="A28" s="4">
        <v>45</v>
      </c>
      <c r="B28" s="4" t="s">
        <v>123</v>
      </c>
      <c r="C28" s="2" t="s">
        <v>234</v>
      </c>
      <c r="D28" s="2"/>
      <c r="E28" s="2"/>
      <c r="F28" s="2"/>
      <c r="G28" s="2"/>
      <c r="T28" s="23">
        <v>99</v>
      </c>
      <c r="U28" s="23">
        <v>100</v>
      </c>
      <c r="V28" s="23">
        <v>101</v>
      </c>
    </row>
    <row r="29" spans="1:22" ht="22" x14ac:dyDescent="0.35">
      <c r="A29" s="3">
        <v>26</v>
      </c>
      <c r="B29" s="3" t="s">
        <v>126</v>
      </c>
      <c r="C29" s="12" t="s">
        <v>234</v>
      </c>
      <c r="D29" s="4" t="s">
        <v>217</v>
      </c>
      <c r="E29" s="4">
        <v>80</v>
      </c>
      <c r="F29" s="4">
        <v>100</v>
      </c>
      <c r="G29" s="4">
        <v>120</v>
      </c>
      <c r="T29" s="23">
        <f>E29</f>
        <v>80</v>
      </c>
      <c r="U29" s="23">
        <f t="shared" ref="U29:V29" si="16">F29</f>
        <v>100</v>
      </c>
      <c r="V29" s="23">
        <f t="shared" si="16"/>
        <v>120</v>
      </c>
    </row>
    <row r="30" spans="1:22" x14ac:dyDescent="0.35">
      <c r="A30" s="4">
        <v>46</v>
      </c>
      <c r="B30" s="4" t="s">
        <v>131</v>
      </c>
      <c r="C30" s="2" t="s">
        <v>235</v>
      </c>
      <c r="D30" s="2"/>
      <c r="E30" s="2"/>
      <c r="F30" s="2"/>
      <c r="G30" s="2"/>
      <c r="T30" s="23">
        <v>99</v>
      </c>
      <c r="U30" s="23">
        <v>100</v>
      </c>
      <c r="V30" s="23">
        <v>101</v>
      </c>
    </row>
    <row r="31" spans="1:22" x14ac:dyDescent="0.35">
      <c r="A31" s="3">
        <v>28</v>
      </c>
      <c r="B31" s="3" t="s">
        <v>134</v>
      </c>
      <c r="C31" s="12" t="s">
        <v>236</v>
      </c>
      <c r="D31" s="4" t="s">
        <v>217</v>
      </c>
      <c r="E31" s="4">
        <v>80</v>
      </c>
      <c r="F31" s="4">
        <v>100</v>
      </c>
      <c r="G31" s="4">
        <v>120</v>
      </c>
      <c r="T31" s="23">
        <f>E31</f>
        <v>80</v>
      </c>
      <c r="U31" s="23">
        <f>F31</f>
        <v>100</v>
      </c>
      <c r="V31" s="23">
        <f>G31</f>
        <v>120</v>
      </c>
    </row>
    <row r="32" spans="1:22" ht="22" x14ac:dyDescent="0.35">
      <c r="A32" s="3">
        <v>29</v>
      </c>
      <c r="B32" s="3" t="s">
        <v>138</v>
      </c>
      <c r="C32" s="12" t="s">
        <v>226</v>
      </c>
      <c r="D32" s="4" t="s">
        <v>217</v>
      </c>
      <c r="E32" s="4">
        <v>80</v>
      </c>
      <c r="F32" s="4">
        <v>100</v>
      </c>
      <c r="G32" s="4">
        <v>120</v>
      </c>
      <c r="T32" s="23">
        <f t="shared" ref="T32:T33" si="17">E32</f>
        <v>80</v>
      </c>
      <c r="U32" s="23">
        <f t="shared" ref="U32:U33" si="18">F32</f>
        <v>100</v>
      </c>
      <c r="V32" s="23">
        <f t="shared" ref="V32:V33" si="19">G32</f>
        <v>120</v>
      </c>
    </row>
    <row r="33" spans="1:22" x14ac:dyDescent="0.35">
      <c r="A33" s="3">
        <v>30</v>
      </c>
      <c r="B33" s="3" t="s">
        <v>142</v>
      </c>
      <c r="C33" s="12" t="s">
        <v>231</v>
      </c>
      <c r="D33" s="4" t="s">
        <v>217</v>
      </c>
      <c r="E33" s="4">
        <v>80</v>
      </c>
      <c r="F33" s="4">
        <v>100</v>
      </c>
      <c r="G33" s="4">
        <v>120</v>
      </c>
      <c r="T33" s="23">
        <f t="shared" si="17"/>
        <v>80</v>
      </c>
      <c r="U33" s="23">
        <f t="shared" si="18"/>
        <v>100</v>
      </c>
      <c r="V33" s="23">
        <f t="shared" si="19"/>
        <v>120</v>
      </c>
    </row>
    <row r="34" spans="1:22" x14ac:dyDescent="0.35">
      <c r="A34" s="4">
        <v>47</v>
      </c>
      <c r="B34" s="4" t="s">
        <v>146</v>
      </c>
      <c r="C34" s="2" t="s">
        <v>237</v>
      </c>
      <c r="D34" s="2"/>
      <c r="E34" s="2"/>
      <c r="F34" s="2"/>
      <c r="G34" s="2"/>
      <c r="T34" s="23">
        <v>99</v>
      </c>
      <c r="U34" s="23">
        <v>100</v>
      </c>
      <c r="V34" s="23">
        <v>101</v>
      </c>
    </row>
    <row r="35" spans="1:22" ht="22" x14ac:dyDescent="0.35">
      <c r="A35" s="3">
        <v>32</v>
      </c>
      <c r="B35" s="3" t="s">
        <v>149</v>
      </c>
      <c r="C35" s="12" t="s">
        <v>238</v>
      </c>
      <c r="D35" s="4" t="s">
        <v>217</v>
      </c>
      <c r="E35" s="4">
        <v>80</v>
      </c>
      <c r="F35" s="4">
        <v>100</v>
      </c>
      <c r="G35" s="4">
        <v>120</v>
      </c>
      <c r="T35" s="23">
        <f>E35</f>
        <v>80</v>
      </c>
      <c r="U35" s="23">
        <f t="shared" ref="U35:V35" si="20">F35</f>
        <v>100</v>
      </c>
      <c r="V35" s="23">
        <f t="shared" si="20"/>
        <v>120</v>
      </c>
    </row>
    <row r="36" spans="1:22" x14ac:dyDescent="0.35">
      <c r="A36" s="3">
        <v>33</v>
      </c>
      <c r="B36" s="3" t="s">
        <v>155</v>
      </c>
      <c r="C36" s="12" t="s">
        <v>239</v>
      </c>
      <c r="D36" s="4" t="s">
        <v>217</v>
      </c>
      <c r="E36" s="4">
        <v>80</v>
      </c>
      <c r="F36" s="4">
        <v>100</v>
      </c>
      <c r="G36" s="4">
        <v>120</v>
      </c>
      <c r="T36" s="23">
        <f t="shared" ref="T36:T37" si="21">E36</f>
        <v>80</v>
      </c>
      <c r="U36" s="23">
        <f t="shared" ref="U36:U37" si="22">F36</f>
        <v>100</v>
      </c>
      <c r="V36" s="23">
        <f t="shared" ref="V36:V37" si="23">G36</f>
        <v>120</v>
      </c>
    </row>
    <row r="37" spans="1:22" x14ac:dyDescent="0.35">
      <c r="A37" s="3">
        <v>34</v>
      </c>
      <c r="B37" s="3" t="s">
        <v>159</v>
      </c>
      <c r="C37" s="12" t="s">
        <v>231</v>
      </c>
      <c r="D37" s="4" t="s">
        <v>217</v>
      </c>
      <c r="E37" s="4">
        <v>80</v>
      </c>
      <c r="F37" s="4">
        <v>100</v>
      </c>
      <c r="G37" s="4">
        <v>120</v>
      </c>
      <c r="T37" s="23">
        <f t="shared" si="21"/>
        <v>80</v>
      </c>
      <c r="U37" s="23">
        <f t="shared" si="22"/>
        <v>100</v>
      </c>
      <c r="V37" s="23">
        <f t="shared" si="23"/>
        <v>120</v>
      </c>
    </row>
    <row r="38" spans="1:22" x14ac:dyDescent="0.35">
      <c r="A38" s="4">
        <v>48</v>
      </c>
      <c r="B38" s="4" t="s">
        <v>163</v>
      </c>
      <c r="C38" s="2" t="s">
        <v>240</v>
      </c>
      <c r="D38" s="2"/>
      <c r="E38" s="2"/>
      <c r="F38" s="2"/>
      <c r="G38" s="2"/>
      <c r="T38" s="23">
        <v>99</v>
      </c>
      <c r="U38" s="23">
        <v>100</v>
      </c>
      <c r="V38" s="23">
        <v>101</v>
      </c>
    </row>
    <row r="39" spans="1:22" x14ac:dyDescent="0.35">
      <c r="A39" s="3">
        <v>36</v>
      </c>
      <c r="B39" s="3" t="s">
        <v>166</v>
      </c>
      <c r="C39" s="12" t="s">
        <v>241</v>
      </c>
      <c r="D39" s="4" t="s">
        <v>217</v>
      </c>
      <c r="E39" s="4">
        <v>80</v>
      </c>
      <c r="F39" s="4">
        <v>100</v>
      </c>
      <c r="G39" s="4">
        <v>120</v>
      </c>
      <c r="T39" s="23">
        <f>E39</f>
        <v>80</v>
      </c>
      <c r="U39" s="23">
        <f t="shared" ref="U39:V39" si="24">F39</f>
        <v>100</v>
      </c>
      <c r="V39" s="23">
        <f t="shared" si="24"/>
        <v>120</v>
      </c>
    </row>
    <row r="40" spans="1:22" x14ac:dyDescent="0.35">
      <c r="A40" s="3">
        <v>37</v>
      </c>
      <c r="B40" s="3" t="s">
        <v>170</v>
      </c>
      <c r="C40" s="12" t="s">
        <v>242</v>
      </c>
      <c r="D40" s="4" t="s">
        <v>217</v>
      </c>
      <c r="E40" s="4">
        <v>80</v>
      </c>
      <c r="F40" s="4">
        <v>100</v>
      </c>
      <c r="G40" s="4">
        <v>120</v>
      </c>
      <c r="T40" s="23">
        <f>E40</f>
        <v>80</v>
      </c>
      <c r="U40" s="23">
        <f t="shared" ref="U40" si="25">F40</f>
        <v>100</v>
      </c>
      <c r="V40" s="23">
        <f t="shared" ref="V40" si="26">G40</f>
        <v>120</v>
      </c>
    </row>
    <row r="41" spans="1:22" x14ac:dyDescent="0.35">
      <c r="A41" s="4">
        <v>49</v>
      </c>
      <c r="B41" s="4" t="s">
        <v>175</v>
      </c>
      <c r="C41" s="2" t="s">
        <v>243</v>
      </c>
      <c r="D41" s="2"/>
      <c r="E41" s="2"/>
      <c r="F41" s="2"/>
      <c r="G41" s="2"/>
      <c r="T41" s="23">
        <v>99</v>
      </c>
      <c r="U41" s="23">
        <v>100</v>
      </c>
      <c r="V41" s="23">
        <v>101</v>
      </c>
    </row>
    <row r="42" spans="1:22" x14ac:dyDescent="0.35">
      <c r="A42" s="3">
        <v>39</v>
      </c>
      <c r="B42" s="3" t="s">
        <v>178</v>
      </c>
      <c r="C42" s="12" t="s">
        <v>224</v>
      </c>
      <c r="D42" s="4" t="s">
        <v>217</v>
      </c>
      <c r="E42" s="4">
        <v>80</v>
      </c>
      <c r="F42" s="4">
        <v>100</v>
      </c>
      <c r="G42" s="4">
        <v>120</v>
      </c>
      <c r="T42" s="23">
        <f>E42</f>
        <v>80</v>
      </c>
      <c r="U42" s="23">
        <f t="shared" ref="U42:V42" si="27">F42</f>
        <v>100</v>
      </c>
      <c r="V42" s="23">
        <f t="shared" si="27"/>
        <v>120</v>
      </c>
    </row>
    <row r="43" spans="1:22" x14ac:dyDescent="0.35">
      <c r="A43" s="3">
        <v>40</v>
      </c>
      <c r="B43" s="3" t="s">
        <v>182</v>
      </c>
      <c r="C43" s="12" t="s">
        <v>244</v>
      </c>
      <c r="D43" s="4" t="s">
        <v>217</v>
      </c>
      <c r="E43" s="4">
        <v>80</v>
      </c>
      <c r="F43" s="4">
        <v>100</v>
      </c>
      <c r="G43" s="4">
        <v>120</v>
      </c>
      <c r="T43" s="23">
        <f t="shared" ref="T43:T44" si="28">E43</f>
        <v>80</v>
      </c>
      <c r="U43" s="23">
        <f t="shared" ref="U43:U44" si="29">F43</f>
        <v>100</v>
      </c>
      <c r="V43" s="23">
        <f t="shared" ref="V43:V44" si="30">G43</f>
        <v>120</v>
      </c>
    </row>
    <row r="44" spans="1:22" x14ac:dyDescent="0.35">
      <c r="A44" s="3">
        <v>50</v>
      </c>
      <c r="B44" s="3" t="s">
        <v>187</v>
      </c>
      <c r="C44" s="12" t="s">
        <v>245</v>
      </c>
      <c r="D44" s="4" t="s">
        <v>217</v>
      </c>
      <c r="E44" s="4">
        <v>80</v>
      </c>
      <c r="F44" s="4">
        <v>100</v>
      </c>
      <c r="G44" s="4">
        <v>120</v>
      </c>
      <c r="T44" s="23">
        <f t="shared" si="28"/>
        <v>80</v>
      </c>
      <c r="U44" s="23">
        <f t="shared" si="29"/>
        <v>100</v>
      </c>
      <c r="V44" s="23">
        <f t="shared" si="30"/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6"/>
  <sheetViews>
    <sheetView topLeftCell="B73"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42710.708333333299</v>
      </c>
      <c r="E1" s="1" t="s">
        <v>247</v>
      </c>
      <c r="F1" s="4" t="s">
        <v>261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64</v>
      </c>
      <c r="N5" s="6"/>
      <c r="O5" s="6"/>
      <c r="P5" s="2"/>
      <c r="Q5" s="6"/>
      <c r="R5" s="6"/>
      <c r="S5" s="6">
        <v>10800</v>
      </c>
      <c r="T5" s="6"/>
      <c r="U5" s="13">
        <v>4.5814839789370199E-3</v>
      </c>
      <c r="V5" s="2"/>
      <c r="W5" s="6">
        <v>7803.8707351684598</v>
      </c>
      <c r="X5" s="6">
        <v>10800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64</v>
      </c>
      <c r="N6" s="6"/>
      <c r="O6" s="6"/>
      <c r="P6" s="2"/>
      <c r="Q6" s="6"/>
      <c r="R6" s="6"/>
      <c r="S6" s="6">
        <v>10800</v>
      </c>
      <c r="T6" s="6"/>
      <c r="U6" s="13">
        <v>0.32822471127054398</v>
      </c>
      <c r="V6" s="2"/>
      <c r="W6" s="6">
        <v>7803.8707351684598</v>
      </c>
      <c r="X6" s="6">
        <v>10800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64</v>
      </c>
      <c r="N7" s="9">
        <v>10800</v>
      </c>
      <c r="O7" s="9">
        <v>3150</v>
      </c>
      <c r="P7" s="12" t="s">
        <v>262</v>
      </c>
      <c r="Q7" s="9">
        <v>0</v>
      </c>
      <c r="R7" s="11">
        <v>0</v>
      </c>
      <c r="S7" s="10">
        <v>10800</v>
      </c>
      <c r="T7" s="9">
        <v>3150</v>
      </c>
      <c r="U7" s="14">
        <v>0.77419352531433105</v>
      </c>
      <c r="V7" s="12" t="s">
        <v>263</v>
      </c>
      <c r="W7" s="9">
        <v>7803.8707351684598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3"/>
      <c r="M8" s="3" t="s">
        <v>264</v>
      </c>
      <c r="N8" s="9">
        <v>0</v>
      </c>
      <c r="O8" s="9">
        <v>1440</v>
      </c>
      <c r="P8" s="12" t="s">
        <v>32</v>
      </c>
      <c r="Q8" s="9">
        <v>0</v>
      </c>
      <c r="R8" s="11">
        <v>0</v>
      </c>
      <c r="S8" s="10">
        <v>0</v>
      </c>
      <c r="T8" s="9">
        <v>1440</v>
      </c>
      <c r="U8" s="14">
        <v>0</v>
      </c>
      <c r="V8" s="12" t="s">
        <v>265</v>
      </c>
      <c r="W8" s="9">
        <v>0</v>
      </c>
      <c r="X8" s="9">
        <v>360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3"/>
      <c r="M9" s="3" t="s">
        <v>264</v>
      </c>
      <c r="N9" s="9">
        <v>0</v>
      </c>
      <c r="O9" s="9">
        <v>1800</v>
      </c>
      <c r="P9" s="12" t="s">
        <v>37</v>
      </c>
      <c r="Q9" s="9">
        <v>0</v>
      </c>
      <c r="R9" s="11">
        <v>0</v>
      </c>
      <c r="S9" s="10">
        <v>0</v>
      </c>
      <c r="T9" s="9">
        <v>1800</v>
      </c>
      <c r="U9" s="14">
        <v>0</v>
      </c>
      <c r="V9" s="12" t="s">
        <v>265</v>
      </c>
      <c r="W9" s="9">
        <v>0</v>
      </c>
      <c r="X9" s="9">
        <v>360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3"/>
      <c r="M10" s="3" t="s">
        <v>264</v>
      </c>
      <c r="N10" s="9">
        <v>0</v>
      </c>
      <c r="O10" s="9">
        <v>7200</v>
      </c>
      <c r="P10" s="12" t="s">
        <v>42</v>
      </c>
      <c r="Q10" s="9">
        <v>0</v>
      </c>
      <c r="R10" s="11">
        <v>0</v>
      </c>
      <c r="S10" s="10">
        <v>0</v>
      </c>
      <c r="T10" s="9">
        <v>7200</v>
      </c>
      <c r="U10" s="14">
        <v>0</v>
      </c>
      <c r="V10" s="12" t="s">
        <v>265</v>
      </c>
      <c r="W10" s="9">
        <v>0</v>
      </c>
      <c r="X10" s="9">
        <v>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3"/>
      <c r="M11" s="3" t="s">
        <v>264</v>
      </c>
      <c r="N11" s="9">
        <v>0</v>
      </c>
      <c r="O11" s="9">
        <v>1800</v>
      </c>
      <c r="P11" s="12" t="s">
        <v>37</v>
      </c>
      <c r="Q11" s="9">
        <v>0</v>
      </c>
      <c r="R11" s="11">
        <v>0</v>
      </c>
      <c r="S11" s="10">
        <v>0</v>
      </c>
      <c r="T11" s="9">
        <v>1800</v>
      </c>
      <c r="U11" s="14">
        <v>0</v>
      </c>
      <c r="V11" s="12" t="s">
        <v>265</v>
      </c>
      <c r="W11" s="9">
        <v>0</v>
      </c>
      <c r="X11" s="9">
        <v>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3"/>
      <c r="M12" s="3" t="s">
        <v>264</v>
      </c>
      <c r="N12" s="9">
        <v>0</v>
      </c>
      <c r="O12" s="9">
        <v>1456</v>
      </c>
      <c r="P12" s="12" t="s">
        <v>51</v>
      </c>
      <c r="Q12" s="9">
        <v>0</v>
      </c>
      <c r="R12" s="11">
        <v>0</v>
      </c>
      <c r="S12" s="10">
        <v>0</v>
      </c>
      <c r="T12" s="9">
        <v>1456</v>
      </c>
      <c r="U12" s="14">
        <v>0</v>
      </c>
      <c r="V12" s="12" t="s">
        <v>265</v>
      </c>
      <c r="W12" s="9">
        <v>0</v>
      </c>
      <c r="X12" s="9">
        <v>0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264</v>
      </c>
      <c r="N13" s="6"/>
      <c r="O13" s="6"/>
      <c r="P13" s="2"/>
      <c r="Q13" s="6"/>
      <c r="R13" s="6"/>
      <c r="S13" s="6">
        <v>0</v>
      </c>
      <c r="T13" s="6"/>
      <c r="U13" s="13">
        <v>0</v>
      </c>
      <c r="V13" s="2"/>
      <c r="W13" s="6">
        <v>0</v>
      </c>
      <c r="X13" s="6">
        <v>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3"/>
      <c r="M14" s="3" t="s">
        <v>264</v>
      </c>
      <c r="N14" s="9">
        <v>0</v>
      </c>
      <c r="O14" s="9">
        <v>0</v>
      </c>
      <c r="P14" s="12" t="s">
        <v>59</v>
      </c>
      <c r="Q14" s="9">
        <v>0</v>
      </c>
      <c r="R14" s="11">
        <v>0</v>
      </c>
      <c r="S14" s="10">
        <v>0</v>
      </c>
      <c r="T14" s="9">
        <v>0</v>
      </c>
      <c r="U14" s="14">
        <v>0</v>
      </c>
      <c r="V14" s="12" t="s">
        <v>265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3"/>
      <c r="M15" s="3" t="s">
        <v>264</v>
      </c>
      <c r="N15" s="9">
        <v>0</v>
      </c>
      <c r="O15" s="9">
        <v>45000</v>
      </c>
      <c r="P15" s="12" t="s">
        <v>64</v>
      </c>
      <c r="Q15" s="9">
        <v>0</v>
      </c>
      <c r="R15" s="11">
        <v>0</v>
      </c>
      <c r="S15" s="10">
        <v>0</v>
      </c>
      <c r="T15" s="9">
        <v>45000</v>
      </c>
      <c r="U15" s="14">
        <v>0</v>
      </c>
      <c r="V15" s="12" t="s">
        <v>265</v>
      </c>
      <c r="W15" s="9">
        <v>0</v>
      </c>
      <c r="X15" s="9">
        <v>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3"/>
      <c r="M16" s="3" t="s">
        <v>264</v>
      </c>
      <c r="N16" s="9">
        <v>0</v>
      </c>
      <c r="O16" s="9">
        <v>2880</v>
      </c>
      <c r="P16" s="12" t="s">
        <v>64</v>
      </c>
      <c r="Q16" s="9">
        <v>0</v>
      </c>
      <c r="R16" s="11">
        <v>0</v>
      </c>
      <c r="S16" s="10">
        <v>0</v>
      </c>
      <c r="T16" s="9">
        <v>2880</v>
      </c>
      <c r="U16" s="14">
        <v>0</v>
      </c>
      <c r="V16" s="12" t="s">
        <v>265</v>
      </c>
      <c r="W16" s="9">
        <v>0</v>
      </c>
      <c r="X16" s="9">
        <v>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264</v>
      </c>
      <c r="N17" s="6"/>
      <c r="O17" s="6"/>
      <c r="P17" s="2"/>
      <c r="Q17" s="6"/>
      <c r="R17" s="6"/>
      <c r="S17" s="6">
        <v>0</v>
      </c>
      <c r="T17" s="6"/>
      <c r="U17" s="13">
        <v>0</v>
      </c>
      <c r="V17" s="2"/>
      <c r="W17" s="6">
        <v>0</v>
      </c>
      <c r="X17" s="6">
        <v>0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3"/>
      <c r="M18" s="3" t="s">
        <v>264</v>
      </c>
      <c r="N18" s="9">
        <v>0</v>
      </c>
      <c r="O18" s="9">
        <v>8160</v>
      </c>
      <c r="P18" s="12" t="s">
        <v>77</v>
      </c>
      <c r="Q18" s="9">
        <v>0</v>
      </c>
      <c r="R18" s="11">
        <v>0</v>
      </c>
      <c r="S18" s="10">
        <v>0</v>
      </c>
      <c r="T18" s="9">
        <v>8160</v>
      </c>
      <c r="U18" s="14">
        <v>0</v>
      </c>
      <c r="V18" s="12" t="s">
        <v>265</v>
      </c>
      <c r="W18" s="9">
        <v>0</v>
      </c>
      <c r="X18" s="9">
        <v>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3"/>
      <c r="M19" s="3" t="s">
        <v>264</v>
      </c>
      <c r="N19" s="9">
        <v>0</v>
      </c>
      <c r="O19" s="9">
        <v>0</v>
      </c>
      <c r="P19" s="12" t="s">
        <v>42</v>
      </c>
      <c r="Q19" s="9">
        <v>0</v>
      </c>
      <c r="R19" s="11">
        <v>0</v>
      </c>
      <c r="S19" s="10">
        <v>0</v>
      </c>
      <c r="T19" s="9">
        <v>0</v>
      </c>
      <c r="U19" s="14">
        <v>0</v>
      </c>
      <c r="V19" s="12" t="s">
        <v>265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3"/>
      <c r="M20" s="3" t="s">
        <v>264</v>
      </c>
      <c r="N20" s="9">
        <v>0</v>
      </c>
      <c r="O20" s="9">
        <v>4160</v>
      </c>
      <c r="P20" s="12" t="s">
        <v>86</v>
      </c>
      <c r="Q20" s="9">
        <v>0</v>
      </c>
      <c r="R20" s="11">
        <v>0</v>
      </c>
      <c r="S20" s="10">
        <v>0</v>
      </c>
      <c r="T20" s="9">
        <v>4160</v>
      </c>
      <c r="U20" s="14">
        <v>0</v>
      </c>
      <c r="V20" s="12" t="s">
        <v>265</v>
      </c>
      <c r="W20" s="9">
        <v>0</v>
      </c>
      <c r="X20" s="9">
        <v>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3"/>
      <c r="M21" s="3" t="s">
        <v>264</v>
      </c>
      <c r="N21" s="9">
        <v>0</v>
      </c>
      <c r="O21" s="9">
        <v>4760</v>
      </c>
      <c r="P21" s="12" t="s">
        <v>91</v>
      </c>
      <c r="Q21" s="9">
        <v>0</v>
      </c>
      <c r="R21" s="11">
        <v>0</v>
      </c>
      <c r="S21" s="10">
        <v>0</v>
      </c>
      <c r="T21" s="9">
        <v>4760</v>
      </c>
      <c r="U21" s="14">
        <v>0</v>
      </c>
      <c r="V21" s="12" t="s">
        <v>265</v>
      </c>
      <c r="W21" s="9">
        <v>0</v>
      </c>
      <c r="X21" s="9">
        <v>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3"/>
      <c r="M22" s="3" t="s">
        <v>264</v>
      </c>
      <c r="N22" s="9">
        <v>0</v>
      </c>
      <c r="O22" s="9">
        <v>4260</v>
      </c>
      <c r="P22" s="12" t="s">
        <v>64</v>
      </c>
      <c r="Q22" s="9">
        <v>0</v>
      </c>
      <c r="R22" s="11">
        <v>0</v>
      </c>
      <c r="S22" s="10">
        <v>0</v>
      </c>
      <c r="T22" s="9">
        <v>4260</v>
      </c>
      <c r="U22" s="14">
        <v>0</v>
      </c>
      <c r="V22" s="12" t="s">
        <v>265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3"/>
      <c r="M23" s="3" t="s">
        <v>264</v>
      </c>
      <c r="N23" s="9">
        <v>0</v>
      </c>
      <c r="O23" s="9">
        <v>2112</v>
      </c>
      <c r="P23" s="12" t="s">
        <v>99</v>
      </c>
      <c r="Q23" s="9">
        <v>0</v>
      </c>
      <c r="R23" s="11">
        <v>0</v>
      </c>
      <c r="S23" s="10">
        <v>0</v>
      </c>
      <c r="T23" s="9">
        <v>2112</v>
      </c>
      <c r="U23" s="14">
        <v>0</v>
      </c>
      <c r="V23" s="12" t="s">
        <v>265</v>
      </c>
      <c r="W23" s="9">
        <v>0</v>
      </c>
      <c r="X23" s="9">
        <v>0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264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3"/>
      <c r="M25" s="3" t="s">
        <v>264</v>
      </c>
      <c r="N25" s="9">
        <v>0</v>
      </c>
      <c r="O25" s="9">
        <v>7560</v>
      </c>
      <c r="P25" s="12" t="s">
        <v>106</v>
      </c>
      <c r="Q25" s="9">
        <v>0</v>
      </c>
      <c r="R25" s="11">
        <v>0</v>
      </c>
      <c r="S25" s="10">
        <v>0</v>
      </c>
      <c r="T25" s="9">
        <v>7560</v>
      </c>
      <c r="U25" s="14">
        <v>0</v>
      </c>
      <c r="V25" s="12" t="s">
        <v>265</v>
      </c>
      <c r="W25" s="9">
        <v>0</v>
      </c>
      <c r="X25" s="9">
        <v>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264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3"/>
      <c r="M31" s="3" t="s">
        <v>264</v>
      </c>
      <c r="N31" s="9">
        <v>0</v>
      </c>
      <c r="O31" s="9">
        <v>17664</v>
      </c>
      <c r="P31" s="12" t="s">
        <v>125</v>
      </c>
      <c r="Q31" s="9">
        <v>0</v>
      </c>
      <c r="R31" s="11">
        <v>0</v>
      </c>
      <c r="S31" s="10">
        <v>0</v>
      </c>
      <c r="T31" s="9">
        <v>17664</v>
      </c>
      <c r="U31" s="14">
        <v>0</v>
      </c>
      <c r="V31" s="12" t="s">
        <v>265</v>
      </c>
      <c r="W31" s="9">
        <v>0</v>
      </c>
      <c r="X31" s="9">
        <v>0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6"/>
  <sheetViews>
    <sheetView topLeftCell="B70"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42731.708333333299</v>
      </c>
      <c r="E1" s="1" t="s">
        <v>247</v>
      </c>
      <c r="F1" s="4" t="s">
        <v>266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77</v>
      </c>
      <c r="N5" s="6"/>
      <c r="O5" s="6"/>
      <c r="P5" s="2"/>
      <c r="Q5" s="6"/>
      <c r="R5" s="6"/>
      <c r="S5" s="6">
        <v>63630</v>
      </c>
      <c r="T5" s="6"/>
      <c r="U5" s="13">
        <v>3.62736177232756E-2</v>
      </c>
      <c r="V5" s="2"/>
      <c r="W5" s="6">
        <v>61786.666746139497</v>
      </c>
      <c r="X5" s="6">
        <v>62280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77</v>
      </c>
      <c r="N6" s="6"/>
      <c r="O6" s="6"/>
      <c r="P6" s="2"/>
      <c r="Q6" s="6"/>
      <c r="R6" s="6"/>
      <c r="S6" s="6">
        <v>18630</v>
      </c>
      <c r="T6" s="6"/>
      <c r="U6" s="13">
        <v>0.70603409934974504</v>
      </c>
      <c r="V6" s="2"/>
      <c r="W6" s="6">
        <v>16786.666746139501</v>
      </c>
      <c r="X6" s="6">
        <v>17280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271</v>
      </c>
      <c r="N10" s="9">
        <v>2340</v>
      </c>
      <c r="O10" s="9">
        <v>2520</v>
      </c>
      <c r="P10" s="12" t="s">
        <v>51</v>
      </c>
      <c r="Q10" s="9">
        <v>0</v>
      </c>
      <c r="R10" s="11">
        <v>0</v>
      </c>
      <c r="S10" s="10">
        <v>2340</v>
      </c>
      <c r="T10" s="9">
        <v>2520</v>
      </c>
      <c r="U10" s="14">
        <v>0.481481492519379</v>
      </c>
      <c r="V10" s="12" t="s">
        <v>263</v>
      </c>
      <c r="W10" s="9">
        <v>3466.66674613953</v>
      </c>
      <c r="X10" s="9">
        <v>3960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3"/>
      <c r="M11" s="3" t="s">
        <v>264</v>
      </c>
      <c r="N11" s="9">
        <v>0</v>
      </c>
      <c r="O11" s="9">
        <v>1800</v>
      </c>
      <c r="P11" s="12" t="s">
        <v>37</v>
      </c>
      <c r="Q11" s="9">
        <v>0</v>
      </c>
      <c r="R11" s="11">
        <v>0</v>
      </c>
      <c r="S11" s="10">
        <v>0</v>
      </c>
      <c r="T11" s="9">
        <v>1800</v>
      </c>
      <c r="U11" s="14">
        <v>0</v>
      </c>
      <c r="V11" s="12" t="s">
        <v>265</v>
      </c>
      <c r="W11" s="9">
        <v>0</v>
      </c>
      <c r="X11" s="9">
        <v>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3"/>
      <c r="M12" s="3" t="s">
        <v>264</v>
      </c>
      <c r="N12" s="9">
        <v>0</v>
      </c>
      <c r="O12" s="9">
        <v>1456</v>
      </c>
      <c r="P12" s="12" t="s">
        <v>51</v>
      </c>
      <c r="Q12" s="9">
        <v>0</v>
      </c>
      <c r="R12" s="11">
        <v>0</v>
      </c>
      <c r="S12" s="10">
        <v>0</v>
      </c>
      <c r="T12" s="9">
        <v>1456</v>
      </c>
      <c r="U12" s="14">
        <v>0</v>
      </c>
      <c r="V12" s="12" t="s">
        <v>265</v>
      </c>
      <c r="W12" s="9">
        <v>0</v>
      </c>
      <c r="X12" s="9">
        <v>0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271</v>
      </c>
      <c r="N13" s="6"/>
      <c r="O13" s="6"/>
      <c r="P13" s="2"/>
      <c r="Q13" s="6"/>
      <c r="R13" s="6"/>
      <c r="S13" s="6">
        <v>45000</v>
      </c>
      <c r="T13" s="6"/>
      <c r="U13" s="13">
        <v>0.93984962406015005</v>
      </c>
      <c r="V13" s="2"/>
      <c r="W13" s="6">
        <v>45000</v>
      </c>
      <c r="X13" s="6">
        <v>45000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272</v>
      </c>
      <c r="N15" s="9">
        <v>45000</v>
      </c>
      <c r="O15" s="9">
        <v>0</v>
      </c>
      <c r="P15" s="12" t="s">
        <v>273</v>
      </c>
      <c r="Q15" s="9">
        <v>0</v>
      </c>
      <c r="R15" s="11">
        <v>0</v>
      </c>
      <c r="S15" s="10">
        <v>45000</v>
      </c>
      <c r="T15" s="9">
        <v>0</v>
      </c>
      <c r="U15" s="14">
        <v>0.24778760969638799</v>
      </c>
      <c r="V15" s="12" t="s">
        <v>263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3"/>
      <c r="M16" s="3" t="s">
        <v>264</v>
      </c>
      <c r="N16" s="9">
        <v>0</v>
      </c>
      <c r="O16" s="9">
        <v>2880</v>
      </c>
      <c r="P16" s="12" t="s">
        <v>64</v>
      </c>
      <c r="Q16" s="9">
        <v>0</v>
      </c>
      <c r="R16" s="11">
        <v>0</v>
      </c>
      <c r="S16" s="10">
        <v>0</v>
      </c>
      <c r="T16" s="9">
        <v>2880</v>
      </c>
      <c r="U16" s="14">
        <v>0</v>
      </c>
      <c r="V16" s="12" t="s">
        <v>265</v>
      </c>
      <c r="W16" s="9">
        <v>0</v>
      </c>
      <c r="X16" s="9">
        <v>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264</v>
      </c>
      <c r="N17" s="6"/>
      <c r="O17" s="6"/>
      <c r="P17" s="2"/>
      <c r="Q17" s="6"/>
      <c r="R17" s="6"/>
      <c r="S17" s="6">
        <v>0</v>
      </c>
      <c r="T17" s="6"/>
      <c r="U17" s="13">
        <v>0</v>
      </c>
      <c r="V17" s="2"/>
      <c r="W17" s="6">
        <v>0</v>
      </c>
      <c r="X17" s="6">
        <v>0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3"/>
      <c r="M18" s="3" t="s">
        <v>264</v>
      </c>
      <c r="N18" s="9">
        <v>0</v>
      </c>
      <c r="O18" s="9">
        <v>8160</v>
      </c>
      <c r="P18" s="12" t="s">
        <v>77</v>
      </c>
      <c r="Q18" s="9">
        <v>0</v>
      </c>
      <c r="R18" s="11">
        <v>0</v>
      </c>
      <c r="S18" s="10">
        <v>0</v>
      </c>
      <c r="T18" s="9">
        <v>8160</v>
      </c>
      <c r="U18" s="14">
        <v>0</v>
      </c>
      <c r="V18" s="12" t="s">
        <v>265</v>
      </c>
      <c r="W18" s="9">
        <v>0</v>
      </c>
      <c r="X18" s="9">
        <v>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3"/>
      <c r="M19" s="3" t="s">
        <v>264</v>
      </c>
      <c r="N19" s="9">
        <v>0</v>
      </c>
      <c r="O19" s="9">
        <v>0</v>
      </c>
      <c r="P19" s="12" t="s">
        <v>42</v>
      </c>
      <c r="Q19" s="9">
        <v>0</v>
      </c>
      <c r="R19" s="11">
        <v>0</v>
      </c>
      <c r="S19" s="10">
        <v>0</v>
      </c>
      <c r="T19" s="9">
        <v>0</v>
      </c>
      <c r="U19" s="14">
        <v>0</v>
      </c>
      <c r="V19" s="12" t="s">
        <v>265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3"/>
      <c r="M20" s="3" t="s">
        <v>264</v>
      </c>
      <c r="N20" s="9">
        <v>0</v>
      </c>
      <c r="O20" s="9">
        <v>4160</v>
      </c>
      <c r="P20" s="12" t="s">
        <v>86</v>
      </c>
      <c r="Q20" s="9">
        <v>0</v>
      </c>
      <c r="R20" s="11">
        <v>0</v>
      </c>
      <c r="S20" s="10">
        <v>0</v>
      </c>
      <c r="T20" s="9">
        <v>4160</v>
      </c>
      <c r="U20" s="14">
        <v>0</v>
      </c>
      <c r="V20" s="12" t="s">
        <v>265</v>
      </c>
      <c r="W20" s="9">
        <v>0</v>
      </c>
      <c r="X20" s="9">
        <v>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3"/>
      <c r="M21" s="3" t="s">
        <v>264</v>
      </c>
      <c r="N21" s="9">
        <v>0</v>
      </c>
      <c r="O21" s="9">
        <v>4760</v>
      </c>
      <c r="P21" s="12" t="s">
        <v>91</v>
      </c>
      <c r="Q21" s="9">
        <v>0</v>
      </c>
      <c r="R21" s="11">
        <v>0</v>
      </c>
      <c r="S21" s="10">
        <v>0</v>
      </c>
      <c r="T21" s="9">
        <v>4760</v>
      </c>
      <c r="U21" s="14">
        <v>0</v>
      </c>
      <c r="V21" s="12" t="s">
        <v>265</v>
      </c>
      <c r="W21" s="9">
        <v>0</v>
      </c>
      <c r="X21" s="9">
        <v>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3"/>
      <c r="M22" s="3" t="s">
        <v>264</v>
      </c>
      <c r="N22" s="9">
        <v>0</v>
      </c>
      <c r="O22" s="9">
        <v>4260</v>
      </c>
      <c r="P22" s="12" t="s">
        <v>64</v>
      </c>
      <c r="Q22" s="9">
        <v>0</v>
      </c>
      <c r="R22" s="11">
        <v>0</v>
      </c>
      <c r="S22" s="10">
        <v>0</v>
      </c>
      <c r="T22" s="9">
        <v>4260</v>
      </c>
      <c r="U22" s="14">
        <v>0</v>
      </c>
      <c r="V22" s="12" t="s">
        <v>265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3"/>
      <c r="M23" s="3" t="s">
        <v>264</v>
      </c>
      <c r="N23" s="9">
        <v>0</v>
      </c>
      <c r="O23" s="9">
        <v>2112</v>
      </c>
      <c r="P23" s="12" t="s">
        <v>99</v>
      </c>
      <c r="Q23" s="9">
        <v>0</v>
      </c>
      <c r="R23" s="11">
        <v>0</v>
      </c>
      <c r="S23" s="10">
        <v>0</v>
      </c>
      <c r="T23" s="9">
        <v>2112</v>
      </c>
      <c r="U23" s="14">
        <v>0</v>
      </c>
      <c r="V23" s="12" t="s">
        <v>265</v>
      </c>
      <c r="W23" s="9">
        <v>0</v>
      </c>
      <c r="X23" s="9">
        <v>0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264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3"/>
      <c r="M25" s="3" t="s">
        <v>264</v>
      </c>
      <c r="N25" s="9">
        <v>0</v>
      </c>
      <c r="O25" s="9">
        <v>7560</v>
      </c>
      <c r="P25" s="12" t="s">
        <v>106</v>
      </c>
      <c r="Q25" s="9">
        <v>0</v>
      </c>
      <c r="R25" s="11">
        <v>0</v>
      </c>
      <c r="S25" s="10">
        <v>0</v>
      </c>
      <c r="T25" s="9">
        <v>7560</v>
      </c>
      <c r="U25" s="14">
        <v>0</v>
      </c>
      <c r="V25" s="12" t="s">
        <v>265</v>
      </c>
      <c r="W25" s="9">
        <v>0</v>
      </c>
      <c r="X25" s="9">
        <v>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264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3"/>
      <c r="M31" s="3" t="s">
        <v>264</v>
      </c>
      <c r="N31" s="9">
        <v>0</v>
      </c>
      <c r="O31" s="9">
        <v>17664</v>
      </c>
      <c r="P31" s="12" t="s">
        <v>125</v>
      </c>
      <c r="Q31" s="9">
        <v>0</v>
      </c>
      <c r="R31" s="11">
        <v>0</v>
      </c>
      <c r="S31" s="10">
        <v>0</v>
      </c>
      <c r="T31" s="9">
        <v>17664</v>
      </c>
      <c r="U31" s="14">
        <v>0</v>
      </c>
      <c r="V31" s="12" t="s">
        <v>265</v>
      </c>
      <c r="W31" s="9">
        <v>0</v>
      </c>
      <c r="X31" s="9">
        <v>0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6"/>
  <sheetViews>
    <sheetView topLeftCell="A7"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42752.708333333299</v>
      </c>
      <c r="E1" s="1" t="s">
        <v>247</v>
      </c>
      <c r="F1" s="4" t="s">
        <v>274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153</v>
      </c>
      <c r="N5" s="6"/>
      <c r="O5" s="6"/>
      <c r="P5" s="2"/>
      <c r="Q5" s="6"/>
      <c r="R5" s="6"/>
      <c r="S5" s="6">
        <v>69547</v>
      </c>
      <c r="T5" s="6"/>
      <c r="U5" s="13">
        <v>4.0465573922874101E-2</v>
      </c>
      <c r="V5" s="2"/>
      <c r="W5" s="6">
        <v>68927.035338401794</v>
      </c>
      <c r="X5" s="6">
        <v>69064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153</v>
      </c>
      <c r="N6" s="6"/>
      <c r="O6" s="6"/>
      <c r="P6" s="2"/>
      <c r="Q6" s="6"/>
      <c r="R6" s="6"/>
      <c r="S6" s="6">
        <v>23707</v>
      </c>
      <c r="T6" s="6"/>
      <c r="U6" s="13">
        <v>0.96478802226433702</v>
      </c>
      <c r="V6" s="2"/>
      <c r="W6" s="6">
        <v>22938.800017356902</v>
      </c>
      <c r="X6" s="6">
        <v>22528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277</v>
      </c>
      <c r="N12" s="9">
        <v>442</v>
      </c>
      <c r="O12" s="9">
        <v>598</v>
      </c>
      <c r="P12" s="12" t="s">
        <v>278</v>
      </c>
      <c r="Q12" s="9">
        <v>0</v>
      </c>
      <c r="R12" s="11">
        <v>0</v>
      </c>
      <c r="S12" s="10">
        <v>442</v>
      </c>
      <c r="T12" s="9">
        <v>598</v>
      </c>
      <c r="U12" s="14">
        <v>0.42500001192092901</v>
      </c>
      <c r="V12" s="12" t="s">
        <v>263</v>
      </c>
      <c r="W12" s="9">
        <v>618.80001735687301</v>
      </c>
      <c r="X12" s="9">
        <v>208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279</v>
      </c>
      <c r="N13" s="6"/>
      <c r="O13" s="6"/>
      <c r="P13" s="2"/>
      <c r="Q13" s="6"/>
      <c r="R13" s="6"/>
      <c r="S13" s="6">
        <v>45840</v>
      </c>
      <c r="T13" s="6"/>
      <c r="U13" s="13">
        <v>0.960489459503862</v>
      </c>
      <c r="V13" s="2"/>
      <c r="W13" s="6">
        <v>45988.2353210449</v>
      </c>
      <c r="X13" s="6">
        <v>46536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262</v>
      </c>
      <c r="N16" s="9">
        <v>840</v>
      </c>
      <c r="O16" s="9">
        <v>1608</v>
      </c>
      <c r="P16" s="12" t="s">
        <v>281</v>
      </c>
      <c r="Q16" s="9">
        <v>0</v>
      </c>
      <c r="R16" s="11">
        <v>0</v>
      </c>
      <c r="S16" s="10">
        <v>840</v>
      </c>
      <c r="T16" s="9">
        <v>1608</v>
      </c>
      <c r="U16" s="14">
        <v>0.34313726425170898</v>
      </c>
      <c r="V16" s="12" t="s">
        <v>263</v>
      </c>
      <c r="W16" s="9">
        <v>988.23532104492199</v>
      </c>
      <c r="X16" s="9">
        <v>1536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264</v>
      </c>
      <c r="N17" s="6"/>
      <c r="O17" s="6"/>
      <c r="P17" s="2"/>
      <c r="Q17" s="6"/>
      <c r="R17" s="6"/>
      <c r="S17" s="6">
        <v>0</v>
      </c>
      <c r="T17" s="6"/>
      <c r="U17" s="13">
        <v>0</v>
      </c>
      <c r="V17" s="2"/>
      <c r="W17" s="6">
        <v>0</v>
      </c>
      <c r="X17" s="6">
        <v>0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3"/>
      <c r="M18" s="3" t="s">
        <v>264</v>
      </c>
      <c r="N18" s="9">
        <v>0</v>
      </c>
      <c r="O18" s="9">
        <v>8160</v>
      </c>
      <c r="P18" s="12" t="s">
        <v>77</v>
      </c>
      <c r="Q18" s="9">
        <v>0</v>
      </c>
      <c r="R18" s="11">
        <v>0</v>
      </c>
      <c r="S18" s="10">
        <v>0</v>
      </c>
      <c r="T18" s="9">
        <v>8160</v>
      </c>
      <c r="U18" s="14">
        <v>0</v>
      </c>
      <c r="V18" s="12" t="s">
        <v>265</v>
      </c>
      <c r="W18" s="9">
        <v>0</v>
      </c>
      <c r="X18" s="9">
        <v>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3"/>
      <c r="M19" s="3" t="s">
        <v>264</v>
      </c>
      <c r="N19" s="9">
        <v>0</v>
      </c>
      <c r="O19" s="9">
        <v>0</v>
      </c>
      <c r="P19" s="12" t="s">
        <v>42</v>
      </c>
      <c r="Q19" s="9">
        <v>0</v>
      </c>
      <c r="R19" s="11">
        <v>0</v>
      </c>
      <c r="S19" s="10">
        <v>0</v>
      </c>
      <c r="T19" s="9">
        <v>0</v>
      </c>
      <c r="U19" s="14">
        <v>0</v>
      </c>
      <c r="V19" s="12" t="s">
        <v>265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3"/>
      <c r="M20" s="3" t="s">
        <v>264</v>
      </c>
      <c r="N20" s="9">
        <v>0</v>
      </c>
      <c r="O20" s="9">
        <v>4160</v>
      </c>
      <c r="P20" s="12" t="s">
        <v>86</v>
      </c>
      <c r="Q20" s="9">
        <v>0</v>
      </c>
      <c r="R20" s="11">
        <v>0</v>
      </c>
      <c r="S20" s="10">
        <v>0</v>
      </c>
      <c r="T20" s="9">
        <v>4160</v>
      </c>
      <c r="U20" s="14">
        <v>0</v>
      </c>
      <c r="V20" s="12" t="s">
        <v>265</v>
      </c>
      <c r="W20" s="9">
        <v>0</v>
      </c>
      <c r="X20" s="9">
        <v>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3"/>
      <c r="M21" s="3" t="s">
        <v>264</v>
      </c>
      <c r="N21" s="9">
        <v>0</v>
      </c>
      <c r="O21" s="9">
        <v>4760</v>
      </c>
      <c r="P21" s="12" t="s">
        <v>91</v>
      </c>
      <c r="Q21" s="9">
        <v>0</v>
      </c>
      <c r="R21" s="11">
        <v>0</v>
      </c>
      <c r="S21" s="10">
        <v>0</v>
      </c>
      <c r="T21" s="9">
        <v>4760</v>
      </c>
      <c r="U21" s="14">
        <v>0</v>
      </c>
      <c r="V21" s="12" t="s">
        <v>265</v>
      </c>
      <c r="W21" s="9">
        <v>0</v>
      </c>
      <c r="X21" s="9">
        <v>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3"/>
      <c r="M22" s="3" t="s">
        <v>264</v>
      </c>
      <c r="N22" s="9">
        <v>0</v>
      </c>
      <c r="O22" s="9">
        <v>4260</v>
      </c>
      <c r="P22" s="12" t="s">
        <v>64</v>
      </c>
      <c r="Q22" s="9">
        <v>0</v>
      </c>
      <c r="R22" s="11">
        <v>0</v>
      </c>
      <c r="S22" s="10">
        <v>0</v>
      </c>
      <c r="T22" s="9">
        <v>4260</v>
      </c>
      <c r="U22" s="14">
        <v>0</v>
      </c>
      <c r="V22" s="12" t="s">
        <v>265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3"/>
      <c r="M23" s="3" t="s">
        <v>264</v>
      </c>
      <c r="N23" s="9">
        <v>0</v>
      </c>
      <c r="O23" s="9">
        <v>2112</v>
      </c>
      <c r="P23" s="12" t="s">
        <v>99</v>
      </c>
      <c r="Q23" s="9">
        <v>0</v>
      </c>
      <c r="R23" s="11">
        <v>0</v>
      </c>
      <c r="S23" s="10">
        <v>0</v>
      </c>
      <c r="T23" s="9">
        <v>2112</v>
      </c>
      <c r="U23" s="14">
        <v>0</v>
      </c>
      <c r="V23" s="12" t="s">
        <v>265</v>
      </c>
      <c r="W23" s="9">
        <v>0</v>
      </c>
      <c r="X23" s="9">
        <v>0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264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3"/>
      <c r="M25" s="3" t="s">
        <v>264</v>
      </c>
      <c r="N25" s="9">
        <v>0</v>
      </c>
      <c r="O25" s="9">
        <v>7560</v>
      </c>
      <c r="P25" s="12" t="s">
        <v>106</v>
      </c>
      <c r="Q25" s="9">
        <v>0</v>
      </c>
      <c r="R25" s="11">
        <v>0</v>
      </c>
      <c r="S25" s="10">
        <v>0</v>
      </c>
      <c r="T25" s="9">
        <v>7560</v>
      </c>
      <c r="U25" s="14">
        <v>0</v>
      </c>
      <c r="V25" s="12" t="s">
        <v>265</v>
      </c>
      <c r="W25" s="9">
        <v>0</v>
      </c>
      <c r="X25" s="9">
        <v>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264</v>
      </c>
      <c r="N30" s="6"/>
      <c r="O30" s="6"/>
      <c r="P30" s="2"/>
      <c r="Q30" s="6"/>
      <c r="R30" s="6"/>
      <c r="S30" s="6">
        <v>0</v>
      </c>
      <c r="T30" s="6"/>
      <c r="U30" s="13">
        <v>0</v>
      </c>
      <c r="V30" s="2"/>
      <c r="W30" s="6">
        <v>0</v>
      </c>
      <c r="X30" s="6">
        <v>0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3"/>
      <c r="M31" s="3" t="s">
        <v>264</v>
      </c>
      <c r="N31" s="9">
        <v>0</v>
      </c>
      <c r="O31" s="9">
        <v>17664</v>
      </c>
      <c r="P31" s="12" t="s">
        <v>125</v>
      </c>
      <c r="Q31" s="9">
        <v>0</v>
      </c>
      <c r="R31" s="11">
        <v>0</v>
      </c>
      <c r="S31" s="10">
        <v>0</v>
      </c>
      <c r="T31" s="9">
        <v>17664</v>
      </c>
      <c r="U31" s="14">
        <v>0</v>
      </c>
      <c r="V31" s="12" t="s">
        <v>265</v>
      </c>
      <c r="W31" s="9">
        <v>0</v>
      </c>
      <c r="X31" s="9">
        <v>0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42773.708333333299</v>
      </c>
      <c r="E1" s="1" t="s">
        <v>247</v>
      </c>
      <c r="F1" s="4" t="s">
        <v>282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283</v>
      </c>
      <c r="N5" s="6"/>
      <c r="O5" s="6"/>
      <c r="P5" s="2"/>
      <c r="Q5" s="6"/>
      <c r="R5" s="6"/>
      <c r="S5" s="6">
        <v>80139</v>
      </c>
      <c r="T5" s="6"/>
      <c r="U5" s="13">
        <v>4.6050921465252102E-2</v>
      </c>
      <c r="V5" s="2"/>
      <c r="W5" s="6">
        <v>78440.8370742798</v>
      </c>
      <c r="X5" s="6">
        <v>80248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287</v>
      </c>
      <c r="N17" s="6"/>
      <c r="O17" s="6"/>
      <c r="P17" s="2"/>
      <c r="Q17" s="6"/>
      <c r="R17" s="6"/>
      <c r="S17" s="6">
        <v>3298</v>
      </c>
      <c r="T17" s="6"/>
      <c r="U17" s="13">
        <v>0.110296211652578</v>
      </c>
      <c r="V17" s="2"/>
      <c r="W17" s="6">
        <v>2586.66675567627</v>
      </c>
      <c r="X17" s="6">
        <v>2448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287</v>
      </c>
      <c r="N18" s="9">
        <v>3298</v>
      </c>
      <c r="O18" s="9">
        <v>7106</v>
      </c>
      <c r="P18" s="12" t="s">
        <v>288</v>
      </c>
      <c r="Q18" s="9">
        <v>0</v>
      </c>
      <c r="R18" s="11">
        <v>0</v>
      </c>
      <c r="S18" s="10">
        <v>3298</v>
      </c>
      <c r="T18" s="9">
        <v>7106</v>
      </c>
      <c r="U18" s="14">
        <v>0.31699347496032698</v>
      </c>
      <c r="V18" s="12" t="s">
        <v>263</v>
      </c>
      <c r="W18" s="9">
        <v>2586.66675567627</v>
      </c>
      <c r="X18" s="9">
        <v>2448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3"/>
      <c r="M19" s="3" t="s">
        <v>264</v>
      </c>
      <c r="N19" s="9">
        <v>0</v>
      </c>
      <c r="O19" s="9">
        <v>0</v>
      </c>
      <c r="P19" s="12" t="s">
        <v>42</v>
      </c>
      <c r="Q19" s="9">
        <v>0</v>
      </c>
      <c r="R19" s="11">
        <v>0</v>
      </c>
      <c r="S19" s="10">
        <v>0</v>
      </c>
      <c r="T19" s="9">
        <v>0</v>
      </c>
      <c r="U19" s="14">
        <v>0</v>
      </c>
      <c r="V19" s="12" t="s">
        <v>265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3"/>
      <c r="M20" s="3" t="s">
        <v>264</v>
      </c>
      <c r="N20" s="9">
        <v>0</v>
      </c>
      <c r="O20" s="9">
        <v>4160</v>
      </c>
      <c r="P20" s="12" t="s">
        <v>86</v>
      </c>
      <c r="Q20" s="9">
        <v>0</v>
      </c>
      <c r="R20" s="11">
        <v>0</v>
      </c>
      <c r="S20" s="10">
        <v>0</v>
      </c>
      <c r="T20" s="9">
        <v>4160</v>
      </c>
      <c r="U20" s="14">
        <v>0</v>
      </c>
      <c r="V20" s="12" t="s">
        <v>265</v>
      </c>
      <c r="W20" s="9">
        <v>0</v>
      </c>
      <c r="X20" s="9">
        <v>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3"/>
      <c r="M21" s="3" t="s">
        <v>264</v>
      </c>
      <c r="N21" s="9">
        <v>0</v>
      </c>
      <c r="O21" s="9">
        <v>4760</v>
      </c>
      <c r="P21" s="12" t="s">
        <v>91</v>
      </c>
      <c r="Q21" s="9">
        <v>0</v>
      </c>
      <c r="R21" s="11">
        <v>0</v>
      </c>
      <c r="S21" s="10">
        <v>0</v>
      </c>
      <c r="T21" s="9">
        <v>4760</v>
      </c>
      <c r="U21" s="14">
        <v>0</v>
      </c>
      <c r="V21" s="12" t="s">
        <v>265</v>
      </c>
      <c r="W21" s="9">
        <v>0</v>
      </c>
      <c r="X21" s="9">
        <v>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3"/>
      <c r="M22" s="3" t="s">
        <v>264</v>
      </c>
      <c r="N22" s="9">
        <v>0</v>
      </c>
      <c r="O22" s="9">
        <v>4260</v>
      </c>
      <c r="P22" s="12" t="s">
        <v>64</v>
      </c>
      <c r="Q22" s="9">
        <v>0</v>
      </c>
      <c r="R22" s="11">
        <v>0</v>
      </c>
      <c r="S22" s="10">
        <v>0</v>
      </c>
      <c r="T22" s="9">
        <v>4260</v>
      </c>
      <c r="U22" s="14">
        <v>0</v>
      </c>
      <c r="V22" s="12" t="s">
        <v>265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3"/>
      <c r="M23" s="3" t="s">
        <v>264</v>
      </c>
      <c r="N23" s="9">
        <v>0</v>
      </c>
      <c r="O23" s="9">
        <v>2112</v>
      </c>
      <c r="P23" s="12" t="s">
        <v>99</v>
      </c>
      <c r="Q23" s="9">
        <v>0</v>
      </c>
      <c r="R23" s="11">
        <v>0</v>
      </c>
      <c r="S23" s="10">
        <v>0</v>
      </c>
      <c r="T23" s="9">
        <v>2112</v>
      </c>
      <c r="U23" s="14">
        <v>0</v>
      </c>
      <c r="V23" s="12" t="s">
        <v>265</v>
      </c>
      <c r="W23" s="9">
        <v>0</v>
      </c>
      <c r="X23" s="9">
        <v>0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264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3"/>
      <c r="M25" s="3" t="s">
        <v>264</v>
      </c>
      <c r="N25" s="9">
        <v>0</v>
      </c>
      <c r="O25" s="9">
        <v>7560</v>
      </c>
      <c r="P25" s="12" t="s">
        <v>106</v>
      </c>
      <c r="Q25" s="9">
        <v>0</v>
      </c>
      <c r="R25" s="11">
        <v>0</v>
      </c>
      <c r="S25" s="10">
        <v>0</v>
      </c>
      <c r="T25" s="9">
        <v>7560</v>
      </c>
      <c r="U25" s="14">
        <v>0</v>
      </c>
      <c r="V25" s="12" t="s">
        <v>265</v>
      </c>
      <c r="W25" s="9">
        <v>0</v>
      </c>
      <c r="X25" s="9">
        <v>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289</v>
      </c>
      <c r="N30" s="6"/>
      <c r="O30" s="6"/>
      <c r="P30" s="2"/>
      <c r="Q30" s="6"/>
      <c r="R30" s="6"/>
      <c r="S30" s="6">
        <v>5088</v>
      </c>
      <c r="T30" s="6"/>
      <c r="U30" s="13">
        <v>0.23766815662384</v>
      </c>
      <c r="V30" s="2"/>
      <c r="W30" s="6">
        <v>4198.1703186035102</v>
      </c>
      <c r="X30" s="6">
        <v>6144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289</v>
      </c>
      <c r="N31" s="9">
        <v>5088</v>
      </c>
      <c r="O31" s="9">
        <v>16320</v>
      </c>
      <c r="P31" s="12" t="s">
        <v>290</v>
      </c>
      <c r="Q31" s="9">
        <v>0</v>
      </c>
      <c r="R31" s="11">
        <v>0</v>
      </c>
      <c r="S31" s="10">
        <v>5088</v>
      </c>
      <c r="T31" s="9">
        <v>16320</v>
      </c>
      <c r="U31" s="14">
        <v>0.23766815662384</v>
      </c>
      <c r="V31" s="12" t="s">
        <v>263</v>
      </c>
      <c r="W31" s="9">
        <v>4198.1703186035102</v>
      </c>
      <c r="X31" s="9">
        <v>6144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42794.708333333299</v>
      </c>
      <c r="E1" s="1" t="s">
        <v>247</v>
      </c>
      <c r="F1" s="4" t="s">
        <v>291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133</v>
      </c>
      <c r="N5" s="6"/>
      <c r="O5" s="6"/>
      <c r="P5" s="2"/>
      <c r="Q5" s="6"/>
      <c r="R5" s="6"/>
      <c r="S5" s="6">
        <v>95739</v>
      </c>
      <c r="T5" s="6"/>
      <c r="U5" s="13">
        <v>5.3509923419080799E-2</v>
      </c>
      <c r="V5" s="2"/>
      <c r="W5" s="6">
        <v>91146.128051757798</v>
      </c>
      <c r="X5" s="6">
        <v>95848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292</v>
      </c>
      <c r="N17" s="6"/>
      <c r="O17" s="6"/>
      <c r="P17" s="2"/>
      <c r="Q17" s="6"/>
      <c r="R17" s="6"/>
      <c r="S17" s="6">
        <v>7378</v>
      </c>
      <c r="T17" s="6"/>
      <c r="U17" s="13">
        <v>0.246745120456311</v>
      </c>
      <c r="V17" s="2"/>
      <c r="W17" s="6">
        <v>5786.6665649414099</v>
      </c>
      <c r="X17" s="6">
        <v>6528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292</v>
      </c>
      <c r="N18" s="9">
        <v>7378</v>
      </c>
      <c r="O18" s="9">
        <v>3026</v>
      </c>
      <c r="P18" s="12" t="s">
        <v>293</v>
      </c>
      <c r="Q18" s="9">
        <v>0</v>
      </c>
      <c r="R18" s="11">
        <v>0</v>
      </c>
      <c r="S18" s="10">
        <v>7378</v>
      </c>
      <c r="T18" s="9">
        <v>3026</v>
      </c>
      <c r="U18" s="14">
        <v>0.70915031433105502</v>
      </c>
      <c r="V18" s="12" t="s">
        <v>263</v>
      </c>
      <c r="W18" s="9">
        <v>5786.6665649414099</v>
      </c>
      <c r="X18" s="9">
        <v>6528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3"/>
      <c r="M19" s="3" t="s">
        <v>264</v>
      </c>
      <c r="N19" s="9">
        <v>0</v>
      </c>
      <c r="O19" s="9">
        <v>0</v>
      </c>
      <c r="P19" s="12" t="s">
        <v>42</v>
      </c>
      <c r="Q19" s="9">
        <v>0</v>
      </c>
      <c r="R19" s="11">
        <v>0</v>
      </c>
      <c r="S19" s="10">
        <v>0</v>
      </c>
      <c r="T19" s="9">
        <v>0</v>
      </c>
      <c r="U19" s="14">
        <v>0</v>
      </c>
      <c r="V19" s="12" t="s">
        <v>265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3"/>
      <c r="M20" s="3" t="s">
        <v>264</v>
      </c>
      <c r="N20" s="9">
        <v>0</v>
      </c>
      <c r="O20" s="9">
        <v>4160</v>
      </c>
      <c r="P20" s="12" t="s">
        <v>86</v>
      </c>
      <c r="Q20" s="9">
        <v>0</v>
      </c>
      <c r="R20" s="11">
        <v>0</v>
      </c>
      <c r="S20" s="10">
        <v>0</v>
      </c>
      <c r="T20" s="9">
        <v>4160</v>
      </c>
      <c r="U20" s="14">
        <v>0</v>
      </c>
      <c r="V20" s="12" t="s">
        <v>265</v>
      </c>
      <c r="W20" s="9">
        <v>0</v>
      </c>
      <c r="X20" s="9">
        <v>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3"/>
      <c r="M21" s="3" t="s">
        <v>264</v>
      </c>
      <c r="N21" s="9">
        <v>0</v>
      </c>
      <c r="O21" s="9">
        <v>4760</v>
      </c>
      <c r="P21" s="12" t="s">
        <v>91</v>
      </c>
      <c r="Q21" s="9">
        <v>0</v>
      </c>
      <c r="R21" s="11">
        <v>0</v>
      </c>
      <c r="S21" s="10">
        <v>0</v>
      </c>
      <c r="T21" s="9">
        <v>4760</v>
      </c>
      <c r="U21" s="14">
        <v>0</v>
      </c>
      <c r="V21" s="12" t="s">
        <v>265</v>
      </c>
      <c r="W21" s="9">
        <v>0</v>
      </c>
      <c r="X21" s="9">
        <v>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3"/>
      <c r="M22" s="3" t="s">
        <v>264</v>
      </c>
      <c r="N22" s="9">
        <v>0</v>
      </c>
      <c r="O22" s="9">
        <v>4260</v>
      </c>
      <c r="P22" s="12" t="s">
        <v>64</v>
      </c>
      <c r="Q22" s="9">
        <v>0</v>
      </c>
      <c r="R22" s="11">
        <v>0</v>
      </c>
      <c r="S22" s="10">
        <v>0</v>
      </c>
      <c r="T22" s="9">
        <v>4260</v>
      </c>
      <c r="U22" s="14">
        <v>0</v>
      </c>
      <c r="V22" s="12" t="s">
        <v>265</v>
      </c>
      <c r="W22" s="9">
        <v>0</v>
      </c>
      <c r="X22" s="9">
        <v>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3"/>
      <c r="M23" s="3" t="s">
        <v>264</v>
      </c>
      <c r="N23" s="9">
        <v>0</v>
      </c>
      <c r="O23" s="9">
        <v>2112</v>
      </c>
      <c r="P23" s="12" t="s">
        <v>99</v>
      </c>
      <c r="Q23" s="9">
        <v>0</v>
      </c>
      <c r="R23" s="11">
        <v>0</v>
      </c>
      <c r="S23" s="10">
        <v>0</v>
      </c>
      <c r="T23" s="9">
        <v>2112</v>
      </c>
      <c r="U23" s="14">
        <v>0</v>
      </c>
      <c r="V23" s="12" t="s">
        <v>265</v>
      </c>
      <c r="W23" s="9">
        <v>0</v>
      </c>
      <c r="X23" s="9">
        <v>0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264</v>
      </c>
      <c r="N24" s="6"/>
      <c r="O24" s="6"/>
      <c r="P24" s="2"/>
      <c r="Q24" s="6"/>
      <c r="R24" s="6"/>
      <c r="S24" s="6">
        <v>0</v>
      </c>
      <c r="T24" s="6"/>
      <c r="U24" s="13">
        <v>0</v>
      </c>
      <c r="V24" s="2"/>
      <c r="W24" s="6">
        <v>0</v>
      </c>
      <c r="X24" s="6">
        <v>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3"/>
      <c r="M25" s="3" t="s">
        <v>264</v>
      </c>
      <c r="N25" s="9">
        <v>0</v>
      </c>
      <c r="O25" s="9">
        <v>7560</v>
      </c>
      <c r="P25" s="12" t="s">
        <v>106</v>
      </c>
      <c r="Q25" s="9">
        <v>0</v>
      </c>
      <c r="R25" s="11">
        <v>0</v>
      </c>
      <c r="S25" s="10">
        <v>0</v>
      </c>
      <c r="T25" s="9">
        <v>7560</v>
      </c>
      <c r="U25" s="14">
        <v>0</v>
      </c>
      <c r="V25" s="12" t="s">
        <v>265</v>
      </c>
      <c r="W25" s="9">
        <v>0</v>
      </c>
      <c r="X25" s="9">
        <v>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294</v>
      </c>
      <c r="N30" s="6"/>
      <c r="O30" s="6"/>
      <c r="P30" s="2"/>
      <c r="Q30" s="6"/>
      <c r="R30" s="6"/>
      <c r="S30" s="6">
        <v>16608</v>
      </c>
      <c r="T30" s="6"/>
      <c r="U30" s="13">
        <v>0.77578473091125499</v>
      </c>
      <c r="V30" s="2"/>
      <c r="W30" s="6">
        <v>13703.461486816401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294</v>
      </c>
      <c r="N31" s="9">
        <v>16608</v>
      </c>
      <c r="O31" s="9">
        <v>4800</v>
      </c>
      <c r="P31" s="12" t="s">
        <v>295</v>
      </c>
      <c r="Q31" s="9">
        <v>0</v>
      </c>
      <c r="R31" s="11">
        <v>0</v>
      </c>
      <c r="S31" s="10">
        <v>16608</v>
      </c>
      <c r="T31" s="9">
        <v>4800</v>
      </c>
      <c r="U31" s="14">
        <v>0.77578473091125499</v>
      </c>
      <c r="V31" s="12" t="s">
        <v>263</v>
      </c>
      <c r="W31" s="9">
        <v>13703.461486816401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42815.708333333299</v>
      </c>
      <c r="E1" s="1" t="s">
        <v>247</v>
      </c>
      <c r="F1" s="4" t="s">
        <v>296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297</v>
      </c>
      <c r="N5" s="6"/>
      <c r="O5" s="6"/>
      <c r="P5" s="2"/>
      <c r="Q5" s="6"/>
      <c r="R5" s="6"/>
      <c r="S5" s="6">
        <v>109335</v>
      </c>
      <c r="T5" s="6"/>
      <c r="U5" s="13">
        <v>6.0599079055674999E-2</v>
      </c>
      <c r="V5" s="2"/>
      <c r="W5" s="6">
        <v>103221.441304803</v>
      </c>
      <c r="X5" s="6">
        <v>108088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298</v>
      </c>
      <c r="N17" s="6"/>
      <c r="O17" s="6"/>
      <c r="P17" s="2"/>
      <c r="Q17" s="6"/>
      <c r="R17" s="6"/>
      <c r="S17" s="6">
        <v>14546.5</v>
      </c>
      <c r="T17" s="6"/>
      <c r="U17" s="13">
        <v>0.54471731699816295</v>
      </c>
      <c r="V17" s="2"/>
      <c r="W17" s="6">
        <v>12774.7105182409</v>
      </c>
      <c r="X17" s="6">
        <v>14988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300</v>
      </c>
      <c r="N19" s="9">
        <v>0</v>
      </c>
      <c r="O19" s="9">
        <v>0</v>
      </c>
      <c r="P19" s="12" t="s">
        <v>301</v>
      </c>
      <c r="Q19" s="9">
        <v>0</v>
      </c>
      <c r="R19" s="11">
        <v>0</v>
      </c>
      <c r="S19" s="10">
        <v>0</v>
      </c>
      <c r="T19" s="9">
        <v>0</v>
      </c>
      <c r="U19" s="14">
        <v>0.16402116417884799</v>
      </c>
      <c r="V19" s="12" t="s">
        <v>263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300</v>
      </c>
      <c r="N20" s="9">
        <v>403</v>
      </c>
      <c r="O20" s="9">
        <v>2210</v>
      </c>
      <c r="P20" s="12" t="s">
        <v>290</v>
      </c>
      <c r="Q20" s="9">
        <v>0</v>
      </c>
      <c r="R20" s="11">
        <v>0</v>
      </c>
      <c r="S20" s="10">
        <v>403</v>
      </c>
      <c r="T20" s="9">
        <v>2210</v>
      </c>
      <c r="U20" s="14">
        <v>0.15422885119915</v>
      </c>
      <c r="V20" s="12" t="s">
        <v>263</v>
      </c>
      <c r="W20" s="9">
        <v>641.59202098846401</v>
      </c>
      <c r="X20" s="9">
        <v>936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300</v>
      </c>
      <c r="N21" s="9">
        <v>527</v>
      </c>
      <c r="O21" s="9">
        <v>2771</v>
      </c>
      <c r="P21" s="12" t="s">
        <v>302</v>
      </c>
      <c r="Q21" s="9">
        <v>0</v>
      </c>
      <c r="R21" s="11">
        <v>0</v>
      </c>
      <c r="S21" s="10">
        <v>527</v>
      </c>
      <c r="T21" s="9">
        <v>2771</v>
      </c>
      <c r="U21" s="14">
        <v>0.15979380905628199</v>
      </c>
      <c r="V21" s="12" t="s">
        <v>263</v>
      </c>
      <c r="W21" s="9">
        <v>760.61853110790196</v>
      </c>
      <c r="X21" s="9">
        <v>1224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300</v>
      </c>
      <c r="N22" s="9">
        <v>1100.5</v>
      </c>
      <c r="O22" s="9">
        <v>3159.5</v>
      </c>
      <c r="P22" s="12" t="s">
        <v>293</v>
      </c>
      <c r="Q22" s="9">
        <v>0</v>
      </c>
      <c r="R22" s="11">
        <v>0</v>
      </c>
      <c r="S22" s="10">
        <v>1100.5</v>
      </c>
      <c r="T22" s="9">
        <v>3159.5</v>
      </c>
      <c r="U22" s="14">
        <v>0.25833332538604697</v>
      </c>
      <c r="V22" s="12" t="s">
        <v>263</v>
      </c>
      <c r="W22" s="9">
        <v>1100.4999661445599</v>
      </c>
      <c r="X22" s="9">
        <v>2556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300</v>
      </c>
      <c r="N23" s="9">
        <v>2112</v>
      </c>
      <c r="O23" s="9">
        <v>0</v>
      </c>
      <c r="P23" s="12" t="s">
        <v>303</v>
      </c>
      <c r="Q23" s="9">
        <v>0</v>
      </c>
      <c r="R23" s="11">
        <v>0</v>
      </c>
      <c r="S23" s="10">
        <v>2112</v>
      </c>
      <c r="T23" s="9">
        <v>0</v>
      </c>
      <c r="U23" s="14">
        <v>0.38749998807907099</v>
      </c>
      <c r="V23" s="12" t="s">
        <v>263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300</v>
      </c>
      <c r="N24" s="6"/>
      <c r="O24" s="6"/>
      <c r="P24" s="2"/>
      <c r="Q24" s="6"/>
      <c r="R24" s="6"/>
      <c r="S24" s="6">
        <v>1627.5</v>
      </c>
      <c r="T24" s="6"/>
      <c r="U24" s="13">
        <v>6.4179242798015901E-3</v>
      </c>
      <c r="V24" s="2"/>
      <c r="W24" s="6">
        <v>1126.73078656197</v>
      </c>
      <c r="X24" s="6">
        <v>3780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300</v>
      </c>
      <c r="N25" s="9">
        <v>1627.5</v>
      </c>
      <c r="O25" s="9">
        <v>9292.5</v>
      </c>
      <c r="P25" s="12" t="s">
        <v>304</v>
      </c>
      <c r="Q25" s="9">
        <v>0</v>
      </c>
      <c r="R25" s="11">
        <v>0</v>
      </c>
      <c r="S25" s="10">
        <v>1627.5</v>
      </c>
      <c r="T25" s="9">
        <v>9292.5</v>
      </c>
      <c r="U25" s="14">
        <v>0.14903846383094799</v>
      </c>
      <c r="V25" s="12" t="s">
        <v>263</v>
      </c>
      <c r="W25" s="9">
        <v>1126.73078656197</v>
      </c>
      <c r="X25" s="9">
        <v>3780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264</v>
      </c>
      <c r="N32" s="6"/>
      <c r="O32" s="6"/>
      <c r="P32" s="2"/>
      <c r="Q32" s="6"/>
      <c r="R32" s="6"/>
      <c r="S32" s="6">
        <v>0</v>
      </c>
      <c r="T32" s="6"/>
      <c r="U32" s="13">
        <v>0</v>
      </c>
      <c r="V32" s="2"/>
      <c r="W32" s="6">
        <v>0</v>
      </c>
      <c r="X32" s="6">
        <v>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3"/>
      <c r="M35" s="3" t="s">
        <v>264</v>
      </c>
      <c r="N35" s="9">
        <v>0</v>
      </c>
      <c r="O35" s="9">
        <v>60000</v>
      </c>
      <c r="P35" s="12" t="s">
        <v>106</v>
      </c>
      <c r="Q35" s="9">
        <v>0</v>
      </c>
      <c r="R35" s="11">
        <v>0</v>
      </c>
      <c r="S35" s="10">
        <v>0</v>
      </c>
      <c r="T35" s="9">
        <v>60000</v>
      </c>
      <c r="U35" s="14">
        <v>0</v>
      </c>
      <c r="V35" s="12" t="s">
        <v>265</v>
      </c>
      <c r="W35" s="9">
        <v>0</v>
      </c>
      <c r="X35" s="9">
        <v>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0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0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42836.708333333299</v>
      </c>
      <c r="E1" s="1" t="s">
        <v>247</v>
      </c>
      <c r="F1" s="4" t="s">
        <v>306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307</v>
      </c>
      <c r="N5" s="6"/>
      <c r="O5" s="6"/>
      <c r="P5" s="2"/>
      <c r="Q5" s="6"/>
      <c r="R5" s="6"/>
      <c r="S5" s="6">
        <v>182394.5</v>
      </c>
      <c r="T5" s="6"/>
      <c r="U5" s="13">
        <v>0.103425832660947</v>
      </c>
      <c r="V5" s="2"/>
      <c r="W5" s="6">
        <v>176170.39205503499</v>
      </c>
      <c r="X5" s="6">
        <v>764878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308</v>
      </c>
      <c r="N17" s="6"/>
      <c r="O17" s="6"/>
      <c r="P17" s="2"/>
      <c r="Q17" s="6"/>
      <c r="R17" s="6"/>
      <c r="S17" s="6">
        <v>21306</v>
      </c>
      <c r="T17" s="6"/>
      <c r="U17" s="13">
        <v>0.91088702951948897</v>
      </c>
      <c r="V17" s="2"/>
      <c r="W17" s="6">
        <v>21362.122616290999</v>
      </c>
      <c r="X17" s="6">
        <v>20292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309</v>
      </c>
      <c r="N19" s="9">
        <v>0</v>
      </c>
      <c r="O19" s="9">
        <v>0</v>
      </c>
      <c r="P19" s="12" t="s">
        <v>310</v>
      </c>
      <c r="Q19" s="9">
        <v>0</v>
      </c>
      <c r="R19" s="11">
        <v>0</v>
      </c>
      <c r="S19" s="10">
        <v>0</v>
      </c>
      <c r="T19" s="9">
        <v>0</v>
      </c>
      <c r="U19" s="14">
        <v>0.798941791057587</v>
      </c>
      <c r="V19" s="12" t="s">
        <v>263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309</v>
      </c>
      <c r="N20" s="9">
        <v>1963</v>
      </c>
      <c r="O20" s="9">
        <v>650</v>
      </c>
      <c r="P20" s="12" t="s">
        <v>295</v>
      </c>
      <c r="Q20" s="9">
        <v>0</v>
      </c>
      <c r="R20" s="11">
        <v>0</v>
      </c>
      <c r="S20" s="10">
        <v>1963</v>
      </c>
      <c r="T20" s="9">
        <v>650</v>
      </c>
      <c r="U20" s="14">
        <v>0.75124377012252797</v>
      </c>
      <c r="V20" s="12" t="s">
        <v>263</v>
      </c>
      <c r="W20" s="9">
        <v>3125.17408370972</v>
      </c>
      <c r="X20" s="9">
        <v>2496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309</v>
      </c>
      <c r="N21" s="9">
        <v>2567</v>
      </c>
      <c r="O21" s="9">
        <v>731</v>
      </c>
      <c r="P21" s="12" t="s">
        <v>311</v>
      </c>
      <c r="Q21" s="9">
        <v>0</v>
      </c>
      <c r="R21" s="11">
        <v>0</v>
      </c>
      <c r="S21" s="10">
        <v>2567</v>
      </c>
      <c r="T21" s="9">
        <v>731</v>
      </c>
      <c r="U21" s="14">
        <v>0.77835053205490101</v>
      </c>
      <c r="V21" s="12" t="s">
        <v>263</v>
      </c>
      <c r="W21" s="9">
        <v>3704.9485325813298</v>
      </c>
      <c r="X21" s="9">
        <v>3264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309</v>
      </c>
      <c r="N24" s="6"/>
      <c r="O24" s="6"/>
      <c r="P24" s="2"/>
      <c r="Q24" s="6"/>
      <c r="R24" s="6"/>
      <c r="S24" s="6">
        <v>7927.5</v>
      </c>
      <c r="T24" s="6"/>
      <c r="U24" s="13">
        <v>3.1261502840872597E-2</v>
      </c>
      <c r="V24" s="2"/>
      <c r="W24" s="6">
        <v>5488.2694387435904</v>
      </c>
      <c r="X24" s="6">
        <v>7560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309</v>
      </c>
      <c r="N25" s="9">
        <v>7927.5</v>
      </c>
      <c r="O25" s="9">
        <v>2992.5</v>
      </c>
      <c r="P25" s="12" t="s">
        <v>312</v>
      </c>
      <c r="Q25" s="9">
        <v>0</v>
      </c>
      <c r="R25" s="11">
        <v>0</v>
      </c>
      <c r="S25" s="10">
        <v>7927.5</v>
      </c>
      <c r="T25" s="9">
        <v>2992.5</v>
      </c>
      <c r="U25" s="14">
        <v>0.72596156597137496</v>
      </c>
      <c r="V25" s="12" t="s">
        <v>263</v>
      </c>
      <c r="W25" s="9">
        <v>5488.2694387435904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"/>
      <c r="M26" s="3" t="s">
        <v>264</v>
      </c>
      <c r="N26" s="9">
        <v>0</v>
      </c>
      <c r="O26" s="9">
        <v>0</v>
      </c>
      <c r="P26" s="12" t="s">
        <v>112</v>
      </c>
      <c r="Q26" s="9">
        <v>0</v>
      </c>
      <c r="R26" s="11">
        <v>0</v>
      </c>
      <c r="S26" s="10">
        <v>0</v>
      </c>
      <c r="T26" s="9">
        <v>0</v>
      </c>
      <c r="U26" s="14">
        <v>0</v>
      </c>
      <c r="V26" s="12" t="s">
        <v>265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"/>
      <c r="M27" s="3" t="s">
        <v>264</v>
      </c>
      <c r="N27" s="9">
        <v>0</v>
      </c>
      <c r="O27" s="9">
        <v>0</v>
      </c>
      <c r="P27" s="12" t="s">
        <v>112</v>
      </c>
      <c r="Q27" s="9">
        <v>0</v>
      </c>
      <c r="R27" s="11">
        <v>0</v>
      </c>
      <c r="S27" s="10">
        <v>0</v>
      </c>
      <c r="T27" s="9">
        <v>0</v>
      </c>
      <c r="U27" s="14">
        <v>0</v>
      </c>
      <c r="V27" s="12" t="s">
        <v>265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300</v>
      </c>
      <c r="N32" s="6"/>
      <c r="O32" s="6"/>
      <c r="P32" s="2"/>
      <c r="Q32" s="6"/>
      <c r="R32" s="6"/>
      <c r="S32" s="6">
        <v>60000</v>
      </c>
      <c r="T32" s="6"/>
      <c r="U32" s="13">
        <v>0.13043478260869601</v>
      </c>
      <c r="V32" s="2"/>
      <c r="W32" s="6">
        <v>60000</v>
      </c>
      <c r="X32" s="6">
        <v>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3"/>
      <c r="M33" s="3" t="s">
        <v>264</v>
      </c>
      <c r="N33" s="9">
        <v>0</v>
      </c>
      <c r="O33" s="9">
        <v>150000</v>
      </c>
      <c r="P33" s="12" t="s">
        <v>137</v>
      </c>
      <c r="Q33" s="9">
        <v>0</v>
      </c>
      <c r="R33" s="11">
        <v>0</v>
      </c>
      <c r="S33" s="10">
        <v>0</v>
      </c>
      <c r="T33" s="9">
        <v>150000</v>
      </c>
      <c r="U33" s="14">
        <v>0</v>
      </c>
      <c r="V33" s="12" t="s">
        <v>265</v>
      </c>
      <c r="W33" s="9">
        <v>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3"/>
      <c r="M34" s="3" t="s">
        <v>264</v>
      </c>
      <c r="N34" s="9">
        <v>0</v>
      </c>
      <c r="O34" s="9">
        <v>250000</v>
      </c>
      <c r="P34" s="12" t="s">
        <v>77</v>
      </c>
      <c r="Q34" s="9">
        <v>0</v>
      </c>
      <c r="R34" s="11">
        <v>0</v>
      </c>
      <c r="S34" s="10">
        <v>0</v>
      </c>
      <c r="T34" s="9">
        <v>250000</v>
      </c>
      <c r="U34" s="14">
        <v>0</v>
      </c>
      <c r="V34" s="12" t="s">
        <v>265</v>
      </c>
      <c r="W34" s="9">
        <v>0</v>
      </c>
      <c r="X34" s="9">
        <v>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300</v>
      </c>
      <c r="N35" s="9">
        <v>60000</v>
      </c>
      <c r="O35" s="9">
        <v>0</v>
      </c>
      <c r="P35" s="12" t="s">
        <v>313</v>
      </c>
      <c r="Q35" s="9">
        <v>0</v>
      </c>
      <c r="R35" s="11">
        <v>0</v>
      </c>
      <c r="S35" s="10">
        <v>60000</v>
      </c>
      <c r="T35" s="9">
        <v>0</v>
      </c>
      <c r="U35" s="14">
        <v>0.28440368175506597</v>
      </c>
      <c r="V35" s="12" t="s">
        <v>263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264</v>
      </c>
      <c r="N36" s="6"/>
      <c r="O36" s="6"/>
      <c r="P36" s="2"/>
      <c r="Q36" s="6"/>
      <c r="R36" s="6"/>
      <c r="S36" s="6">
        <v>0</v>
      </c>
      <c r="T36" s="6"/>
      <c r="U36" s="13">
        <v>0</v>
      </c>
      <c r="V36" s="2"/>
      <c r="W36" s="6">
        <v>0</v>
      </c>
      <c r="X36" s="6">
        <v>0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3"/>
      <c r="M39" s="3" t="s">
        <v>264</v>
      </c>
      <c r="N39" s="9">
        <v>0</v>
      </c>
      <c r="O39" s="9">
        <v>13392</v>
      </c>
      <c r="P39" s="12" t="s">
        <v>106</v>
      </c>
      <c r="Q39" s="9">
        <v>0</v>
      </c>
      <c r="R39" s="11">
        <v>0</v>
      </c>
      <c r="S39" s="10">
        <v>0</v>
      </c>
      <c r="T39" s="9">
        <v>13392</v>
      </c>
      <c r="U39" s="14">
        <v>0</v>
      </c>
      <c r="V39" s="12" t="s">
        <v>265</v>
      </c>
      <c r="W39" s="9">
        <v>0</v>
      </c>
      <c r="X39" s="9">
        <v>0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264</v>
      </c>
      <c r="N40" s="6"/>
      <c r="O40" s="6"/>
      <c r="P40" s="2"/>
      <c r="Q40" s="6"/>
      <c r="R40" s="6"/>
      <c r="S40" s="6">
        <v>0</v>
      </c>
      <c r="T40" s="6"/>
      <c r="U40" s="13">
        <v>0</v>
      </c>
      <c r="V40" s="2"/>
      <c r="W40" s="6">
        <v>0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3"/>
      <c r="M41" s="3" t="s">
        <v>264</v>
      </c>
      <c r="N41" s="9">
        <v>0</v>
      </c>
      <c r="O41" s="9">
        <v>587706</v>
      </c>
      <c r="P41" s="12" t="s">
        <v>169</v>
      </c>
      <c r="Q41" s="9">
        <v>0</v>
      </c>
      <c r="R41" s="11">
        <v>0</v>
      </c>
      <c r="S41" s="10">
        <v>0</v>
      </c>
      <c r="T41" s="9">
        <v>587706</v>
      </c>
      <c r="U41" s="14">
        <v>0</v>
      </c>
      <c r="V41" s="12" t="s">
        <v>265</v>
      </c>
      <c r="W41" s="9">
        <v>0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6"/>
  <sheetViews>
    <sheetView topLeftCell="B1"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42857.708333333299</v>
      </c>
      <c r="E1" s="1" t="s">
        <v>247</v>
      </c>
      <c r="F1" s="4" t="s">
        <v>314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315</v>
      </c>
      <c r="N5" s="6"/>
      <c r="O5" s="6"/>
      <c r="P5" s="2"/>
      <c r="Q5" s="6"/>
      <c r="R5" s="6"/>
      <c r="S5" s="6">
        <v>1178380</v>
      </c>
      <c r="T5" s="6"/>
      <c r="U5" s="13">
        <v>0.68794606282942095</v>
      </c>
      <c r="V5" s="2"/>
      <c r="W5" s="6">
        <v>1171812.92606735</v>
      </c>
      <c r="X5" s="6">
        <v>1022398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23348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4056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320</v>
      </c>
      <c r="N24" s="6"/>
      <c r="O24" s="6"/>
      <c r="P24" s="2"/>
      <c r="Q24" s="6"/>
      <c r="R24" s="6"/>
      <c r="S24" s="6">
        <v>10920</v>
      </c>
      <c r="T24" s="6"/>
      <c r="U24" s="13">
        <v>4.3062200956937802E-2</v>
      </c>
      <c r="V24" s="2"/>
      <c r="W24" s="6">
        <v>7560</v>
      </c>
      <c r="X24" s="6">
        <v>7560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321</v>
      </c>
      <c r="N26" s="9">
        <v>0</v>
      </c>
      <c r="O26" s="9">
        <v>0</v>
      </c>
      <c r="P26" s="12" t="s">
        <v>322</v>
      </c>
      <c r="Q26" s="9">
        <v>0</v>
      </c>
      <c r="R26" s="11">
        <v>0</v>
      </c>
      <c r="S26" s="10">
        <v>0</v>
      </c>
      <c r="T26" s="9">
        <v>0</v>
      </c>
      <c r="U26" s="14">
        <v>0.276315778493881</v>
      </c>
      <c r="V26" s="12" t="s">
        <v>263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321</v>
      </c>
      <c r="N27" s="9">
        <v>0</v>
      </c>
      <c r="O27" s="9">
        <v>0</v>
      </c>
      <c r="P27" s="12" t="s">
        <v>323</v>
      </c>
      <c r="Q27" s="9">
        <v>0</v>
      </c>
      <c r="R27" s="11">
        <v>0</v>
      </c>
      <c r="S27" s="10">
        <v>0</v>
      </c>
      <c r="T27" s="9">
        <v>0</v>
      </c>
      <c r="U27" s="14">
        <v>9.5890410244464902E-2</v>
      </c>
      <c r="V27" s="12" t="s">
        <v>263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309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310000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324</v>
      </c>
      <c r="N33" s="9">
        <v>150000</v>
      </c>
      <c r="O33" s="9">
        <v>0</v>
      </c>
      <c r="P33" s="12" t="s">
        <v>325</v>
      </c>
      <c r="Q33" s="9">
        <v>0</v>
      </c>
      <c r="R33" s="11">
        <v>0</v>
      </c>
      <c r="S33" s="10">
        <v>150000</v>
      </c>
      <c r="T33" s="9">
        <v>0</v>
      </c>
      <c r="U33" s="14">
        <v>0.12704174220562001</v>
      </c>
      <c r="V33" s="12" t="s">
        <v>263</v>
      </c>
      <c r="W33" s="9">
        <v>150000</v>
      </c>
      <c r="X33" s="9">
        <v>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326</v>
      </c>
      <c r="N34" s="9">
        <v>250000</v>
      </c>
      <c r="O34" s="9">
        <v>0</v>
      </c>
      <c r="P34" s="12" t="s">
        <v>327</v>
      </c>
      <c r="Q34" s="9">
        <v>0</v>
      </c>
      <c r="R34" s="11">
        <v>0</v>
      </c>
      <c r="S34" s="10">
        <v>250000</v>
      </c>
      <c r="T34" s="9">
        <v>0</v>
      </c>
      <c r="U34" s="14">
        <v>0.38693466782569902</v>
      </c>
      <c r="V34" s="12" t="s">
        <v>263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329</v>
      </c>
      <c r="N36" s="6"/>
      <c r="O36" s="6"/>
      <c r="P36" s="2"/>
      <c r="Q36" s="6"/>
      <c r="R36" s="6"/>
      <c r="S36" s="6">
        <v>3906</v>
      </c>
      <c r="T36" s="6"/>
      <c r="U36" s="13">
        <v>5.2013421397847898E-2</v>
      </c>
      <c r="V36" s="2"/>
      <c r="W36" s="6">
        <v>3774.9260673522899</v>
      </c>
      <c r="X36" s="6">
        <v>4464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329</v>
      </c>
      <c r="N39" s="9">
        <v>3906</v>
      </c>
      <c r="O39" s="9">
        <v>9951</v>
      </c>
      <c r="P39" s="12" t="s">
        <v>330</v>
      </c>
      <c r="Q39" s="9">
        <v>0</v>
      </c>
      <c r="R39" s="11">
        <v>0</v>
      </c>
      <c r="S39" s="10">
        <v>3906</v>
      </c>
      <c r="T39" s="9">
        <v>9951</v>
      </c>
      <c r="U39" s="14">
        <v>0.28187918663024902</v>
      </c>
      <c r="V39" s="12" t="s">
        <v>263</v>
      </c>
      <c r="W39" s="9">
        <v>3774.9260673522899</v>
      </c>
      <c r="X39" s="9">
        <v>4464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331</v>
      </c>
      <c r="N40" s="6"/>
      <c r="O40" s="6"/>
      <c r="P40" s="2"/>
      <c r="Q40" s="6"/>
      <c r="R40" s="6"/>
      <c r="S40" s="6">
        <v>587706</v>
      </c>
      <c r="T40" s="6"/>
      <c r="U40" s="13">
        <v>0.76234171550429197</v>
      </c>
      <c r="V40" s="2"/>
      <c r="W40" s="6">
        <v>587706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331</v>
      </c>
      <c r="N41" s="9">
        <v>587706</v>
      </c>
      <c r="O41" s="9">
        <v>0</v>
      </c>
      <c r="P41" s="12" t="s">
        <v>332</v>
      </c>
      <c r="Q41" s="9">
        <v>0</v>
      </c>
      <c r="R41" s="11">
        <v>0</v>
      </c>
      <c r="S41" s="10">
        <v>587706</v>
      </c>
      <c r="T41" s="9">
        <v>0</v>
      </c>
      <c r="U41" s="14">
        <v>0.206549122929573</v>
      </c>
      <c r="V41" s="12" t="s">
        <v>263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42878.708333333299</v>
      </c>
      <c r="E1" s="1" t="s">
        <v>247</v>
      </c>
      <c r="F1" s="4" t="s">
        <v>333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334</v>
      </c>
      <c r="N5" s="6"/>
      <c r="O5" s="6"/>
      <c r="P5" s="2"/>
      <c r="Q5" s="6"/>
      <c r="R5" s="6"/>
      <c r="S5" s="6">
        <v>1188331</v>
      </c>
      <c r="T5" s="6"/>
      <c r="U5" s="13">
        <v>0.69359203924829205</v>
      </c>
      <c r="V5" s="2"/>
      <c r="W5" s="6">
        <v>1181430</v>
      </c>
      <c r="X5" s="6">
        <v>1181430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335</v>
      </c>
      <c r="N24" s="6"/>
      <c r="O24" s="6"/>
      <c r="P24" s="2"/>
      <c r="Q24" s="6"/>
      <c r="R24" s="6"/>
      <c r="S24" s="6">
        <v>10920</v>
      </c>
      <c r="T24" s="6"/>
      <c r="U24" s="13">
        <v>4.3062200956937802E-2</v>
      </c>
      <c r="V24" s="2"/>
      <c r="W24" s="6">
        <v>7560</v>
      </c>
      <c r="X24" s="6">
        <v>7560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336</v>
      </c>
      <c r="N26" s="9">
        <v>0</v>
      </c>
      <c r="O26" s="9">
        <v>0</v>
      </c>
      <c r="P26" s="12" t="s">
        <v>337</v>
      </c>
      <c r="Q26" s="9">
        <v>0</v>
      </c>
      <c r="R26" s="11">
        <v>0</v>
      </c>
      <c r="S26" s="10">
        <v>0</v>
      </c>
      <c r="T26" s="9">
        <v>0</v>
      </c>
      <c r="U26" s="14">
        <v>0.80263155698776201</v>
      </c>
      <c r="V26" s="12" t="s">
        <v>263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336</v>
      </c>
      <c r="N27" s="9">
        <v>0</v>
      </c>
      <c r="O27" s="9">
        <v>0</v>
      </c>
      <c r="P27" s="12" t="s">
        <v>338</v>
      </c>
      <c r="Q27" s="9">
        <v>0</v>
      </c>
      <c r="R27" s="11">
        <v>0</v>
      </c>
      <c r="S27" s="10">
        <v>0</v>
      </c>
      <c r="T27" s="9">
        <v>0</v>
      </c>
      <c r="U27" s="14">
        <v>0.27853882312774703</v>
      </c>
      <c r="V27" s="12" t="s">
        <v>263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3"/>
      <c r="M28" s="3" t="s">
        <v>264</v>
      </c>
      <c r="N28" s="9">
        <v>0</v>
      </c>
      <c r="O28" s="9">
        <v>84000</v>
      </c>
      <c r="P28" s="12" t="s">
        <v>119</v>
      </c>
      <c r="Q28" s="9">
        <v>0</v>
      </c>
      <c r="R28" s="11">
        <v>0</v>
      </c>
      <c r="S28" s="10">
        <v>0</v>
      </c>
      <c r="T28" s="9">
        <v>84000</v>
      </c>
      <c r="U28" s="14">
        <v>0</v>
      </c>
      <c r="V28" s="12" t="s">
        <v>265</v>
      </c>
      <c r="W28" s="9">
        <v>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320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339</v>
      </c>
      <c r="N33" s="9">
        <v>150000</v>
      </c>
      <c r="O33" s="9">
        <v>0</v>
      </c>
      <c r="P33" s="12" t="s">
        <v>340</v>
      </c>
      <c r="Q33" s="9">
        <v>0</v>
      </c>
      <c r="R33" s="11">
        <v>0</v>
      </c>
      <c r="S33" s="10">
        <v>150000</v>
      </c>
      <c r="T33" s="9">
        <v>0</v>
      </c>
      <c r="U33" s="14">
        <v>0.34482759237289401</v>
      </c>
      <c r="V33" s="12" t="s">
        <v>263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341</v>
      </c>
      <c r="N34" s="9">
        <v>250000</v>
      </c>
      <c r="O34" s="9">
        <v>0</v>
      </c>
      <c r="P34" s="12" t="s">
        <v>342</v>
      </c>
      <c r="Q34" s="9">
        <v>0</v>
      </c>
      <c r="R34" s="11">
        <v>0</v>
      </c>
      <c r="S34" s="10">
        <v>250000</v>
      </c>
      <c r="T34" s="9">
        <v>0</v>
      </c>
      <c r="U34" s="14">
        <v>0.98994976282119795</v>
      </c>
      <c r="V34" s="12" t="s">
        <v>263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343</v>
      </c>
      <c r="N36" s="6"/>
      <c r="O36" s="6"/>
      <c r="P36" s="2"/>
      <c r="Q36" s="6"/>
      <c r="R36" s="6"/>
      <c r="S36" s="6">
        <v>13857</v>
      </c>
      <c r="T36" s="6"/>
      <c r="U36" s="13">
        <v>0.18452380972021101</v>
      </c>
      <c r="V36" s="2"/>
      <c r="W36" s="6">
        <v>13392</v>
      </c>
      <c r="X36" s="6">
        <v>13392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3"/>
      <c r="M37" s="3" t="s">
        <v>264</v>
      </c>
      <c r="N37" s="9">
        <v>0</v>
      </c>
      <c r="O37" s="9">
        <v>31535.999922752399</v>
      </c>
      <c r="P37" s="12" t="s">
        <v>153</v>
      </c>
      <c r="Q37" s="9">
        <v>0</v>
      </c>
      <c r="R37" s="11">
        <v>0</v>
      </c>
      <c r="S37" s="10">
        <v>0</v>
      </c>
      <c r="T37" s="9">
        <v>31535.999922752399</v>
      </c>
      <c r="U37" s="14">
        <v>0</v>
      </c>
      <c r="V37" s="12" t="s">
        <v>265</v>
      </c>
      <c r="W37" s="9">
        <v>0</v>
      </c>
      <c r="X37" s="9">
        <v>0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345</v>
      </c>
      <c r="N40" s="6"/>
      <c r="O40" s="6"/>
      <c r="P40" s="2"/>
      <c r="Q40" s="6"/>
      <c r="R40" s="6"/>
      <c r="S40" s="6">
        <v>587706</v>
      </c>
      <c r="T40" s="6"/>
      <c r="U40" s="13">
        <v>0.76234171550429197</v>
      </c>
      <c r="V40" s="2"/>
      <c r="W40" s="6">
        <v>587706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345</v>
      </c>
      <c r="N41" s="9">
        <v>587706</v>
      </c>
      <c r="O41" s="9">
        <v>0</v>
      </c>
      <c r="P41" s="12" t="s">
        <v>346</v>
      </c>
      <c r="Q41" s="9">
        <v>0</v>
      </c>
      <c r="R41" s="11">
        <v>0</v>
      </c>
      <c r="S41" s="10">
        <v>587706</v>
      </c>
      <c r="T41" s="9">
        <v>0</v>
      </c>
      <c r="U41" s="14">
        <v>0.50881612300872803</v>
      </c>
      <c r="V41" s="12" t="s">
        <v>263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42899.708333333299</v>
      </c>
      <c r="E1" s="1" t="s">
        <v>247</v>
      </c>
      <c r="F1" s="4" t="s">
        <v>347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348</v>
      </c>
      <c r="N5" s="6"/>
      <c r="O5" s="6"/>
      <c r="P5" s="2"/>
      <c r="Q5" s="6"/>
      <c r="R5" s="6"/>
      <c r="S5" s="6">
        <v>1282667.7999746799</v>
      </c>
      <c r="T5" s="6"/>
      <c r="U5" s="13">
        <v>0.74858107828931397</v>
      </c>
      <c r="V5" s="2"/>
      <c r="W5" s="6">
        <v>1275095.57964628</v>
      </c>
      <c r="X5" s="6">
        <v>1184233.1999931301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349</v>
      </c>
      <c r="N24" s="6"/>
      <c r="O24" s="6"/>
      <c r="P24" s="2"/>
      <c r="Q24" s="6"/>
      <c r="R24" s="6"/>
      <c r="S24" s="6">
        <v>94920</v>
      </c>
      <c r="T24" s="6"/>
      <c r="U24" s="13">
        <v>0.52153110047846896</v>
      </c>
      <c r="V24" s="2"/>
      <c r="W24" s="6">
        <v>91560</v>
      </c>
      <c r="X24" s="6">
        <v>7560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351</v>
      </c>
      <c r="N27" s="9">
        <v>0</v>
      </c>
      <c r="O27" s="9">
        <v>0</v>
      </c>
      <c r="P27" s="12" t="s">
        <v>352</v>
      </c>
      <c r="Q27" s="9">
        <v>0</v>
      </c>
      <c r="R27" s="11">
        <v>0</v>
      </c>
      <c r="S27" s="10">
        <v>0</v>
      </c>
      <c r="T27" s="9">
        <v>0</v>
      </c>
      <c r="U27" s="14">
        <v>0.461187213659286</v>
      </c>
      <c r="V27" s="12" t="s">
        <v>263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353</v>
      </c>
      <c r="N28" s="9">
        <v>84000</v>
      </c>
      <c r="O28" s="9">
        <v>0</v>
      </c>
      <c r="P28" s="12" t="s">
        <v>354</v>
      </c>
      <c r="Q28" s="9">
        <v>0</v>
      </c>
      <c r="R28" s="11">
        <v>0</v>
      </c>
      <c r="S28" s="10">
        <v>84000</v>
      </c>
      <c r="T28" s="9">
        <v>0</v>
      </c>
      <c r="U28" s="14">
        <v>0.78125</v>
      </c>
      <c r="V28" s="12" t="s">
        <v>263</v>
      </c>
      <c r="W28" s="9">
        <v>84000</v>
      </c>
      <c r="X28" s="9">
        <v>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335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355</v>
      </c>
      <c r="N33" s="9">
        <v>150000</v>
      </c>
      <c r="O33" s="9">
        <v>0</v>
      </c>
      <c r="P33" s="12" t="s">
        <v>356</v>
      </c>
      <c r="Q33" s="9">
        <v>0</v>
      </c>
      <c r="R33" s="11">
        <v>0</v>
      </c>
      <c r="S33" s="10">
        <v>150000</v>
      </c>
      <c r="T33" s="9">
        <v>0</v>
      </c>
      <c r="U33" s="14">
        <v>0.56261342763900801</v>
      </c>
      <c r="V33" s="12" t="s">
        <v>263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358</v>
      </c>
      <c r="N36" s="6"/>
      <c r="O36" s="6"/>
      <c r="P36" s="2"/>
      <c r="Q36" s="6"/>
      <c r="R36" s="6"/>
      <c r="S36" s="6">
        <v>24193.7999746799</v>
      </c>
      <c r="T36" s="6"/>
      <c r="U36" s="13">
        <v>0.31770254176061302</v>
      </c>
      <c r="V36" s="2"/>
      <c r="W36" s="6">
        <v>23057.579646276499</v>
      </c>
      <c r="X36" s="6">
        <v>16195.199993133499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359</v>
      </c>
      <c r="N37" s="9">
        <v>10336.7999746799</v>
      </c>
      <c r="O37" s="9">
        <v>23389.199942708001</v>
      </c>
      <c r="P37" s="12" t="s">
        <v>360</v>
      </c>
      <c r="Q37" s="9">
        <v>0</v>
      </c>
      <c r="R37" s="11">
        <v>0</v>
      </c>
      <c r="S37" s="10">
        <v>10336.7999746799</v>
      </c>
      <c r="T37" s="9">
        <v>23389.199942708001</v>
      </c>
      <c r="U37" s="14">
        <v>0.306493520736694</v>
      </c>
      <c r="V37" s="12" t="s">
        <v>263</v>
      </c>
      <c r="W37" s="9">
        <v>9665.5796462764793</v>
      </c>
      <c r="X37" s="9">
        <v>2803.1999931335399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361</v>
      </c>
      <c r="N40" s="6"/>
      <c r="O40" s="6"/>
      <c r="P40" s="2"/>
      <c r="Q40" s="6"/>
      <c r="R40" s="6"/>
      <c r="S40" s="6">
        <v>587706</v>
      </c>
      <c r="T40" s="6"/>
      <c r="U40" s="13">
        <v>0.76234171550429197</v>
      </c>
      <c r="V40" s="2"/>
      <c r="W40" s="6">
        <v>587706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361</v>
      </c>
      <c r="N41" s="9">
        <v>587706</v>
      </c>
      <c r="O41" s="9">
        <v>0</v>
      </c>
      <c r="P41" s="12" t="s">
        <v>353</v>
      </c>
      <c r="Q41" s="9">
        <v>0</v>
      </c>
      <c r="R41" s="11">
        <v>0</v>
      </c>
      <c r="S41" s="10">
        <v>587706</v>
      </c>
      <c r="T41" s="9">
        <v>0</v>
      </c>
      <c r="U41" s="14">
        <v>0.81108313798904397</v>
      </c>
      <c r="V41" s="12" t="s">
        <v>263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42920.708333333299</v>
      </c>
      <c r="E1" s="1" t="s">
        <v>247</v>
      </c>
      <c r="F1" s="4" t="s">
        <v>362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363</v>
      </c>
      <c r="N5" s="6"/>
      <c r="O5" s="6"/>
      <c r="P5" s="2"/>
      <c r="Q5" s="6"/>
      <c r="R5" s="6"/>
      <c r="S5" s="6">
        <v>1293179.79994893</v>
      </c>
      <c r="T5" s="6"/>
      <c r="U5" s="13">
        <v>0.75435170812443597</v>
      </c>
      <c r="V5" s="2"/>
      <c r="W5" s="6">
        <v>1284924.98197549</v>
      </c>
      <c r="X5" s="6">
        <v>1362745.1999673799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364</v>
      </c>
      <c r="N24" s="6"/>
      <c r="O24" s="6"/>
      <c r="P24" s="2"/>
      <c r="Q24" s="6"/>
      <c r="R24" s="6"/>
      <c r="S24" s="6">
        <v>94920</v>
      </c>
      <c r="T24" s="6"/>
      <c r="U24" s="13">
        <v>0.52153110047846896</v>
      </c>
      <c r="V24" s="2"/>
      <c r="W24" s="6">
        <v>91560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365</v>
      </c>
      <c r="N27" s="9">
        <v>0</v>
      </c>
      <c r="O27" s="9">
        <v>0</v>
      </c>
      <c r="P27" s="12" t="s">
        <v>366</v>
      </c>
      <c r="Q27" s="9">
        <v>0</v>
      </c>
      <c r="R27" s="11">
        <v>0</v>
      </c>
      <c r="S27" s="10">
        <v>0</v>
      </c>
      <c r="T27" s="9">
        <v>0</v>
      </c>
      <c r="U27" s="14">
        <v>0.64383560419082597</v>
      </c>
      <c r="V27" s="12" t="s">
        <v>263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349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367</v>
      </c>
      <c r="N33" s="9">
        <v>150000</v>
      </c>
      <c r="O33" s="9">
        <v>0</v>
      </c>
      <c r="P33" s="12" t="s">
        <v>368</v>
      </c>
      <c r="Q33" s="9">
        <v>0</v>
      </c>
      <c r="R33" s="11">
        <v>0</v>
      </c>
      <c r="S33" s="10">
        <v>150000</v>
      </c>
      <c r="T33" s="9">
        <v>0</v>
      </c>
      <c r="U33" s="14">
        <v>0.78039926290512096</v>
      </c>
      <c r="V33" s="12" t="s">
        <v>263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369</v>
      </c>
      <c r="N36" s="6"/>
      <c r="O36" s="6"/>
      <c r="P36" s="2"/>
      <c r="Q36" s="6"/>
      <c r="R36" s="6"/>
      <c r="S36" s="6">
        <v>34705.799948930697</v>
      </c>
      <c r="T36" s="6"/>
      <c r="U36" s="13">
        <v>0.45313853078827598</v>
      </c>
      <c r="V36" s="2"/>
      <c r="W36" s="6">
        <v>32886.981975486102</v>
      </c>
      <c r="X36" s="6">
        <v>26707.199967384298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370</v>
      </c>
      <c r="N37" s="9">
        <v>20848.7999489307</v>
      </c>
      <c r="O37" s="9">
        <v>12877.1999684572</v>
      </c>
      <c r="P37" s="12" t="s">
        <v>371</v>
      </c>
      <c r="Q37" s="9">
        <v>0</v>
      </c>
      <c r="R37" s="11">
        <v>0</v>
      </c>
      <c r="S37" s="10">
        <v>20848.7999489307</v>
      </c>
      <c r="T37" s="9">
        <v>12877.1999684572</v>
      </c>
      <c r="U37" s="14">
        <v>0.61818182468414296</v>
      </c>
      <c r="V37" s="12" t="s">
        <v>263</v>
      </c>
      <c r="W37" s="9">
        <v>19494.981975486098</v>
      </c>
      <c r="X37" s="9">
        <v>13315.1999673843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0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372</v>
      </c>
      <c r="N40" s="6"/>
      <c r="O40" s="6"/>
      <c r="P40" s="2"/>
      <c r="Q40" s="6"/>
      <c r="R40" s="6"/>
      <c r="S40" s="6">
        <v>587706</v>
      </c>
      <c r="T40" s="6"/>
      <c r="U40" s="13">
        <v>0.76234171550429197</v>
      </c>
      <c r="V40" s="2"/>
      <c r="W40" s="6">
        <v>587706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42941.708333333299</v>
      </c>
      <c r="E1" s="1" t="s">
        <v>247</v>
      </c>
      <c r="F1" s="4" t="s">
        <v>374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375</v>
      </c>
      <c r="N5" s="6"/>
      <c r="O5" s="6"/>
      <c r="P5" s="2"/>
      <c r="Q5" s="6"/>
      <c r="R5" s="6"/>
      <c r="S5" s="6">
        <v>1303691.7999231799</v>
      </c>
      <c r="T5" s="6"/>
      <c r="U5" s="13">
        <v>0.76012233795955797</v>
      </c>
      <c r="V5" s="2"/>
      <c r="W5" s="6">
        <v>1294754.3843047</v>
      </c>
      <c r="X5" s="6">
        <v>1380169.19994164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376</v>
      </c>
      <c r="N24" s="6"/>
      <c r="O24" s="6"/>
      <c r="P24" s="2"/>
      <c r="Q24" s="6"/>
      <c r="R24" s="6"/>
      <c r="S24" s="6">
        <v>94920</v>
      </c>
      <c r="T24" s="6"/>
      <c r="U24" s="13">
        <v>0.52153110047846896</v>
      </c>
      <c r="V24" s="2"/>
      <c r="W24" s="6">
        <v>91560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377</v>
      </c>
      <c r="N27" s="9">
        <v>0</v>
      </c>
      <c r="O27" s="9">
        <v>0</v>
      </c>
      <c r="P27" s="12" t="s">
        <v>378</v>
      </c>
      <c r="Q27" s="9">
        <v>0</v>
      </c>
      <c r="R27" s="11">
        <v>0</v>
      </c>
      <c r="S27" s="10">
        <v>0</v>
      </c>
      <c r="T27" s="9">
        <v>0</v>
      </c>
      <c r="U27" s="14">
        <v>0.82648402452468905</v>
      </c>
      <c r="V27" s="12" t="s">
        <v>263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3"/>
      <c r="M29" s="3" t="s">
        <v>264</v>
      </c>
      <c r="N29" s="9">
        <v>0</v>
      </c>
      <c r="O29" s="9">
        <v>84000</v>
      </c>
      <c r="P29" s="12" t="s">
        <v>119</v>
      </c>
      <c r="Q29" s="9">
        <v>0</v>
      </c>
      <c r="R29" s="11">
        <v>0</v>
      </c>
      <c r="S29" s="10">
        <v>0</v>
      </c>
      <c r="T29" s="9">
        <v>84000</v>
      </c>
      <c r="U29" s="14">
        <v>0</v>
      </c>
      <c r="V29" s="12" t="s">
        <v>265</v>
      </c>
      <c r="W29" s="9">
        <v>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364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379</v>
      </c>
      <c r="N33" s="9">
        <v>150000</v>
      </c>
      <c r="O33" s="9">
        <v>0</v>
      </c>
      <c r="P33" s="12" t="s">
        <v>380</v>
      </c>
      <c r="Q33" s="9">
        <v>0</v>
      </c>
      <c r="R33" s="11">
        <v>0</v>
      </c>
      <c r="S33" s="10">
        <v>150000</v>
      </c>
      <c r="T33" s="9">
        <v>0</v>
      </c>
      <c r="U33" s="14">
        <v>0.99818509817123402</v>
      </c>
      <c r="V33" s="12" t="s">
        <v>263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381</v>
      </c>
      <c r="N36" s="6"/>
      <c r="O36" s="6"/>
      <c r="P36" s="2"/>
      <c r="Q36" s="6"/>
      <c r="R36" s="6"/>
      <c r="S36" s="6">
        <v>45217.799923181497</v>
      </c>
      <c r="T36" s="6"/>
      <c r="U36" s="13">
        <v>0.588574519815939</v>
      </c>
      <c r="V36" s="2"/>
      <c r="W36" s="6">
        <v>42716.384304695603</v>
      </c>
      <c r="X36" s="6">
        <v>44131.199941635103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382</v>
      </c>
      <c r="N37" s="9">
        <v>31360.799923181501</v>
      </c>
      <c r="O37" s="9">
        <v>2365.1999942064299</v>
      </c>
      <c r="P37" s="12" t="s">
        <v>383</v>
      </c>
      <c r="Q37" s="9">
        <v>0</v>
      </c>
      <c r="R37" s="11">
        <v>0</v>
      </c>
      <c r="S37" s="10">
        <v>31360.799923181501</v>
      </c>
      <c r="T37" s="9">
        <v>2365.1999942064299</v>
      </c>
      <c r="U37" s="14">
        <v>0.92987012863159202</v>
      </c>
      <c r="V37" s="12" t="s">
        <v>263</v>
      </c>
      <c r="W37" s="9">
        <v>29324.384304695599</v>
      </c>
      <c r="X37" s="9">
        <v>23827.199941635099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3"/>
      <c r="M38" s="3" t="s">
        <v>264</v>
      </c>
      <c r="N38" s="9">
        <v>0</v>
      </c>
      <c r="O38" s="9">
        <v>27648</v>
      </c>
      <c r="P38" s="12" t="s">
        <v>158</v>
      </c>
      <c r="Q38" s="9">
        <v>0</v>
      </c>
      <c r="R38" s="11">
        <v>0</v>
      </c>
      <c r="S38" s="10">
        <v>0</v>
      </c>
      <c r="T38" s="9">
        <v>27648</v>
      </c>
      <c r="U38" s="14">
        <v>0</v>
      </c>
      <c r="V38" s="12" t="s">
        <v>265</v>
      </c>
      <c r="W38" s="9">
        <v>0</v>
      </c>
      <c r="X38" s="9">
        <v>6912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384</v>
      </c>
      <c r="N40" s="6"/>
      <c r="O40" s="6"/>
      <c r="P40" s="2"/>
      <c r="Q40" s="6"/>
      <c r="R40" s="6"/>
      <c r="S40" s="6">
        <v>587706</v>
      </c>
      <c r="T40" s="6"/>
      <c r="U40" s="13">
        <v>0.76234171550429197</v>
      </c>
      <c r="V40" s="2"/>
      <c r="W40" s="6">
        <v>587706</v>
      </c>
      <c r="X40" s="6">
        <v>587706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3"/>
      <c r="M42" s="3" t="s">
        <v>264</v>
      </c>
      <c r="N42" s="9">
        <v>0</v>
      </c>
      <c r="O42" s="9">
        <v>183216</v>
      </c>
      <c r="P42" s="12" t="s">
        <v>174</v>
      </c>
      <c r="Q42" s="9">
        <v>0</v>
      </c>
      <c r="R42" s="11">
        <v>0</v>
      </c>
      <c r="S42" s="10">
        <v>0</v>
      </c>
      <c r="T42" s="9">
        <v>183216</v>
      </c>
      <c r="U42" s="14">
        <v>0</v>
      </c>
      <c r="V42" s="12" t="s">
        <v>265</v>
      </c>
      <c r="W42" s="9">
        <v>0</v>
      </c>
      <c r="X42" s="9">
        <v>0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42962.708333333299</v>
      </c>
      <c r="E1" s="1" t="s">
        <v>247</v>
      </c>
      <c r="F1" s="4" t="s">
        <v>385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386</v>
      </c>
      <c r="N5" s="6"/>
      <c r="O5" s="6"/>
      <c r="P5" s="2"/>
      <c r="Q5" s="6"/>
      <c r="R5" s="6"/>
      <c r="S5" s="6">
        <v>1584696.9999173901</v>
      </c>
      <c r="T5" s="6"/>
      <c r="U5" s="13">
        <v>0.92384791429373403</v>
      </c>
      <c r="V5" s="2"/>
      <c r="W5" s="6">
        <v>1573636.3447408699</v>
      </c>
      <c r="X5" s="6">
        <v>1582613.9999227501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387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389</v>
      </c>
      <c r="N29" s="9">
        <v>84000</v>
      </c>
      <c r="O29" s="9">
        <v>0</v>
      </c>
      <c r="P29" s="12" t="s">
        <v>390</v>
      </c>
      <c r="Q29" s="9">
        <v>0</v>
      </c>
      <c r="R29" s="11">
        <v>0</v>
      </c>
      <c r="S29" s="10">
        <v>84000</v>
      </c>
      <c r="T29" s="9">
        <v>0</v>
      </c>
      <c r="U29" s="14">
        <v>4.2553190141916303E-2</v>
      </c>
      <c r="V29" s="12" t="s">
        <v>263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393</v>
      </c>
      <c r="N36" s="6"/>
      <c r="O36" s="6"/>
      <c r="P36" s="2"/>
      <c r="Q36" s="6"/>
      <c r="R36" s="6"/>
      <c r="S36" s="6">
        <v>59006.999917387999</v>
      </c>
      <c r="T36" s="6"/>
      <c r="U36" s="13">
        <v>0.74931581788401802</v>
      </c>
      <c r="V36" s="2"/>
      <c r="W36" s="6">
        <v>54382.3447408676</v>
      </c>
      <c r="X36" s="6">
        <v>63359.999922752402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395</v>
      </c>
      <c r="N38" s="9">
        <v>11424</v>
      </c>
      <c r="O38" s="9">
        <v>21984</v>
      </c>
      <c r="P38" s="12" t="s">
        <v>396</v>
      </c>
      <c r="Q38" s="9">
        <v>0</v>
      </c>
      <c r="R38" s="11">
        <v>0</v>
      </c>
      <c r="S38" s="10">
        <v>11424</v>
      </c>
      <c r="T38" s="9">
        <v>21984</v>
      </c>
      <c r="U38" s="14">
        <v>0.34195402264594998</v>
      </c>
      <c r="V38" s="12" t="s">
        <v>263</v>
      </c>
      <c r="W38" s="9">
        <v>9454.3448181152307</v>
      </c>
      <c r="X38" s="9">
        <v>18432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397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398</v>
      </c>
      <c r="N42" s="9">
        <v>183216</v>
      </c>
      <c r="O42" s="9">
        <v>0</v>
      </c>
      <c r="P42" s="12" t="s">
        <v>399</v>
      </c>
      <c r="Q42" s="9">
        <v>0</v>
      </c>
      <c r="R42" s="11">
        <v>0</v>
      </c>
      <c r="S42" s="10">
        <v>183216</v>
      </c>
      <c r="T42" s="9">
        <v>0</v>
      </c>
      <c r="U42" s="14">
        <v>0.56024098396301303</v>
      </c>
      <c r="V42" s="12" t="s">
        <v>263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264</v>
      </c>
      <c r="N43" s="6"/>
      <c r="O43" s="6"/>
      <c r="P43" s="2"/>
      <c r="Q43" s="6"/>
      <c r="R43" s="6"/>
      <c r="S43" s="6">
        <v>0</v>
      </c>
      <c r="T43" s="6"/>
      <c r="U43" s="13">
        <v>0</v>
      </c>
      <c r="V43" s="2"/>
      <c r="W43" s="6">
        <v>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3"/>
      <c r="M44" s="3" t="s">
        <v>264</v>
      </c>
      <c r="N44" s="9">
        <v>0</v>
      </c>
      <c r="O44" s="9">
        <v>11520</v>
      </c>
      <c r="P44" s="12" t="s">
        <v>64</v>
      </c>
      <c r="Q44" s="9">
        <v>0</v>
      </c>
      <c r="R44" s="11">
        <v>0</v>
      </c>
      <c r="S44" s="10">
        <v>0</v>
      </c>
      <c r="T44" s="9">
        <v>11520</v>
      </c>
      <c r="U44" s="14">
        <v>0</v>
      </c>
      <c r="V44" s="12" t="s">
        <v>265</v>
      </c>
      <c r="W44" s="9">
        <v>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42983.708333333299</v>
      </c>
      <c r="E1" s="1" t="s">
        <v>247</v>
      </c>
      <c r="F1" s="4" t="s">
        <v>400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401</v>
      </c>
      <c r="N5" s="6"/>
      <c r="O5" s="6"/>
      <c r="P5" s="2"/>
      <c r="Q5" s="6"/>
      <c r="R5" s="6"/>
      <c r="S5" s="6">
        <v>1600728.9999173901</v>
      </c>
      <c r="T5" s="6"/>
      <c r="U5" s="13">
        <v>0.933098649845991</v>
      </c>
      <c r="V5" s="2"/>
      <c r="W5" s="6">
        <v>1589393.58514309</v>
      </c>
      <c r="X5" s="6">
        <v>1591829.9999227501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402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403</v>
      </c>
      <c r="N29" s="9">
        <v>84000</v>
      </c>
      <c r="O29" s="9">
        <v>0</v>
      </c>
      <c r="P29" s="12" t="s">
        <v>404</v>
      </c>
      <c r="Q29" s="9">
        <v>0</v>
      </c>
      <c r="R29" s="11">
        <v>0</v>
      </c>
      <c r="S29" s="10">
        <v>84000</v>
      </c>
      <c r="T29" s="9">
        <v>0</v>
      </c>
      <c r="U29" s="14">
        <v>0.89361703395843495</v>
      </c>
      <c r="V29" s="12" t="s">
        <v>263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405</v>
      </c>
      <c r="N36" s="6"/>
      <c r="O36" s="6"/>
      <c r="P36" s="2"/>
      <c r="Q36" s="6"/>
      <c r="R36" s="6"/>
      <c r="S36" s="6">
        <v>70526.999917388006</v>
      </c>
      <c r="T36" s="6"/>
      <c r="U36" s="13">
        <v>0.88067869900310203</v>
      </c>
      <c r="V36" s="2"/>
      <c r="W36" s="6">
        <v>63916.137190818801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285</v>
      </c>
      <c r="N38" s="9">
        <v>22944</v>
      </c>
      <c r="O38" s="9">
        <v>10464</v>
      </c>
      <c r="P38" s="12" t="s">
        <v>328</v>
      </c>
      <c r="Q38" s="9">
        <v>0</v>
      </c>
      <c r="R38" s="11">
        <v>0</v>
      </c>
      <c r="S38" s="10">
        <v>22944</v>
      </c>
      <c r="T38" s="9">
        <v>10464</v>
      </c>
      <c r="U38" s="14">
        <v>0.68678158521652199</v>
      </c>
      <c r="V38" s="12" t="s">
        <v>263</v>
      </c>
      <c r="W38" s="9">
        <v>18988.137268066399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276</v>
      </c>
      <c r="N43" s="6"/>
      <c r="O43" s="6"/>
      <c r="P43" s="2"/>
      <c r="Q43" s="6"/>
      <c r="R43" s="6"/>
      <c r="S43" s="6">
        <v>4512</v>
      </c>
      <c r="T43" s="6"/>
      <c r="U43" s="13">
        <v>0.54022985696792603</v>
      </c>
      <c r="V43" s="2"/>
      <c r="W43" s="6">
        <v>6223.4479522705096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276</v>
      </c>
      <c r="N44" s="9">
        <v>4512</v>
      </c>
      <c r="O44" s="9">
        <v>3840</v>
      </c>
      <c r="P44" s="12" t="s">
        <v>37</v>
      </c>
      <c r="Q44" s="9">
        <v>0</v>
      </c>
      <c r="R44" s="11">
        <v>0</v>
      </c>
      <c r="S44" s="10">
        <v>4512</v>
      </c>
      <c r="T44" s="9">
        <v>3840</v>
      </c>
      <c r="U44" s="14">
        <v>0.54022985696792603</v>
      </c>
      <c r="V44" s="12" t="s">
        <v>263</v>
      </c>
      <c r="W44" s="9">
        <v>6223.4479522705096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"/>
      <c r="M45" s="3" t="s">
        <v>264</v>
      </c>
      <c r="N45" s="9">
        <v>0</v>
      </c>
      <c r="O45" s="9">
        <v>0</v>
      </c>
      <c r="P45" s="12" t="s">
        <v>186</v>
      </c>
      <c r="Q45" s="9">
        <v>0</v>
      </c>
      <c r="R45" s="11">
        <v>0</v>
      </c>
      <c r="S45" s="10">
        <v>0</v>
      </c>
      <c r="T45" s="9">
        <v>0</v>
      </c>
      <c r="U45" s="14">
        <v>0</v>
      </c>
      <c r="V45" s="12" t="s">
        <v>265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43004.708333333299</v>
      </c>
      <c r="E1" s="1" t="s">
        <v>247</v>
      </c>
      <c r="F1" s="4" t="s">
        <v>408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409</v>
      </c>
      <c r="N5" s="6"/>
      <c r="O5" s="6"/>
      <c r="P5" s="2"/>
      <c r="Q5" s="6"/>
      <c r="R5" s="6"/>
      <c r="S5" s="6">
        <v>1615032.9999173901</v>
      </c>
      <c r="T5" s="6"/>
      <c r="U5" s="13">
        <v>0.94129215956524803</v>
      </c>
      <c r="V5" s="2"/>
      <c r="W5" s="6">
        <v>1603349.9999227501</v>
      </c>
      <c r="X5" s="6">
        <v>1591829.9999227501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413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99</v>
      </c>
      <c r="N45" s="9">
        <v>0</v>
      </c>
      <c r="O45" s="9">
        <v>0</v>
      </c>
      <c r="P45" s="12" t="s">
        <v>275</v>
      </c>
      <c r="Q45" s="9">
        <v>0</v>
      </c>
      <c r="R45" s="11">
        <v>0</v>
      </c>
      <c r="S45" s="10">
        <v>0</v>
      </c>
      <c r="T45" s="9">
        <v>0</v>
      </c>
      <c r="U45" s="14">
        <v>0.42553192377090499</v>
      </c>
      <c r="V45" s="12" t="s">
        <v>263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3"/>
      <c r="M46" s="3" t="s">
        <v>264</v>
      </c>
      <c r="N46" s="9">
        <v>0</v>
      </c>
      <c r="O46" s="9">
        <v>100000</v>
      </c>
      <c r="P46" s="12" t="s">
        <v>190</v>
      </c>
      <c r="Q46" s="9">
        <v>0</v>
      </c>
      <c r="R46" s="11">
        <v>0</v>
      </c>
      <c r="S46" s="10">
        <v>0</v>
      </c>
      <c r="T46" s="9">
        <v>100000</v>
      </c>
      <c r="U46" s="14">
        <v>0</v>
      </c>
      <c r="V46" s="12" t="s">
        <v>265</v>
      </c>
      <c r="W46" s="9">
        <v>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43025.708333333299</v>
      </c>
      <c r="E1" s="1" t="s">
        <v>247</v>
      </c>
      <c r="F1" s="4" t="s">
        <v>415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416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1600277.9999227501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8448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8448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419</v>
      </c>
      <c r="N46" s="9">
        <v>100000</v>
      </c>
      <c r="O46" s="9">
        <v>0</v>
      </c>
      <c r="P46" s="12" t="s">
        <v>420</v>
      </c>
      <c r="Q46" s="9">
        <v>0</v>
      </c>
      <c r="R46" s="11">
        <v>0</v>
      </c>
      <c r="S46" s="10">
        <v>100000</v>
      </c>
      <c r="T46" s="9">
        <v>0</v>
      </c>
      <c r="U46" s="14">
        <v>1.4981273561716101E-2</v>
      </c>
      <c r="V46" s="12" t="s">
        <v>263</v>
      </c>
      <c r="W46" s="9">
        <v>100000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43046.708333333299</v>
      </c>
      <c r="E1" s="1" t="s">
        <v>247</v>
      </c>
      <c r="F1" s="4" t="s">
        <v>421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422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1603349.9999227501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423</v>
      </c>
      <c r="N46" s="9">
        <v>100000</v>
      </c>
      <c r="O46" s="9">
        <v>0</v>
      </c>
      <c r="P46" s="12" t="s">
        <v>424</v>
      </c>
      <c r="Q46" s="9">
        <v>0</v>
      </c>
      <c r="R46" s="11">
        <v>0</v>
      </c>
      <c r="S46" s="10">
        <v>100000</v>
      </c>
      <c r="T46" s="9">
        <v>0</v>
      </c>
      <c r="U46" s="14">
        <v>0.16479401290416701</v>
      </c>
      <c r="V46" s="12" t="s">
        <v>263</v>
      </c>
      <c r="W46" s="9">
        <v>100000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43067.708333333299</v>
      </c>
      <c r="E1" s="1" t="s">
        <v>247</v>
      </c>
      <c r="F1" s="4" t="s">
        <v>425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426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1603349.9999227501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427</v>
      </c>
      <c r="N46" s="9">
        <v>100000</v>
      </c>
      <c r="O46" s="9">
        <v>0</v>
      </c>
      <c r="P46" s="12" t="s">
        <v>428</v>
      </c>
      <c r="Q46" s="9">
        <v>0</v>
      </c>
      <c r="R46" s="11">
        <v>0</v>
      </c>
      <c r="S46" s="10">
        <v>100000</v>
      </c>
      <c r="T46" s="9">
        <v>0</v>
      </c>
      <c r="U46" s="14">
        <v>0.31460675597190901</v>
      </c>
      <c r="V46" s="12" t="s">
        <v>263</v>
      </c>
      <c r="W46" s="9">
        <v>100000</v>
      </c>
      <c r="X46" s="9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43088.708333333299</v>
      </c>
      <c r="E1" s="1" t="s">
        <v>247</v>
      </c>
      <c r="F1" s="4" t="s">
        <v>429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430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1703349.9999227501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431</v>
      </c>
      <c r="N46" s="9">
        <v>100000</v>
      </c>
      <c r="O46" s="9">
        <v>0</v>
      </c>
      <c r="P46" s="12" t="s">
        <v>432</v>
      </c>
      <c r="Q46" s="9">
        <v>0</v>
      </c>
      <c r="R46" s="11">
        <v>0</v>
      </c>
      <c r="S46" s="10">
        <v>100000</v>
      </c>
      <c r="T46" s="9">
        <v>0</v>
      </c>
      <c r="U46" s="14">
        <v>0.46441948413848899</v>
      </c>
      <c r="V46" s="12" t="s">
        <v>263</v>
      </c>
      <c r="W46" s="9">
        <v>100000</v>
      </c>
      <c r="X46" s="9">
        <v>100000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43109.708333333299</v>
      </c>
      <c r="E1" s="1" t="s">
        <v>247</v>
      </c>
      <c r="F1" s="4" t="s">
        <v>433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434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1703349.9999227501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435</v>
      </c>
      <c r="N46" s="9">
        <v>100000</v>
      </c>
      <c r="O46" s="9">
        <v>0</v>
      </c>
      <c r="P46" s="12" t="s">
        <v>436</v>
      </c>
      <c r="Q46" s="9">
        <v>0</v>
      </c>
      <c r="R46" s="11">
        <v>0</v>
      </c>
      <c r="S46" s="10">
        <v>100000</v>
      </c>
      <c r="T46" s="9">
        <v>0</v>
      </c>
      <c r="U46" s="14">
        <v>0.61423218250274703</v>
      </c>
      <c r="V46" s="12" t="s">
        <v>263</v>
      </c>
      <c r="W46" s="9">
        <v>100000</v>
      </c>
      <c r="X46" s="9">
        <v>100000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43130.708333333299</v>
      </c>
      <c r="E1" s="1" t="s">
        <v>247</v>
      </c>
      <c r="F1" s="4" t="s">
        <v>437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438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1703349.9999227501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439</v>
      </c>
      <c r="N46" s="9">
        <v>100000</v>
      </c>
      <c r="O46" s="9">
        <v>0</v>
      </c>
      <c r="P46" s="12" t="s">
        <v>317</v>
      </c>
      <c r="Q46" s="9">
        <v>0</v>
      </c>
      <c r="R46" s="11">
        <v>0</v>
      </c>
      <c r="S46" s="10">
        <v>100000</v>
      </c>
      <c r="T46" s="9">
        <v>0</v>
      </c>
      <c r="U46" s="14">
        <v>0.76404494047164895</v>
      </c>
      <c r="V46" s="12" t="s">
        <v>263</v>
      </c>
      <c r="W46" s="9">
        <v>100000</v>
      </c>
      <c r="X46" s="9">
        <v>100000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43151.708333333299</v>
      </c>
      <c r="E1" s="1" t="s">
        <v>247</v>
      </c>
      <c r="F1" s="4" t="s">
        <v>440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441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1703349.9999227501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442</v>
      </c>
      <c r="N46" s="9">
        <v>100000</v>
      </c>
      <c r="O46" s="9">
        <v>0</v>
      </c>
      <c r="P46" s="12" t="s">
        <v>443</v>
      </c>
      <c r="Q46" s="9">
        <v>0</v>
      </c>
      <c r="R46" s="11">
        <v>0</v>
      </c>
      <c r="S46" s="10">
        <v>100000</v>
      </c>
      <c r="T46" s="9">
        <v>0</v>
      </c>
      <c r="U46" s="14">
        <v>0.91385769844055198</v>
      </c>
      <c r="V46" s="12" t="s">
        <v>263</v>
      </c>
      <c r="W46" s="9">
        <v>100000</v>
      </c>
      <c r="X46" s="9">
        <v>100000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246</v>
      </c>
      <c r="C1" s="7">
        <v>43172.708333333299</v>
      </c>
      <c r="E1" s="1" t="s">
        <v>247</v>
      </c>
      <c r="F1" s="4" t="s">
        <v>444</v>
      </c>
    </row>
    <row r="3" spans="1:24" x14ac:dyDescent="0.35">
      <c r="A3" s="25" t="s">
        <v>0</v>
      </c>
      <c r="B3" s="25"/>
      <c r="C3" s="25" t="s">
        <v>2</v>
      </c>
      <c r="D3" s="25"/>
      <c r="E3" s="25"/>
      <c r="F3" s="25" t="s">
        <v>3</v>
      </c>
      <c r="G3" s="25"/>
      <c r="H3" s="25" t="s">
        <v>4</v>
      </c>
      <c r="I3" s="25"/>
      <c r="J3" s="25"/>
      <c r="K3" s="25"/>
      <c r="L3" s="25" t="s">
        <v>248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249</v>
      </c>
      <c r="M4" s="1" t="s">
        <v>250</v>
      </c>
      <c r="N4" s="1" t="s">
        <v>251</v>
      </c>
      <c r="O4" s="1" t="s">
        <v>252</v>
      </c>
      <c r="P4" s="1" t="s">
        <v>253</v>
      </c>
      <c r="Q4" s="1" t="s">
        <v>254</v>
      </c>
      <c r="R4" s="1" t="s">
        <v>255</v>
      </c>
      <c r="S4" s="1" t="s">
        <v>256</v>
      </c>
      <c r="T4" s="1" t="s">
        <v>257</v>
      </c>
      <c r="U4" s="1" t="s">
        <v>258</v>
      </c>
      <c r="V4" s="1" t="s">
        <v>248</v>
      </c>
      <c r="W4" s="1" t="s">
        <v>259</v>
      </c>
      <c r="X4" s="1" t="s">
        <v>260</v>
      </c>
    </row>
    <row r="5" spans="1:24" x14ac:dyDescent="0.35">
      <c r="A5" s="2">
        <v>0</v>
      </c>
      <c r="B5" s="3" t="s">
        <v>18</v>
      </c>
      <c r="C5" s="5">
        <v>42690.333333333299</v>
      </c>
      <c r="D5" s="5">
        <v>43179.708333333299</v>
      </c>
      <c r="E5" s="2" t="s">
        <v>20</v>
      </c>
      <c r="F5" s="2"/>
      <c r="G5" s="6"/>
      <c r="H5" s="6">
        <v>1546034</v>
      </c>
      <c r="I5" s="6"/>
      <c r="J5" s="6"/>
      <c r="K5" s="6">
        <v>1703349.9999227501</v>
      </c>
      <c r="L5" s="2"/>
      <c r="M5" s="2" t="s">
        <v>445</v>
      </c>
      <c r="N5" s="6"/>
      <c r="O5" s="6"/>
      <c r="P5" s="2"/>
      <c r="Q5" s="6"/>
      <c r="R5" s="6"/>
      <c r="S5" s="6">
        <v>1715032.9999173901</v>
      </c>
      <c r="T5" s="6"/>
      <c r="U5" s="13">
        <v>1</v>
      </c>
      <c r="V5" s="2"/>
      <c r="W5" s="6">
        <v>1703349.9999227501</v>
      </c>
      <c r="X5" s="6">
        <v>1703349.9999227501</v>
      </c>
    </row>
    <row r="6" spans="1:24" x14ac:dyDescent="0.35">
      <c r="A6" s="4">
        <v>41</v>
      </c>
      <c r="B6" s="4" t="s">
        <v>21</v>
      </c>
      <c r="C6" s="5">
        <v>42690.333333333299</v>
      </c>
      <c r="D6" s="5">
        <v>42760.708333333299</v>
      </c>
      <c r="E6" s="2" t="s">
        <v>23</v>
      </c>
      <c r="F6" s="2"/>
      <c r="G6" s="6"/>
      <c r="H6" s="6">
        <v>0</v>
      </c>
      <c r="I6" s="6"/>
      <c r="J6" s="6"/>
      <c r="K6" s="6">
        <v>23776</v>
      </c>
      <c r="L6" s="2"/>
      <c r="M6" s="2" t="s">
        <v>284</v>
      </c>
      <c r="N6" s="6"/>
      <c r="O6" s="6"/>
      <c r="P6" s="2"/>
      <c r="Q6" s="6"/>
      <c r="R6" s="6"/>
      <c r="S6" s="6">
        <v>24305</v>
      </c>
      <c r="T6" s="6"/>
      <c r="U6" s="13">
        <v>1</v>
      </c>
      <c r="V6" s="2"/>
      <c r="W6" s="6">
        <v>23776</v>
      </c>
      <c r="X6" s="6">
        <v>23776</v>
      </c>
    </row>
    <row r="7" spans="1:24" ht="22" x14ac:dyDescent="0.35">
      <c r="A7" s="3">
        <v>2</v>
      </c>
      <c r="B7" s="3" t="s">
        <v>24</v>
      </c>
      <c r="C7" s="8">
        <v>42690.333333333299</v>
      </c>
      <c r="D7" s="8">
        <v>42709.708333333299</v>
      </c>
      <c r="E7" s="12" t="s">
        <v>27</v>
      </c>
      <c r="F7" s="12" t="s">
        <v>28</v>
      </c>
      <c r="G7" s="9">
        <v>10080</v>
      </c>
      <c r="H7" s="9">
        <v>0</v>
      </c>
      <c r="I7" s="9">
        <v>0</v>
      </c>
      <c r="J7" s="9">
        <v>0</v>
      </c>
      <c r="K7" s="9">
        <v>10080</v>
      </c>
      <c r="L7" s="7">
        <v>42690.333333333299</v>
      </c>
      <c r="M7" s="3" t="s">
        <v>267</v>
      </c>
      <c r="N7" s="9">
        <v>13950</v>
      </c>
      <c r="O7" s="9">
        <v>0</v>
      </c>
      <c r="P7" s="12" t="s">
        <v>264</v>
      </c>
      <c r="Q7" s="9">
        <v>0</v>
      </c>
      <c r="R7" s="11">
        <v>0</v>
      </c>
      <c r="S7" s="10">
        <v>13950</v>
      </c>
      <c r="T7" s="9">
        <v>0</v>
      </c>
      <c r="U7" s="14">
        <v>1</v>
      </c>
      <c r="V7" s="12" t="s">
        <v>268</v>
      </c>
      <c r="W7" s="9">
        <v>10080</v>
      </c>
      <c r="X7" s="9">
        <v>10080</v>
      </c>
    </row>
    <row r="8" spans="1:24" x14ac:dyDescent="0.35">
      <c r="A8" s="3">
        <v>3</v>
      </c>
      <c r="B8" s="3" t="s">
        <v>29</v>
      </c>
      <c r="C8" s="8">
        <v>42710.333333333299</v>
      </c>
      <c r="D8" s="8">
        <v>42713.708333333299</v>
      </c>
      <c r="E8" s="12" t="s">
        <v>32</v>
      </c>
      <c r="F8" s="12" t="s">
        <v>33</v>
      </c>
      <c r="G8" s="9">
        <v>1440</v>
      </c>
      <c r="H8" s="9">
        <v>0</v>
      </c>
      <c r="I8" s="9">
        <v>0</v>
      </c>
      <c r="J8" s="9">
        <v>0</v>
      </c>
      <c r="K8" s="9">
        <v>1440</v>
      </c>
      <c r="L8" s="7">
        <v>42717.458333333299</v>
      </c>
      <c r="M8" s="3" t="s">
        <v>269</v>
      </c>
      <c r="N8" s="9">
        <v>855</v>
      </c>
      <c r="O8" s="9">
        <v>0</v>
      </c>
      <c r="P8" s="12" t="s">
        <v>264</v>
      </c>
      <c r="Q8" s="9">
        <v>0</v>
      </c>
      <c r="R8" s="11">
        <v>0</v>
      </c>
      <c r="S8" s="10">
        <v>855</v>
      </c>
      <c r="T8" s="9">
        <v>0</v>
      </c>
      <c r="U8" s="14">
        <v>1</v>
      </c>
      <c r="V8" s="12" t="s">
        <v>268</v>
      </c>
      <c r="W8" s="9">
        <v>1440</v>
      </c>
      <c r="X8" s="9">
        <v>1440</v>
      </c>
    </row>
    <row r="9" spans="1:24" ht="22" x14ac:dyDescent="0.35">
      <c r="A9" s="3">
        <v>4</v>
      </c>
      <c r="B9" s="3" t="s">
        <v>34</v>
      </c>
      <c r="C9" s="8">
        <v>42710.333333333299</v>
      </c>
      <c r="D9" s="8">
        <v>42716.708333333299</v>
      </c>
      <c r="E9" s="12" t="s">
        <v>37</v>
      </c>
      <c r="F9" s="12" t="s">
        <v>33</v>
      </c>
      <c r="G9" s="9">
        <v>1800</v>
      </c>
      <c r="H9" s="9">
        <v>0</v>
      </c>
      <c r="I9" s="9">
        <v>0</v>
      </c>
      <c r="J9" s="9">
        <v>0</v>
      </c>
      <c r="K9" s="9">
        <v>1800</v>
      </c>
      <c r="L9" s="7">
        <v>42717.458333333299</v>
      </c>
      <c r="M9" s="3" t="s">
        <v>270</v>
      </c>
      <c r="N9" s="9">
        <v>1485</v>
      </c>
      <c r="O9" s="9">
        <v>0</v>
      </c>
      <c r="P9" s="12" t="s">
        <v>264</v>
      </c>
      <c r="Q9" s="9">
        <v>0</v>
      </c>
      <c r="R9" s="11">
        <v>0</v>
      </c>
      <c r="S9" s="10">
        <v>1485</v>
      </c>
      <c r="T9" s="9">
        <v>0</v>
      </c>
      <c r="U9" s="14">
        <v>1</v>
      </c>
      <c r="V9" s="12" t="s">
        <v>268</v>
      </c>
      <c r="W9" s="9">
        <v>1800</v>
      </c>
      <c r="X9" s="9">
        <v>1800</v>
      </c>
    </row>
    <row r="10" spans="1:24" ht="22" x14ac:dyDescent="0.35">
      <c r="A10" s="3">
        <v>5</v>
      </c>
      <c r="B10" s="3" t="s">
        <v>38</v>
      </c>
      <c r="C10" s="8">
        <v>42717.333333333299</v>
      </c>
      <c r="D10" s="8">
        <v>42744.708333333299</v>
      </c>
      <c r="E10" s="12" t="s">
        <v>42</v>
      </c>
      <c r="F10" s="12" t="s">
        <v>33</v>
      </c>
      <c r="G10" s="9">
        <v>7200</v>
      </c>
      <c r="H10" s="9">
        <v>0</v>
      </c>
      <c r="I10" s="9">
        <v>0</v>
      </c>
      <c r="J10" s="9">
        <v>0</v>
      </c>
      <c r="K10" s="9">
        <v>7200</v>
      </c>
      <c r="L10" s="7">
        <v>42723.541666666701</v>
      </c>
      <c r="M10" s="3" t="s">
        <v>275</v>
      </c>
      <c r="N10" s="9">
        <v>4860</v>
      </c>
      <c r="O10" s="9">
        <v>0</v>
      </c>
      <c r="P10" s="12" t="s">
        <v>264</v>
      </c>
      <c r="Q10" s="9">
        <v>0</v>
      </c>
      <c r="R10" s="11">
        <v>0</v>
      </c>
      <c r="S10" s="10">
        <v>4860</v>
      </c>
      <c r="T10" s="9">
        <v>0</v>
      </c>
      <c r="U10" s="14">
        <v>1</v>
      </c>
      <c r="V10" s="12" t="s">
        <v>268</v>
      </c>
      <c r="W10" s="9">
        <v>7200</v>
      </c>
      <c r="X10" s="9">
        <v>7200</v>
      </c>
    </row>
    <row r="11" spans="1:24" ht="22" x14ac:dyDescent="0.35">
      <c r="A11" s="3">
        <v>6</v>
      </c>
      <c r="B11" s="3" t="s">
        <v>43</v>
      </c>
      <c r="C11" s="8">
        <v>42745.333333333299</v>
      </c>
      <c r="D11" s="8">
        <v>42751.708333333299</v>
      </c>
      <c r="E11" s="12" t="s">
        <v>37</v>
      </c>
      <c r="F11" s="12" t="s">
        <v>33</v>
      </c>
      <c r="G11" s="9">
        <v>1800</v>
      </c>
      <c r="H11" s="9">
        <v>0</v>
      </c>
      <c r="I11" s="9">
        <v>0</v>
      </c>
      <c r="J11" s="9">
        <v>0</v>
      </c>
      <c r="K11" s="9">
        <v>1800</v>
      </c>
      <c r="L11" s="7">
        <v>42741.333333333299</v>
      </c>
      <c r="M11" s="3" t="s">
        <v>276</v>
      </c>
      <c r="N11" s="9">
        <v>2115</v>
      </c>
      <c r="O11" s="9">
        <v>0</v>
      </c>
      <c r="P11" s="12" t="s">
        <v>264</v>
      </c>
      <c r="Q11" s="9">
        <v>0</v>
      </c>
      <c r="R11" s="11">
        <v>0</v>
      </c>
      <c r="S11" s="10">
        <v>2115</v>
      </c>
      <c r="T11" s="9">
        <v>0</v>
      </c>
      <c r="U11" s="14">
        <v>1</v>
      </c>
      <c r="V11" s="12" t="s">
        <v>268</v>
      </c>
      <c r="W11" s="9">
        <v>1800</v>
      </c>
      <c r="X11" s="9">
        <v>1800</v>
      </c>
    </row>
    <row r="12" spans="1:24" x14ac:dyDescent="0.35">
      <c r="A12" s="3">
        <v>7</v>
      </c>
      <c r="B12" s="3" t="s">
        <v>47</v>
      </c>
      <c r="C12" s="8">
        <v>42752.333333333299</v>
      </c>
      <c r="D12" s="8">
        <v>42760.708333333299</v>
      </c>
      <c r="E12" s="12" t="s">
        <v>51</v>
      </c>
      <c r="F12" s="12" t="s">
        <v>52</v>
      </c>
      <c r="G12" s="9">
        <v>1456</v>
      </c>
      <c r="H12" s="9">
        <v>0</v>
      </c>
      <c r="I12" s="9">
        <v>0</v>
      </c>
      <c r="J12" s="9">
        <v>0</v>
      </c>
      <c r="K12" s="9">
        <v>1456</v>
      </c>
      <c r="L12" s="7">
        <v>42748.666666666701</v>
      </c>
      <c r="M12" s="3" t="s">
        <v>37</v>
      </c>
      <c r="N12" s="9">
        <v>1040</v>
      </c>
      <c r="O12" s="9">
        <v>0</v>
      </c>
      <c r="P12" s="12" t="s">
        <v>264</v>
      </c>
      <c r="Q12" s="9">
        <v>0</v>
      </c>
      <c r="R12" s="11">
        <v>0</v>
      </c>
      <c r="S12" s="10">
        <v>1040</v>
      </c>
      <c r="T12" s="9">
        <v>0</v>
      </c>
      <c r="U12" s="14">
        <v>1</v>
      </c>
      <c r="V12" s="12" t="s">
        <v>268</v>
      </c>
      <c r="W12" s="9">
        <v>1456</v>
      </c>
      <c r="X12" s="9">
        <v>1456</v>
      </c>
    </row>
    <row r="13" spans="1:24" x14ac:dyDescent="0.35">
      <c r="A13" s="4">
        <v>42</v>
      </c>
      <c r="B13" s="4" t="s">
        <v>53</v>
      </c>
      <c r="C13" s="5">
        <v>42717.333333333299</v>
      </c>
      <c r="D13" s="5">
        <v>42761.708333333299</v>
      </c>
      <c r="E13" s="2" t="s">
        <v>55</v>
      </c>
      <c r="F13" s="2"/>
      <c r="G13" s="6"/>
      <c r="H13" s="6">
        <v>45000</v>
      </c>
      <c r="I13" s="6"/>
      <c r="J13" s="6"/>
      <c r="K13" s="6">
        <v>47880</v>
      </c>
      <c r="L13" s="2"/>
      <c r="M13" s="2" t="s">
        <v>285</v>
      </c>
      <c r="N13" s="6"/>
      <c r="O13" s="6"/>
      <c r="P13" s="2"/>
      <c r="Q13" s="6"/>
      <c r="R13" s="6"/>
      <c r="S13" s="6">
        <v>47448</v>
      </c>
      <c r="T13" s="6"/>
      <c r="U13" s="13">
        <v>1</v>
      </c>
      <c r="V13" s="2"/>
      <c r="W13" s="6">
        <v>47880</v>
      </c>
      <c r="X13" s="6">
        <v>47880</v>
      </c>
    </row>
    <row r="14" spans="1:24" ht="22" x14ac:dyDescent="0.35">
      <c r="A14" s="3">
        <v>9</v>
      </c>
      <c r="B14" s="3" t="s">
        <v>56</v>
      </c>
      <c r="C14" s="8">
        <v>42717.333333333299</v>
      </c>
      <c r="D14" s="8">
        <v>42719.708333333299</v>
      </c>
      <c r="E14" s="12" t="s">
        <v>59</v>
      </c>
      <c r="F14" s="12"/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7">
        <v>42723.541666666701</v>
      </c>
      <c r="M14" s="3" t="s">
        <v>59</v>
      </c>
      <c r="N14" s="9">
        <v>0</v>
      </c>
      <c r="O14" s="9">
        <v>0</v>
      </c>
      <c r="P14" s="12" t="s">
        <v>264</v>
      </c>
      <c r="Q14" s="9">
        <v>0</v>
      </c>
      <c r="R14" s="11">
        <v>0</v>
      </c>
      <c r="S14" s="10">
        <v>0</v>
      </c>
      <c r="T14" s="9">
        <v>0</v>
      </c>
      <c r="U14" s="14">
        <v>1</v>
      </c>
      <c r="V14" s="12" t="s">
        <v>268</v>
      </c>
      <c r="W14" s="9">
        <v>0</v>
      </c>
      <c r="X14" s="9">
        <v>0</v>
      </c>
    </row>
    <row r="15" spans="1:24" x14ac:dyDescent="0.35">
      <c r="A15" s="3">
        <v>10</v>
      </c>
      <c r="B15" s="3" t="s">
        <v>60</v>
      </c>
      <c r="C15" s="8">
        <v>42720.333333333299</v>
      </c>
      <c r="D15" s="8">
        <v>42740.708333333299</v>
      </c>
      <c r="E15" s="12" t="s">
        <v>64</v>
      </c>
      <c r="F15" s="12"/>
      <c r="G15" s="9">
        <v>0</v>
      </c>
      <c r="H15" s="9">
        <v>45000</v>
      </c>
      <c r="I15" s="9">
        <v>0</v>
      </c>
      <c r="J15" s="9">
        <v>0</v>
      </c>
      <c r="K15" s="9">
        <v>45000</v>
      </c>
      <c r="L15" s="7">
        <v>42726.541666666701</v>
      </c>
      <c r="M15" s="3" t="s">
        <v>280</v>
      </c>
      <c r="N15" s="9">
        <v>45000</v>
      </c>
      <c r="O15" s="9">
        <v>0</v>
      </c>
      <c r="P15" s="12" t="s">
        <v>264</v>
      </c>
      <c r="Q15" s="9">
        <v>0</v>
      </c>
      <c r="R15" s="11">
        <v>0</v>
      </c>
      <c r="S15" s="10">
        <v>45000</v>
      </c>
      <c r="T15" s="9">
        <v>0</v>
      </c>
      <c r="U15" s="14">
        <v>1</v>
      </c>
      <c r="V15" s="12" t="s">
        <v>268</v>
      </c>
      <c r="W15" s="9">
        <v>45000</v>
      </c>
      <c r="X15" s="9">
        <v>45000</v>
      </c>
    </row>
    <row r="16" spans="1:24" x14ac:dyDescent="0.35">
      <c r="A16" s="3">
        <v>11</v>
      </c>
      <c r="B16" s="3" t="s">
        <v>65</v>
      </c>
      <c r="C16" s="8">
        <v>42741.333333333299</v>
      </c>
      <c r="D16" s="8">
        <v>42761.708333333299</v>
      </c>
      <c r="E16" s="12" t="s">
        <v>64</v>
      </c>
      <c r="F16" s="12" t="s">
        <v>69</v>
      </c>
      <c r="G16" s="9">
        <v>2880</v>
      </c>
      <c r="H16" s="9">
        <v>0</v>
      </c>
      <c r="I16" s="9">
        <v>0</v>
      </c>
      <c r="J16" s="9">
        <v>0</v>
      </c>
      <c r="K16" s="9">
        <v>2880</v>
      </c>
      <c r="L16" s="7">
        <v>42746.583333333299</v>
      </c>
      <c r="M16" s="3" t="s">
        <v>286</v>
      </c>
      <c r="N16" s="9">
        <v>2448</v>
      </c>
      <c r="O16" s="9">
        <v>0</v>
      </c>
      <c r="P16" s="12" t="s">
        <v>264</v>
      </c>
      <c r="Q16" s="9">
        <v>0</v>
      </c>
      <c r="R16" s="11">
        <v>0</v>
      </c>
      <c r="S16" s="10">
        <v>2448</v>
      </c>
      <c r="T16" s="9">
        <v>0</v>
      </c>
      <c r="U16" s="14">
        <v>1</v>
      </c>
      <c r="V16" s="12" t="s">
        <v>268</v>
      </c>
      <c r="W16" s="9">
        <v>2880</v>
      </c>
      <c r="X16" s="9">
        <v>2880</v>
      </c>
    </row>
    <row r="17" spans="1:24" x14ac:dyDescent="0.35">
      <c r="A17" s="4">
        <v>43</v>
      </c>
      <c r="B17" s="4" t="s">
        <v>70</v>
      </c>
      <c r="C17" s="5">
        <v>42761.333333333299</v>
      </c>
      <c r="D17" s="5">
        <v>42858.708333333299</v>
      </c>
      <c r="E17" s="2" t="s">
        <v>72</v>
      </c>
      <c r="F17" s="2"/>
      <c r="G17" s="6"/>
      <c r="H17" s="6">
        <v>2112</v>
      </c>
      <c r="I17" s="6"/>
      <c r="J17" s="6"/>
      <c r="K17" s="6">
        <v>23452</v>
      </c>
      <c r="L17" s="2"/>
      <c r="M17" s="2" t="s">
        <v>316</v>
      </c>
      <c r="N17" s="6"/>
      <c r="O17" s="6"/>
      <c r="P17" s="2"/>
      <c r="Q17" s="6"/>
      <c r="R17" s="6"/>
      <c r="S17" s="6">
        <v>22687</v>
      </c>
      <c r="T17" s="6"/>
      <c r="U17" s="13">
        <v>1</v>
      </c>
      <c r="V17" s="2"/>
      <c r="W17" s="6">
        <v>23452</v>
      </c>
      <c r="X17" s="6">
        <v>23452</v>
      </c>
    </row>
    <row r="18" spans="1:24" x14ac:dyDescent="0.35">
      <c r="A18" s="3">
        <v>13</v>
      </c>
      <c r="B18" s="3" t="s">
        <v>73</v>
      </c>
      <c r="C18" s="8">
        <v>42761.333333333299</v>
      </c>
      <c r="D18" s="8">
        <v>42802.708333333299</v>
      </c>
      <c r="E18" s="12" t="s">
        <v>77</v>
      </c>
      <c r="F18" s="12" t="s">
        <v>78</v>
      </c>
      <c r="G18" s="9">
        <v>8160</v>
      </c>
      <c r="H18" s="9">
        <v>0</v>
      </c>
      <c r="I18" s="9">
        <v>0</v>
      </c>
      <c r="J18" s="9">
        <v>0</v>
      </c>
      <c r="K18" s="9">
        <v>8160</v>
      </c>
      <c r="L18" s="7">
        <v>42755.666666666701</v>
      </c>
      <c r="M18" s="3" t="s">
        <v>299</v>
      </c>
      <c r="N18" s="9">
        <v>10404</v>
      </c>
      <c r="O18" s="9">
        <v>0</v>
      </c>
      <c r="P18" s="12" t="s">
        <v>264</v>
      </c>
      <c r="Q18" s="9">
        <v>0</v>
      </c>
      <c r="R18" s="11">
        <v>0</v>
      </c>
      <c r="S18" s="10">
        <v>10404</v>
      </c>
      <c r="T18" s="9">
        <v>0</v>
      </c>
      <c r="U18" s="14">
        <v>1</v>
      </c>
      <c r="V18" s="12" t="s">
        <v>268</v>
      </c>
      <c r="W18" s="9">
        <v>8160</v>
      </c>
      <c r="X18" s="9">
        <v>8160</v>
      </c>
    </row>
    <row r="19" spans="1:24" ht="22" x14ac:dyDescent="0.35">
      <c r="A19" s="3">
        <v>14</v>
      </c>
      <c r="B19" s="3" t="s">
        <v>79</v>
      </c>
      <c r="C19" s="8">
        <v>42803.333333333299</v>
      </c>
      <c r="D19" s="8">
        <v>42830.708333333299</v>
      </c>
      <c r="E19" s="12" t="s">
        <v>42</v>
      </c>
      <c r="F19" s="12"/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7">
        <v>42810.375</v>
      </c>
      <c r="M19" s="3" t="s">
        <v>317</v>
      </c>
      <c r="N19" s="9">
        <v>0</v>
      </c>
      <c r="O19" s="9">
        <v>0</v>
      </c>
      <c r="P19" s="12" t="s">
        <v>264</v>
      </c>
      <c r="Q19" s="9">
        <v>0</v>
      </c>
      <c r="R19" s="11">
        <v>0</v>
      </c>
      <c r="S19" s="10">
        <v>0</v>
      </c>
      <c r="T19" s="9">
        <v>0</v>
      </c>
      <c r="U19" s="14">
        <v>1</v>
      </c>
      <c r="V19" s="12" t="s">
        <v>268</v>
      </c>
      <c r="W19" s="9">
        <v>0</v>
      </c>
      <c r="X19" s="9">
        <v>0</v>
      </c>
    </row>
    <row r="20" spans="1:24" ht="22" x14ac:dyDescent="0.35">
      <c r="A20" s="3">
        <v>15</v>
      </c>
      <c r="B20" s="3" t="s">
        <v>83</v>
      </c>
      <c r="C20" s="8">
        <v>42803.333333333299</v>
      </c>
      <c r="D20" s="8">
        <v>42858.708333333299</v>
      </c>
      <c r="E20" s="12" t="s">
        <v>86</v>
      </c>
      <c r="F20" s="12" t="s">
        <v>87</v>
      </c>
      <c r="G20" s="9">
        <v>4160</v>
      </c>
      <c r="H20" s="9">
        <v>0</v>
      </c>
      <c r="I20" s="9">
        <v>0</v>
      </c>
      <c r="J20" s="9">
        <v>0</v>
      </c>
      <c r="K20" s="9">
        <v>4160</v>
      </c>
      <c r="L20" s="7">
        <v>42810.375</v>
      </c>
      <c r="M20" s="3" t="s">
        <v>318</v>
      </c>
      <c r="N20" s="9">
        <v>2613</v>
      </c>
      <c r="O20" s="9">
        <v>0</v>
      </c>
      <c r="P20" s="12" t="s">
        <v>264</v>
      </c>
      <c r="Q20" s="9">
        <v>0</v>
      </c>
      <c r="R20" s="11">
        <v>0</v>
      </c>
      <c r="S20" s="10">
        <v>2613</v>
      </c>
      <c r="T20" s="9">
        <v>0</v>
      </c>
      <c r="U20" s="14">
        <v>1</v>
      </c>
      <c r="V20" s="12" t="s">
        <v>268</v>
      </c>
      <c r="W20" s="9">
        <v>4160</v>
      </c>
      <c r="X20" s="9">
        <v>4160</v>
      </c>
    </row>
    <row r="21" spans="1:24" ht="32.5" x14ac:dyDescent="0.35">
      <c r="A21" s="3">
        <v>16</v>
      </c>
      <c r="B21" s="3" t="s">
        <v>88</v>
      </c>
      <c r="C21" s="8">
        <v>42803.333333333299</v>
      </c>
      <c r="D21" s="8">
        <v>42851.708333333299</v>
      </c>
      <c r="E21" s="12" t="s">
        <v>91</v>
      </c>
      <c r="F21" s="12" t="s">
        <v>92</v>
      </c>
      <c r="G21" s="9">
        <v>4760</v>
      </c>
      <c r="H21" s="9">
        <v>0</v>
      </c>
      <c r="I21" s="9">
        <v>0</v>
      </c>
      <c r="J21" s="9">
        <v>0</v>
      </c>
      <c r="K21" s="9">
        <v>4760</v>
      </c>
      <c r="L21" s="7">
        <v>42810.375</v>
      </c>
      <c r="M21" s="3" t="s">
        <v>319</v>
      </c>
      <c r="N21" s="9">
        <v>3298</v>
      </c>
      <c r="O21" s="9">
        <v>0</v>
      </c>
      <c r="P21" s="12" t="s">
        <v>264</v>
      </c>
      <c r="Q21" s="9">
        <v>0</v>
      </c>
      <c r="R21" s="11">
        <v>0</v>
      </c>
      <c r="S21" s="10">
        <v>3298</v>
      </c>
      <c r="T21" s="9">
        <v>0</v>
      </c>
      <c r="U21" s="14">
        <v>1</v>
      </c>
      <c r="V21" s="12" t="s">
        <v>268</v>
      </c>
      <c r="W21" s="9">
        <v>4760</v>
      </c>
      <c r="X21" s="9">
        <v>4760</v>
      </c>
    </row>
    <row r="22" spans="1:24" ht="22" x14ac:dyDescent="0.35">
      <c r="A22" s="3">
        <v>17</v>
      </c>
      <c r="B22" s="3" t="s">
        <v>93</v>
      </c>
      <c r="C22" s="8">
        <v>42803.333333333299</v>
      </c>
      <c r="D22" s="8">
        <v>42823.708333333299</v>
      </c>
      <c r="E22" s="12" t="s">
        <v>64</v>
      </c>
      <c r="F22" s="12" t="s">
        <v>96</v>
      </c>
      <c r="G22" s="9">
        <v>4260</v>
      </c>
      <c r="H22" s="9">
        <v>0</v>
      </c>
      <c r="I22" s="9">
        <v>0</v>
      </c>
      <c r="J22" s="9">
        <v>0</v>
      </c>
      <c r="K22" s="9">
        <v>4260</v>
      </c>
      <c r="L22" s="7">
        <v>42810.375</v>
      </c>
      <c r="M22" s="3" t="s">
        <v>64</v>
      </c>
      <c r="N22" s="9">
        <v>4260</v>
      </c>
      <c r="O22" s="9">
        <v>0</v>
      </c>
      <c r="P22" s="12" t="s">
        <v>264</v>
      </c>
      <c r="Q22" s="9">
        <v>0</v>
      </c>
      <c r="R22" s="11">
        <v>0</v>
      </c>
      <c r="S22" s="10">
        <v>4260</v>
      </c>
      <c r="T22" s="9">
        <v>0</v>
      </c>
      <c r="U22" s="14">
        <v>1</v>
      </c>
      <c r="V22" s="12" t="s">
        <v>268</v>
      </c>
      <c r="W22" s="9">
        <v>4260</v>
      </c>
      <c r="X22" s="9">
        <v>4260</v>
      </c>
    </row>
    <row r="23" spans="1:24" x14ac:dyDescent="0.35">
      <c r="A23" s="3">
        <v>18</v>
      </c>
      <c r="B23" s="3" t="s">
        <v>97</v>
      </c>
      <c r="C23" s="8">
        <v>42803.333333333299</v>
      </c>
      <c r="D23" s="8">
        <v>42816.708333333299</v>
      </c>
      <c r="E23" s="12" t="s">
        <v>99</v>
      </c>
      <c r="F23" s="12"/>
      <c r="G23" s="9">
        <v>0</v>
      </c>
      <c r="H23" s="9">
        <v>2112</v>
      </c>
      <c r="I23" s="9">
        <v>0</v>
      </c>
      <c r="J23" s="9">
        <v>0</v>
      </c>
      <c r="K23" s="9">
        <v>2112</v>
      </c>
      <c r="L23" s="7">
        <v>42810.375</v>
      </c>
      <c r="M23" s="3" t="s">
        <v>99</v>
      </c>
      <c r="N23" s="9">
        <v>2112</v>
      </c>
      <c r="O23" s="9">
        <v>0</v>
      </c>
      <c r="P23" s="12" t="s">
        <v>264</v>
      </c>
      <c r="Q23" s="9">
        <v>0</v>
      </c>
      <c r="R23" s="11">
        <v>0</v>
      </c>
      <c r="S23" s="10">
        <v>2112</v>
      </c>
      <c r="T23" s="9">
        <v>0</v>
      </c>
      <c r="U23" s="14">
        <v>1</v>
      </c>
      <c r="V23" s="12" t="s">
        <v>268</v>
      </c>
      <c r="W23" s="9">
        <v>2112</v>
      </c>
      <c r="X23" s="9">
        <v>2112</v>
      </c>
    </row>
    <row r="24" spans="1:24" x14ac:dyDescent="0.35">
      <c r="A24" s="4">
        <v>44</v>
      </c>
      <c r="B24" s="4" t="s">
        <v>100</v>
      </c>
      <c r="C24" s="5">
        <v>42803.333333333299</v>
      </c>
      <c r="D24" s="5">
        <v>42923.708333333299</v>
      </c>
      <c r="E24" s="2" t="s">
        <v>102</v>
      </c>
      <c r="F24" s="2"/>
      <c r="G24" s="6"/>
      <c r="H24" s="6">
        <v>168000</v>
      </c>
      <c r="I24" s="6"/>
      <c r="J24" s="6"/>
      <c r="K24" s="6">
        <v>175560</v>
      </c>
      <c r="L24" s="2"/>
      <c r="M24" s="2" t="s">
        <v>410</v>
      </c>
      <c r="N24" s="6"/>
      <c r="O24" s="6"/>
      <c r="P24" s="2"/>
      <c r="Q24" s="6"/>
      <c r="R24" s="6"/>
      <c r="S24" s="6">
        <v>178920</v>
      </c>
      <c r="T24" s="6"/>
      <c r="U24" s="13">
        <v>1</v>
      </c>
      <c r="V24" s="2"/>
      <c r="W24" s="6">
        <v>175560</v>
      </c>
      <c r="X24" s="6">
        <v>175560</v>
      </c>
    </row>
    <row r="25" spans="1:24" ht="22" x14ac:dyDescent="0.35">
      <c r="A25" s="3">
        <v>20</v>
      </c>
      <c r="B25" s="3" t="s">
        <v>103</v>
      </c>
      <c r="C25" s="8">
        <v>42803.333333333299</v>
      </c>
      <c r="D25" s="8">
        <v>42828.708333333299</v>
      </c>
      <c r="E25" s="12" t="s">
        <v>106</v>
      </c>
      <c r="F25" s="12" t="s">
        <v>107</v>
      </c>
      <c r="G25" s="9">
        <v>7560</v>
      </c>
      <c r="H25" s="9">
        <v>0</v>
      </c>
      <c r="I25" s="9">
        <v>0</v>
      </c>
      <c r="J25" s="9">
        <v>0</v>
      </c>
      <c r="K25" s="9">
        <v>7560</v>
      </c>
      <c r="L25" s="7">
        <v>42810.375</v>
      </c>
      <c r="M25" s="3" t="s">
        <v>186</v>
      </c>
      <c r="N25" s="9">
        <v>10920</v>
      </c>
      <c r="O25" s="9">
        <v>0</v>
      </c>
      <c r="P25" s="12" t="s">
        <v>264</v>
      </c>
      <c r="Q25" s="9">
        <v>0</v>
      </c>
      <c r="R25" s="11">
        <v>0</v>
      </c>
      <c r="S25" s="10">
        <v>10920</v>
      </c>
      <c r="T25" s="9">
        <v>0</v>
      </c>
      <c r="U25" s="14">
        <v>1</v>
      </c>
      <c r="V25" s="12" t="s">
        <v>268</v>
      </c>
      <c r="W25" s="9">
        <v>7560</v>
      </c>
      <c r="X25" s="9">
        <v>7560</v>
      </c>
    </row>
    <row r="26" spans="1:24" x14ac:dyDescent="0.35">
      <c r="A26" s="3">
        <v>21</v>
      </c>
      <c r="B26" s="3" t="s">
        <v>108</v>
      </c>
      <c r="C26" s="8">
        <v>42829.333333333299</v>
      </c>
      <c r="D26" s="8">
        <v>42907.708333333299</v>
      </c>
      <c r="E26" s="12" t="s">
        <v>112</v>
      </c>
      <c r="F26" s="12"/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7">
        <v>42846.375</v>
      </c>
      <c r="M26" s="3" t="s">
        <v>350</v>
      </c>
      <c r="N26" s="9">
        <v>0</v>
      </c>
      <c r="O26" s="9">
        <v>0</v>
      </c>
      <c r="P26" s="12" t="s">
        <v>264</v>
      </c>
      <c r="Q26" s="9">
        <v>0</v>
      </c>
      <c r="R26" s="11">
        <v>0</v>
      </c>
      <c r="S26" s="10">
        <v>0</v>
      </c>
      <c r="T26" s="9">
        <v>0</v>
      </c>
      <c r="U26" s="14">
        <v>1</v>
      </c>
      <c r="V26" s="12" t="s">
        <v>268</v>
      </c>
      <c r="W26" s="9">
        <v>0</v>
      </c>
      <c r="X26" s="9">
        <v>0</v>
      </c>
    </row>
    <row r="27" spans="1:24" x14ac:dyDescent="0.35">
      <c r="A27" s="3">
        <v>22</v>
      </c>
      <c r="B27" s="3" t="s">
        <v>113</v>
      </c>
      <c r="C27" s="8">
        <v>42829.333333333299</v>
      </c>
      <c r="D27" s="8">
        <v>42907.708333333299</v>
      </c>
      <c r="E27" s="12" t="s">
        <v>112</v>
      </c>
      <c r="F27" s="12"/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7">
        <v>42846.375</v>
      </c>
      <c r="M27" s="3" t="s">
        <v>388</v>
      </c>
      <c r="N27" s="9">
        <v>0</v>
      </c>
      <c r="O27" s="9">
        <v>0</v>
      </c>
      <c r="P27" s="12" t="s">
        <v>264</v>
      </c>
      <c r="Q27" s="9">
        <v>0</v>
      </c>
      <c r="R27" s="11">
        <v>0</v>
      </c>
      <c r="S27" s="10">
        <v>0</v>
      </c>
      <c r="T27" s="9">
        <v>0</v>
      </c>
      <c r="U27" s="14">
        <v>1</v>
      </c>
      <c r="V27" s="12" t="s">
        <v>268</v>
      </c>
      <c r="W27" s="9">
        <v>0</v>
      </c>
      <c r="X27" s="9">
        <v>0</v>
      </c>
    </row>
    <row r="28" spans="1:24" x14ac:dyDescent="0.35">
      <c r="A28" s="3">
        <v>23</v>
      </c>
      <c r="B28" s="3" t="s">
        <v>116</v>
      </c>
      <c r="C28" s="8">
        <v>42908.333333333299</v>
      </c>
      <c r="D28" s="8">
        <v>42923.708333333299</v>
      </c>
      <c r="E28" s="12" t="s">
        <v>119</v>
      </c>
      <c r="F28" s="12"/>
      <c r="G28" s="9">
        <v>0</v>
      </c>
      <c r="H28" s="9">
        <v>84000</v>
      </c>
      <c r="I28" s="9">
        <v>0</v>
      </c>
      <c r="J28" s="9">
        <v>0</v>
      </c>
      <c r="K28" s="9">
        <v>84000</v>
      </c>
      <c r="L28" s="7">
        <v>42886.583333333299</v>
      </c>
      <c r="M28" s="3" t="s">
        <v>119</v>
      </c>
      <c r="N28" s="9">
        <v>84000</v>
      </c>
      <c r="O28" s="9">
        <v>0</v>
      </c>
      <c r="P28" s="12" t="s">
        <v>264</v>
      </c>
      <c r="Q28" s="9">
        <v>0</v>
      </c>
      <c r="R28" s="11">
        <v>0</v>
      </c>
      <c r="S28" s="10">
        <v>84000</v>
      </c>
      <c r="T28" s="9">
        <v>0</v>
      </c>
      <c r="U28" s="14">
        <v>1</v>
      </c>
      <c r="V28" s="12" t="s">
        <v>268</v>
      </c>
      <c r="W28" s="9">
        <v>84000</v>
      </c>
      <c r="X28" s="9">
        <v>84000</v>
      </c>
    </row>
    <row r="29" spans="1:24" ht="22" x14ac:dyDescent="0.35">
      <c r="A29" s="3">
        <v>24</v>
      </c>
      <c r="B29" s="3" t="s">
        <v>120</v>
      </c>
      <c r="C29" s="8">
        <v>42908.333333333299</v>
      </c>
      <c r="D29" s="8">
        <v>42923.708333333299</v>
      </c>
      <c r="E29" s="12" t="s">
        <v>119</v>
      </c>
      <c r="F29" s="12"/>
      <c r="G29" s="9">
        <v>0</v>
      </c>
      <c r="H29" s="9">
        <v>84000</v>
      </c>
      <c r="I29" s="9">
        <v>0</v>
      </c>
      <c r="J29" s="9">
        <v>0</v>
      </c>
      <c r="K29" s="9">
        <v>84000</v>
      </c>
      <c r="L29" s="7">
        <v>42962.416666666701</v>
      </c>
      <c r="M29" s="3" t="s">
        <v>411</v>
      </c>
      <c r="N29" s="9">
        <v>84000</v>
      </c>
      <c r="O29" s="9">
        <v>0</v>
      </c>
      <c r="P29" s="12" t="s">
        <v>264</v>
      </c>
      <c r="Q29" s="9">
        <v>0</v>
      </c>
      <c r="R29" s="11">
        <v>0</v>
      </c>
      <c r="S29" s="10">
        <v>84000</v>
      </c>
      <c r="T29" s="9">
        <v>0</v>
      </c>
      <c r="U29" s="14">
        <v>1</v>
      </c>
      <c r="V29" s="12" t="s">
        <v>268</v>
      </c>
      <c r="W29" s="9">
        <v>84000</v>
      </c>
      <c r="X29" s="9">
        <v>84000</v>
      </c>
    </row>
    <row r="30" spans="1:24" x14ac:dyDescent="0.35">
      <c r="A30" s="4">
        <v>45</v>
      </c>
      <c r="B30" s="4" t="s">
        <v>123</v>
      </c>
      <c r="C30" s="5">
        <v>42762.333333333299</v>
      </c>
      <c r="D30" s="5">
        <v>42794.708333333299</v>
      </c>
      <c r="E30" s="2" t="s">
        <v>125</v>
      </c>
      <c r="F30" s="2"/>
      <c r="G30" s="6"/>
      <c r="H30" s="6">
        <v>0</v>
      </c>
      <c r="I30" s="6"/>
      <c r="J30" s="6"/>
      <c r="K30" s="6">
        <v>17664</v>
      </c>
      <c r="L30" s="2"/>
      <c r="M30" s="2" t="s">
        <v>305</v>
      </c>
      <c r="N30" s="6"/>
      <c r="O30" s="6"/>
      <c r="P30" s="2"/>
      <c r="Q30" s="6"/>
      <c r="R30" s="6"/>
      <c r="S30" s="6">
        <v>21408</v>
      </c>
      <c r="T30" s="6"/>
      <c r="U30" s="13">
        <v>1</v>
      </c>
      <c r="V30" s="2"/>
      <c r="W30" s="6">
        <v>17664</v>
      </c>
      <c r="X30" s="6">
        <v>17664</v>
      </c>
    </row>
    <row r="31" spans="1:24" ht="22" x14ac:dyDescent="0.35">
      <c r="A31" s="3">
        <v>26</v>
      </c>
      <c r="B31" s="3" t="s">
        <v>126</v>
      </c>
      <c r="C31" s="8">
        <v>42762.333333333299</v>
      </c>
      <c r="D31" s="8">
        <v>42794.708333333299</v>
      </c>
      <c r="E31" s="12" t="s">
        <v>125</v>
      </c>
      <c r="F31" s="12" t="s">
        <v>130</v>
      </c>
      <c r="G31" s="9">
        <v>17664</v>
      </c>
      <c r="H31" s="9">
        <v>0</v>
      </c>
      <c r="I31" s="9">
        <v>0</v>
      </c>
      <c r="J31" s="9">
        <v>0</v>
      </c>
      <c r="K31" s="9">
        <v>17664</v>
      </c>
      <c r="L31" s="7">
        <v>42765.458333333299</v>
      </c>
      <c r="M31" s="3" t="s">
        <v>305</v>
      </c>
      <c r="N31" s="9">
        <v>21408</v>
      </c>
      <c r="O31" s="9">
        <v>0</v>
      </c>
      <c r="P31" s="12" t="s">
        <v>264</v>
      </c>
      <c r="Q31" s="9">
        <v>0</v>
      </c>
      <c r="R31" s="11">
        <v>0</v>
      </c>
      <c r="S31" s="10">
        <v>21408</v>
      </c>
      <c r="T31" s="9">
        <v>0</v>
      </c>
      <c r="U31" s="14">
        <v>1</v>
      </c>
      <c r="V31" s="12" t="s">
        <v>268</v>
      </c>
      <c r="W31" s="9">
        <v>17664</v>
      </c>
      <c r="X31" s="9">
        <v>17664</v>
      </c>
    </row>
    <row r="32" spans="1:24" x14ac:dyDescent="0.35">
      <c r="A32" s="4">
        <v>46</v>
      </c>
      <c r="B32" s="4" t="s">
        <v>131</v>
      </c>
      <c r="C32" s="5">
        <v>42824.333333333299</v>
      </c>
      <c r="D32" s="5">
        <v>42928.708333333299</v>
      </c>
      <c r="E32" s="2" t="s">
        <v>133</v>
      </c>
      <c r="F32" s="2"/>
      <c r="G32" s="6"/>
      <c r="H32" s="6">
        <v>460000</v>
      </c>
      <c r="I32" s="6"/>
      <c r="J32" s="6"/>
      <c r="K32" s="6">
        <v>460000</v>
      </c>
      <c r="L32" s="2"/>
      <c r="M32" s="2" t="s">
        <v>391</v>
      </c>
      <c r="N32" s="6"/>
      <c r="O32" s="6"/>
      <c r="P32" s="2"/>
      <c r="Q32" s="6"/>
      <c r="R32" s="6"/>
      <c r="S32" s="6">
        <v>460000</v>
      </c>
      <c r="T32" s="6"/>
      <c r="U32" s="13">
        <v>1</v>
      </c>
      <c r="V32" s="2"/>
      <c r="W32" s="6">
        <v>460000</v>
      </c>
      <c r="X32" s="6">
        <v>460000</v>
      </c>
    </row>
    <row r="33" spans="1:24" x14ac:dyDescent="0.35">
      <c r="A33" s="3">
        <v>28</v>
      </c>
      <c r="B33" s="3" t="s">
        <v>134</v>
      </c>
      <c r="C33" s="8">
        <v>42859.333333333299</v>
      </c>
      <c r="D33" s="8">
        <v>42928.708333333299</v>
      </c>
      <c r="E33" s="12" t="s">
        <v>137</v>
      </c>
      <c r="F33" s="12"/>
      <c r="G33" s="9">
        <v>0</v>
      </c>
      <c r="H33" s="9">
        <v>150000</v>
      </c>
      <c r="I33" s="9">
        <v>0</v>
      </c>
      <c r="J33" s="9">
        <v>0</v>
      </c>
      <c r="K33" s="9">
        <v>150000</v>
      </c>
      <c r="L33" s="7">
        <v>42845.416666666701</v>
      </c>
      <c r="M33" s="3" t="s">
        <v>392</v>
      </c>
      <c r="N33" s="9">
        <v>150000</v>
      </c>
      <c r="O33" s="9">
        <v>0</v>
      </c>
      <c r="P33" s="12" t="s">
        <v>264</v>
      </c>
      <c r="Q33" s="9">
        <v>0</v>
      </c>
      <c r="R33" s="11">
        <v>0</v>
      </c>
      <c r="S33" s="10">
        <v>150000</v>
      </c>
      <c r="T33" s="9">
        <v>0</v>
      </c>
      <c r="U33" s="14">
        <v>1</v>
      </c>
      <c r="V33" s="12" t="s">
        <v>268</v>
      </c>
      <c r="W33" s="9">
        <v>150000</v>
      </c>
      <c r="X33" s="9">
        <v>150000</v>
      </c>
    </row>
    <row r="34" spans="1:24" ht="22" x14ac:dyDescent="0.35">
      <c r="A34" s="3">
        <v>29</v>
      </c>
      <c r="B34" s="3" t="s">
        <v>138</v>
      </c>
      <c r="C34" s="8">
        <v>42852.333333333299</v>
      </c>
      <c r="D34" s="8">
        <v>42893.708333333299</v>
      </c>
      <c r="E34" s="12" t="s">
        <v>77</v>
      </c>
      <c r="F34" s="12"/>
      <c r="G34" s="9">
        <v>0</v>
      </c>
      <c r="H34" s="9">
        <v>250000</v>
      </c>
      <c r="I34" s="9">
        <v>0</v>
      </c>
      <c r="J34" s="9">
        <v>0</v>
      </c>
      <c r="K34" s="9">
        <v>250000</v>
      </c>
      <c r="L34" s="7">
        <v>42844.458333333299</v>
      </c>
      <c r="M34" s="3" t="s">
        <v>357</v>
      </c>
      <c r="N34" s="9">
        <v>250000</v>
      </c>
      <c r="O34" s="9">
        <v>0</v>
      </c>
      <c r="P34" s="12" t="s">
        <v>264</v>
      </c>
      <c r="Q34" s="9">
        <v>0</v>
      </c>
      <c r="R34" s="11">
        <v>0</v>
      </c>
      <c r="S34" s="10">
        <v>250000</v>
      </c>
      <c r="T34" s="9">
        <v>0</v>
      </c>
      <c r="U34" s="14">
        <v>1</v>
      </c>
      <c r="V34" s="12" t="s">
        <v>268</v>
      </c>
      <c r="W34" s="9">
        <v>250000</v>
      </c>
      <c r="X34" s="9">
        <v>250000</v>
      </c>
    </row>
    <row r="35" spans="1:24" x14ac:dyDescent="0.35">
      <c r="A35" s="3">
        <v>30</v>
      </c>
      <c r="B35" s="3" t="s">
        <v>142</v>
      </c>
      <c r="C35" s="8">
        <v>42824.333333333299</v>
      </c>
      <c r="D35" s="8">
        <v>42849.708333333299</v>
      </c>
      <c r="E35" s="12" t="s">
        <v>106</v>
      </c>
      <c r="F35" s="12"/>
      <c r="G35" s="9">
        <v>0</v>
      </c>
      <c r="H35" s="9">
        <v>60000</v>
      </c>
      <c r="I35" s="9">
        <v>0</v>
      </c>
      <c r="J35" s="9">
        <v>0</v>
      </c>
      <c r="K35" s="9">
        <v>60000</v>
      </c>
      <c r="L35" s="7">
        <v>42831.375</v>
      </c>
      <c r="M35" s="3" t="s">
        <v>328</v>
      </c>
      <c r="N35" s="9">
        <v>60000</v>
      </c>
      <c r="O35" s="9">
        <v>0</v>
      </c>
      <c r="P35" s="12" t="s">
        <v>264</v>
      </c>
      <c r="Q35" s="9">
        <v>0</v>
      </c>
      <c r="R35" s="11">
        <v>0</v>
      </c>
      <c r="S35" s="10">
        <v>60000</v>
      </c>
      <c r="T35" s="9">
        <v>0</v>
      </c>
      <c r="U35" s="14">
        <v>1</v>
      </c>
      <c r="V35" s="12" t="s">
        <v>268</v>
      </c>
      <c r="W35" s="9">
        <v>60000</v>
      </c>
      <c r="X35" s="9">
        <v>60000</v>
      </c>
    </row>
    <row r="36" spans="1:24" x14ac:dyDescent="0.35">
      <c r="A36" s="4">
        <v>47</v>
      </c>
      <c r="B36" s="4" t="s">
        <v>146</v>
      </c>
      <c r="C36" s="5">
        <v>42850.333333333299</v>
      </c>
      <c r="D36" s="5">
        <v>42978.708333333299</v>
      </c>
      <c r="E36" s="2" t="s">
        <v>148</v>
      </c>
      <c r="F36" s="2"/>
      <c r="G36" s="6"/>
      <c r="H36" s="6">
        <v>0</v>
      </c>
      <c r="I36" s="6"/>
      <c r="J36" s="6"/>
      <c r="K36" s="6">
        <v>72575.999922752395</v>
      </c>
      <c r="L36" s="2"/>
      <c r="M36" s="2" t="s">
        <v>387</v>
      </c>
      <c r="N36" s="6"/>
      <c r="O36" s="6"/>
      <c r="P36" s="2"/>
      <c r="Q36" s="6"/>
      <c r="R36" s="6"/>
      <c r="S36" s="6">
        <v>80990.999917388006</v>
      </c>
      <c r="T36" s="6"/>
      <c r="U36" s="13">
        <v>1</v>
      </c>
      <c r="V36" s="2"/>
      <c r="W36" s="6">
        <v>72575.999922752395</v>
      </c>
      <c r="X36" s="6">
        <v>72575.999922752395</v>
      </c>
    </row>
    <row r="37" spans="1:24" ht="22" x14ac:dyDescent="0.35">
      <c r="A37" s="3">
        <v>32</v>
      </c>
      <c r="B37" s="3" t="s">
        <v>149</v>
      </c>
      <c r="C37" s="8">
        <v>42894.333333333299</v>
      </c>
      <c r="D37" s="8">
        <v>42956.708333333299</v>
      </c>
      <c r="E37" s="12" t="s">
        <v>153</v>
      </c>
      <c r="F37" s="12" t="s">
        <v>154</v>
      </c>
      <c r="G37" s="9">
        <v>31535.999922752399</v>
      </c>
      <c r="H37" s="9">
        <v>0</v>
      </c>
      <c r="I37" s="9">
        <v>0</v>
      </c>
      <c r="J37" s="9">
        <v>0</v>
      </c>
      <c r="K37" s="9">
        <v>31535.999922752399</v>
      </c>
      <c r="L37" s="7">
        <v>42879.416666666701</v>
      </c>
      <c r="M37" s="3" t="s">
        <v>394</v>
      </c>
      <c r="N37" s="9">
        <v>33725.999917387999</v>
      </c>
      <c r="O37" s="9">
        <v>0</v>
      </c>
      <c r="P37" s="12" t="s">
        <v>264</v>
      </c>
      <c r="Q37" s="9">
        <v>0</v>
      </c>
      <c r="R37" s="11">
        <v>0</v>
      </c>
      <c r="S37" s="10">
        <v>33725.999917387999</v>
      </c>
      <c r="T37" s="9">
        <v>0</v>
      </c>
      <c r="U37" s="14">
        <v>1</v>
      </c>
      <c r="V37" s="12" t="s">
        <v>268</v>
      </c>
      <c r="W37" s="9">
        <v>31535.999922752399</v>
      </c>
      <c r="X37" s="9">
        <v>31535.999922752399</v>
      </c>
    </row>
    <row r="38" spans="1:24" x14ac:dyDescent="0.35">
      <c r="A38" s="3">
        <v>33</v>
      </c>
      <c r="B38" s="3" t="s">
        <v>155</v>
      </c>
      <c r="C38" s="8">
        <v>42929.333333333299</v>
      </c>
      <c r="D38" s="8">
        <v>42978.708333333299</v>
      </c>
      <c r="E38" s="12" t="s">
        <v>158</v>
      </c>
      <c r="F38" s="12" t="s">
        <v>130</v>
      </c>
      <c r="G38" s="9">
        <v>27648</v>
      </c>
      <c r="H38" s="9">
        <v>0</v>
      </c>
      <c r="I38" s="9">
        <v>0</v>
      </c>
      <c r="J38" s="9">
        <v>0</v>
      </c>
      <c r="K38" s="9">
        <v>27648</v>
      </c>
      <c r="L38" s="7">
        <v>42942.375</v>
      </c>
      <c r="M38" s="3" t="s">
        <v>412</v>
      </c>
      <c r="N38" s="9">
        <v>33408</v>
      </c>
      <c r="O38" s="9">
        <v>0</v>
      </c>
      <c r="P38" s="12" t="s">
        <v>264</v>
      </c>
      <c r="Q38" s="9">
        <v>0</v>
      </c>
      <c r="R38" s="11">
        <v>0</v>
      </c>
      <c r="S38" s="10">
        <v>33408</v>
      </c>
      <c r="T38" s="9">
        <v>0</v>
      </c>
      <c r="U38" s="14">
        <v>1</v>
      </c>
      <c r="V38" s="12" t="s">
        <v>268</v>
      </c>
      <c r="W38" s="9">
        <v>27648</v>
      </c>
      <c r="X38" s="9">
        <v>27648</v>
      </c>
    </row>
    <row r="39" spans="1:24" x14ac:dyDescent="0.35">
      <c r="A39" s="3">
        <v>34</v>
      </c>
      <c r="B39" s="3" t="s">
        <v>159</v>
      </c>
      <c r="C39" s="8">
        <v>42850.333333333299</v>
      </c>
      <c r="D39" s="8">
        <v>42873.708333333299</v>
      </c>
      <c r="E39" s="12" t="s">
        <v>106</v>
      </c>
      <c r="F39" s="12" t="s">
        <v>162</v>
      </c>
      <c r="G39" s="9">
        <v>13392</v>
      </c>
      <c r="H39" s="9">
        <v>0</v>
      </c>
      <c r="I39" s="9">
        <v>0</v>
      </c>
      <c r="J39" s="9">
        <v>0</v>
      </c>
      <c r="K39" s="9">
        <v>13392</v>
      </c>
      <c r="L39" s="7">
        <v>42850.625</v>
      </c>
      <c r="M39" s="3" t="s">
        <v>344</v>
      </c>
      <c r="N39" s="9">
        <v>13857</v>
      </c>
      <c r="O39" s="9">
        <v>0</v>
      </c>
      <c r="P39" s="12" t="s">
        <v>264</v>
      </c>
      <c r="Q39" s="9">
        <v>0</v>
      </c>
      <c r="R39" s="11">
        <v>0</v>
      </c>
      <c r="S39" s="10">
        <v>13857</v>
      </c>
      <c r="T39" s="9">
        <v>0</v>
      </c>
      <c r="U39" s="14">
        <v>1</v>
      </c>
      <c r="V39" s="12" t="s">
        <v>268</v>
      </c>
      <c r="W39" s="9">
        <v>13392</v>
      </c>
      <c r="X39" s="9">
        <v>13392</v>
      </c>
    </row>
    <row r="40" spans="1:24" x14ac:dyDescent="0.35">
      <c r="A40" s="4">
        <v>48</v>
      </c>
      <c r="B40" s="4" t="s">
        <v>163</v>
      </c>
      <c r="C40" s="5">
        <v>42831.333333333299</v>
      </c>
      <c r="D40" s="5">
        <v>43010.708333333299</v>
      </c>
      <c r="E40" s="2" t="s">
        <v>165</v>
      </c>
      <c r="F40" s="2"/>
      <c r="G40" s="6"/>
      <c r="H40" s="6">
        <v>770922</v>
      </c>
      <c r="I40" s="6"/>
      <c r="J40" s="6"/>
      <c r="K40" s="6">
        <v>770922</v>
      </c>
      <c r="L40" s="2"/>
      <c r="M40" s="2" t="s">
        <v>406</v>
      </c>
      <c r="N40" s="6"/>
      <c r="O40" s="6"/>
      <c r="P40" s="2"/>
      <c r="Q40" s="6"/>
      <c r="R40" s="6"/>
      <c r="S40" s="6">
        <v>770922</v>
      </c>
      <c r="T40" s="6"/>
      <c r="U40" s="13">
        <v>1</v>
      </c>
      <c r="V40" s="2"/>
      <c r="W40" s="6">
        <v>770922</v>
      </c>
      <c r="X40" s="6">
        <v>770922</v>
      </c>
    </row>
    <row r="41" spans="1:24" x14ac:dyDescent="0.35">
      <c r="A41" s="3">
        <v>36</v>
      </c>
      <c r="B41" s="3" t="s">
        <v>166</v>
      </c>
      <c r="C41" s="8">
        <v>42831.333333333299</v>
      </c>
      <c r="D41" s="8">
        <v>42920.708333333299</v>
      </c>
      <c r="E41" s="12" t="s">
        <v>169</v>
      </c>
      <c r="F41" s="12"/>
      <c r="G41" s="9">
        <v>0</v>
      </c>
      <c r="H41" s="9">
        <v>587706</v>
      </c>
      <c r="I41" s="9">
        <v>0</v>
      </c>
      <c r="J41" s="9">
        <v>0</v>
      </c>
      <c r="K41" s="9">
        <v>587706</v>
      </c>
      <c r="L41" s="7">
        <v>42843.625</v>
      </c>
      <c r="M41" s="3" t="s">
        <v>373</v>
      </c>
      <c r="N41" s="9">
        <v>587706</v>
      </c>
      <c r="O41" s="9">
        <v>0</v>
      </c>
      <c r="P41" s="12" t="s">
        <v>264</v>
      </c>
      <c r="Q41" s="9">
        <v>0</v>
      </c>
      <c r="R41" s="11">
        <v>0</v>
      </c>
      <c r="S41" s="10">
        <v>587706</v>
      </c>
      <c r="T41" s="9">
        <v>0</v>
      </c>
      <c r="U41" s="14">
        <v>1</v>
      </c>
      <c r="V41" s="12" t="s">
        <v>268</v>
      </c>
      <c r="W41" s="9">
        <v>587706</v>
      </c>
      <c r="X41" s="9">
        <v>587706</v>
      </c>
    </row>
    <row r="42" spans="1:24" x14ac:dyDescent="0.35">
      <c r="A42" s="3">
        <v>37</v>
      </c>
      <c r="B42" s="3" t="s">
        <v>170</v>
      </c>
      <c r="C42" s="8">
        <v>42957.333333333299</v>
      </c>
      <c r="D42" s="8">
        <v>43010.708333333299</v>
      </c>
      <c r="E42" s="12" t="s">
        <v>174</v>
      </c>
      <c r="F42" s="12"/>
      <c r="G42" s="9">
        <v>0</v>
      </c>
      <c r="H42" s="9">
        <v>183216</v>
      </c>
      <c r="I42" s="9">
        <v>0</v>
      </c>
      <c r="J42" s="9">
        <v>0</v>
      </c>
      <c r="K42" s="9">
        <v>183216</v>
      </c>
      <c r="L42" s="7">
        <v>42947.458333333299</v>
      </c>
      <c r="M42" s="3" t="s">
        <v>407</v>
      </c>
      <c r="N42" s="9">
        <v>183216</v>
      </c>
      <c r="O42" s="9">
        <v>0</v>
      </c>
      <c r="P42" s="12" t="s">
        <v>264</v>
      </c>
      <c r="Q42" s="9">
        <v>0</v>
      </c>
      <c r="R42" s="11">
        <v>0</v>
      </c>
      <c r="S42" s="10">
        <v>183216</v>
      </c>
      <c r="T42" s="9">
        <v>0</v>
      </c>
      <c r="U42" s="14">
        <v>1</v>
      </c>
      <c r="V42" s="12" t="s">
        <v>268</v>
      </c>
      <c r="W42" s="9">
        <v>183216</v>
      </c>
      <c r="X42" s="9">
        <v>183216</v>
      </c>
    </row>
    <row r="43" spans="1:24" x14ac:dyDescent="0.35">
      <c r="A43" s="4">
        <v>49</v>
      </c>
      <c r="B43" s="4" t="s">
        <v>175</v>
      </c>
      <c r="C43" s="5">
        <v>43011.333333333299</v>
      </c>
      <c r="D43" s="5">
        <v>43067.708333333299</v>
      </c>
      <c r="E43" s="2" t="s">
        <v>177</v>
      </c>
      <c r="F43" s="2"/>
      <c r="G43" s="6"/>
      <c r="H43" s="6">
        <v>0</v>
      </c>
      <c r="I43" s="6"/>
      <c r="J43" s="6"/>
      <c r="K43" s="6">
        <v>11520</v>
      </c>
      <c r="L43" s="2"/>
      <c r="M43" s="2" t="s">
        <v>417</v>
      </c>
      <c r="N43" s="6"/>
      <c r="O43" s="6"/>
      <c r="P43" s="2"/>
      <c r="Q43" s="6"/>
      <c r="R43" s="6"/>
      <c r="S43" s="6">
        <v>8352</v>
      </c>
      <c r="T43" s="6"/>
      <c r="U43" s="13">
        <v>1</v>
      </c>
      <c r="V43" s="2"/>
      <c r="W43" s="6">
        <v>11520</v>
      </c>
      <c r="X43" s="6">
        <v>11520</v>
      </c>
    </row>
    <row r="44" spans="1:24" x14ac:dyDescent="0.35">
      <c r="A44" s="3">
        <v>39</v>
      </c>
      <c r="B44" s="3" t="s">
        <v>178</v>
      </c>
      <c r="C44" s="8">
        <v>43011.333333333299</v>
      </c>
      <c r="D44" s="8">
        <v>43031.708333333299</v>
      </c>
      <c r="E44" s="12" t="s">
        <v>64</v>
      </c>
      <c r="F44" s="12" t="s">
        <v>130</v>
      </c>
      <c r="G44" s="9">
        <v>11520</v>
      </c>
      <c r="H44" s="9">
        <v>0</v>
      </c>
      <c r="I44" s="9">
        <v>0</v>
      </c>
      <c r="J44" s="9">
        <v>0</v>
      </c>
      <c r="K44" s="9">
        <v>11520</v>
      </c>
      <c r="L44" s="7">
        <v>42976.375</v>
      </c>
      <c r="M44" s="3" t="s">
        <v>414</v>
      </c>
      <c r="N44" s="9">
        <v>8352</v>
      </c>
      <c r="O44" s="9">
        <v>0</v>
      </c>
      <c r="P44" s="12" t="s">
        <v>264</v>
      </c>
      <c r="Q44" s="9">
        <v>0</v>
      </c>
      <c r="R44" s="11">
        <v>0</v>
      </c>
      <c r="S44" s="10">
        <v>8352</v>
      </c>
      <c r="T44" s="9">
        <v>0</v>
      </c>
      <c r="U44" s="14">
        <v>1</v>
      </c>
      <c r="V44" s="12" t="s">
        <v>268</v>
      </c>
      <c r="W44" s="9">
        <v>11520</v>
      </c>
      <c r="X44" s="9">
        <v>11520</v>
      </c>
    </row>
    <row r="45" spans="1:24" x14ac:dyDescent="0.35">
      <c r="A45" s="3">
        <v>40</v>
      </c>
      <c r="B45" s="3" t="s">
        <v>182</v>
      </c>
      <c r="C45" s="8">
        <v>43032.333333333299</v>
      </c>
      <c r="D45" s="8">
        <v>43067.708333333299</v>
      </c>
      <c r="E45" s="12" t="s">
        <v>186</v>
      </c>
      <c r="F45" s="12"/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7">
        <v>42991.333333333299</v>
      </c>
      <c r="M45" s="3" t="s">
        <v>418</v>
      </c>
      <c r="N45" s="9">
        <v>0</v>
      </c>
      <c r="O45" s="9">
        <v>0</v>
      </c>
      <c r="P45" s="12" t="s">
        <v>264</v>
      </c>
      <c r="Q45" s="9">
        <v>0</v>
      </c>
      <c r="R45" s="11">
        <v>0</v>
      </c>
      <c r="S45" s="10">
        <v>0</v>
      </c>
      <c r="T45" s="9">
        <v>0</v>
      </c>
      <c r="U45" s="14">
        <v>1</v>
      </c>
      <c r="V45" s="12" t="s">
        <v>268</v>
      </c>
      <c r="W45" s="9">
        <v>0</v>
      </c>
      <c r="X45" s="9">
        <v>0</v>
      </c>
    </row>
    <row r="46" spans="1:24" x14ac:dyDescent="0.35">
      <c r="A46" s="3">
        <v>50</v>
      </c>
      <c r="B46" s="3" t="s">
        <v>187</v>
      </c>
      <c r="C46" s="8">
        <v>43068.333333333299</v>
      </c>
      <c r="D46" s="8">
        <v>43179.708333333299</v>
      </c>
      <c r="E46" s="12" t="s">
        <v>190</v>
      </c>
      <c r="F46" s="12"/>
      <c r="G46" s="9">
        <v>0</v>
      </c>
      <c r="H46" s="9">
        <v>100000</v>
      </c>
      <c r="I46" s="9">
        <v>0</v>
      </c>
      <c r="J46" s="9">
        <v>0</v>
      </c>
      <c r="K46" s="9">
        <v>100000</v>
      </c>
      <c r="L46" s="7">
        <v>43024.541666666701</v>
      </c>
      <c r="M46" s="3" t="s">
        <v>446</v>
      </c>
      <c r="N46" s="9">
        <v>100000</v>
      </c>
      <c r="O46" s="9">
        <v>0</v>
      </c>
      <c r="P46" s="12" t="s">
        <v>264</v>
      </c>
      <c r="Q46" s="9">
        <v>0</v>
      </c>
      <c r="R46" s="11">
        <v>0</v>
      </c>
      <c r="S46" s="10">
        <v>100000</v>
      </c>
      <c r="T46" s="9">
        <v>0</v>
      </c>
      <c r="U46" s="14">
        <v>1</v>
      </c>
      <c r="V46" s="12" t="s">
        <v>268</v>
      </c>
      <c r="W46" s="9">
        <v>100000</v>
      </c>
      <c r="X46" s="9">
        <v>100000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8"/>
  <sheetViews>
    <sheetView workbookViewId="0">
      <selection sqref="A1:B1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5" t="s">
        <v>447</v>
      </c>
      <c r="B1" s="25"/>
      <c r="D1" s="25" t="s">
        <v>448</v>
      </c>
      <c r="E1" s="25"/>
      <c r="G1" s="1" t="s">
        <v>449</v>
      </c>
    </row>
    <row r="2" spans="1:7" x14ac:dyDescent="0.35">
      <c r="A2" s="12" t="s">
        <v>450</v>
      </c>
      <c r="B2" s="15" t="s">
        <v>451</v>
      </c>
      <c r="D2" s="12" t="s">
        <v>477</v>
      </c>
      <c r="E2" s="16" t="s">
        <v>460</v>
      </c>
    </row>
    <row r="3" spans="1:7" x14ac:dyDescent="0.35">
      <c r="A3" s="12" t="s">
        <v>452</v>
      </c>
      <c r="B3" s="15" t="s">
        <v>451</v>
      </c>
      <c r="D3" s="12" t="s">
        <v>478</v>
      </c>
      <c r="E3" s="16" t="s">
        <v>460</v>
      </c>
    </row>
    <row r="4" spans="1:7" x14ac:dyDescent="0.35">
      <c r="A4" s="12" t="s">
        <v>453</v>
      </c>
      <c r="B4" s="15" t="s">
        <v>451</v>
      </c>
      <c r="D4" s="12" t="s">
        <v>479</v>
      </c>
      <c r="E4" s="16" t="s">
        <v>460</v>
      </c>
    </row>
    <row r="5" spans="1:7" x14ac:dyDescent="0.35">
      <c r="A5" s="12" t="s">
        <v>454</v>
      </c>
      <c r="B5" s="15" t="s">
        <v>451</v>
      </c>
      <c r="D5" s="12" t="s">
        <v>480</v>
      </c>
      <c r="E5" s="16" t="s">
        <v>460</v>
      </c>
    </row>
    <row r="6" spans="1:7" x14ac:dyDescent="0.35">
      <c r="A6" s="12" t="s">
        <v>455</v>
      </c>
      <c r="B6" s="15" t="s">
        <v>451</v>
      </c>
      <c r="D6" s="12" t="s">
        <v>481</v>
      </c>
      <c r="E6" s="16" t="s">
        <v>460</v>
      </c>
    </row>
    <row r="7" spans="1:7" x14ac:dyDescent="0.35">
      <c r="A7" s="12" t="s">
        <v>456</v>
      </c>
      <c r="B7" s="15" t="s">
        <v>451</v>
      </c>
      <c r="D7" s="12" t="s">
        <v>482</v>
      </c>
      <c r="E7" s="15" t="s">
        <v>451</v>
      </c>
    </row>
    <row r="8" spans="1:7" x14ac:dyDescent="0.35">
      <c r="A8" s="12" t="s">
        <v>457</v>
      </c>
      <c r="B8" s="15" t="s">
        <v>451</v>
      </c>
      <c r="D8" s="12" t="s">
        <v>483</v>
      </c>
      <c r="E8" s="15" t="s">
        <v>451</v>
      </c>
    </row>
    <row r="9" spans="1:7" x14ac:dyDescent="0.35">
      <c r="A9" s="12" t="s">
        <v>458</v>
      </c>
      <c r="B9" s="15" t="s">
        <v>451</v>
      </c>
    </row>
    <row r="10" spans="1:7" x14ac:dyDescent="0.35">
      <c r="A10" s="12" t="s">
        <v>459</v>
      </c>
      <c r="B10" s="16" t="s">
        <v>460</v>
      </c>
    </row>
    <row r="11" spans="1:7" x14ac:dyDescent="0.35">
      <c r="A11" s="12" t="s">
        <v>461</v>
      </c>
      <c r="B11" s="16" t="s">
        <v>460</v>
      </c>
    </row>
    <row r="12" spans="1:7" x14ac:dyDescent="0.35">
      <c r="A12" s="12" t="s">
        <v>462</v>
      </c>
      <c r="B12" s="16" t="s">
        <v>460</v>
      </c>
    </row>
    <row r="13" spans="1:7" x14ac:dyDescent="0.35">
      <c r="A13" s="12" t="s">
        <v>463</v>
      </c>
      <c r="B13" s="16" t="s">
        <v>460</v>
      </c>
    </row>
    <row r="14" spans="1:7" x14ac:dyDescent="0.35">
      <c r="A14" s="12" t="s">
        <v>464</v>
      </c>
      <c r="B14" s="15" t="s">
        <v>451</v>
      </c>
    </row>
    <row r="15" spans="1:7" x14ac:dyDescent="0.35">
      <c r="A15" s="12" t="s">
        <v>465</v>
      </c>
      <c r="B15" s="16" t="s">
        <v>460</v>
      </c>
    </row>
    <row r="16" spans="1:7" x14ac:dyDescent="0.35">
      <c r="A16" s="12" t="s">
        <v>466</v>
      </c>
      <c r="B16" s="16" t="s">
        <v>460</v>
      </c>
    </row>
    <row r="17" spans="1:2" x14ac:dyDescent="0.35">
      <c r="A17" s="12" t="s">
        <v>467</v>
      </c>
      <c r="B17" s="16" t="s">
        <v>460</v>
      </c>
    </row>
    <row r="18" spans="1:2" x14ac:dyDescent="0.35">
      <c r="A18" s="12" t="s">
        <v>468</v>
      </c>
      <c r="B18" s="16" t="s">
        <v>460</v>
      </c>
    </row>
    <row r="19" spans="1:2" x14ac:dyDescent="0.35">
      <c r="A19" s="12" t="s">
        <v>469</v>
      </c>
      <c r="B19" s="15" t="s">
        <v>451</v>
      </c>
    </row>
    <row r="20" spans="1:2" x14ac:dyDescent="0.35">
      <c r="A20" s="12" t="s">
        <v>470</v>
      </c>
      <c r="B20" s="15" t="s">
        <v>451</v>
      </c>
    </row>
    <row r="21" spans="1:2" x14ac:dyDescent="0.35">
      <c r="A21" s="12" t="s">
        <v>471</v>
      </c>
      <c r="B21" s="15" t="s">
        <v>451</v>
      </c>
    </row>
    <row r="22" spans="1:2" x14ac:dyDescent="0.35">
      <c r="A22" s="12" t="s">
        <v>472</v>
      </c>
      <c r="B22" s="15" t="s">
        <v>451</v>
      </c>
    </row>
    <row r="23" spans="1:2" x14ac:dyDescent="0.35">
      <c r="A23" s="12" t="s">
        <v>473</v>
      </c>
      <c r="B23" s="15" t="s">
        <v>451</v>
      </c>
    </row>
    <row r="24" spans="1:2" x14ac:dyDescent="0.35">
      <c r="A24" s="12" t="s">
        <v>474</v>
      </c>
      <c r="B24" s="15" t="s">
        <v>451</v>
      </c>
    </row>
    <row r="25" spans="1:2" x14ac:dyDescent="0.35">
      <c r="A25" s="12" t="s">
        <v>475</v>
      </c>
      <c r="B25" s="15" t="s">
        <v>451</v>
      </c>
    </row>
    <row r="28" spans="1:2" x14ac:dyDescent="0.35">
      <c r="A28" s="17" t="s">
        <v>476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L51"/>
  <sheetViews>
    <sheetView workbookViewId="0">
      <selection activeCell="W25" sqref="W3:W25"/>
    </sheetView>
  </sheetViews>
  <sheetFormatPr defaultRowHeight="14.5" x14ac:dyDescent="0.35"/>
  <cols>
    <col min="1" max="14" width="15.7265625" customWidth="1"/>
    <col min="15" max="31" width="17.7265625" customWidth="1"/>
  </cols>
  <sheetData>
    <row r="1" spans="1:38" x14ac:dyDescent="0.35">
      <c r="A1" s="25" t="s">
        <v>0</v>
      </c>
      <c r="B1" s="25"/>
      <c r="C1" s="25"/>
      <c r="D1" s="25" t="s">
        <v>484</v>
      </c>
      <c r="E1" s="25"/>
      <c r="F1" s="25"/>
      <c r="G1" s="25"/>
      <c r="H1" s="25" t="s">
        <v>485</v>
      </c>
      <c r="I1" s="25"/>
      <c r="J1" s="25"/>
      <c r="K1" s="25"/>
      <c r="L1" s="25"/>
      <c r="M1" s="25"/>
      <c r="N1" s="25"/>
    </row>
    <row r="2" spans="1:38" ht="30" customHeight="1" x14ac:dyDescent="0.35">
      <c r="A2" s="1" t="s">
        <v>6</v>
      </c>
      <c r="B2" s="1" t="s">
        <v>486</v>
      </c>
      <c r="C2" s="1" t="s">
        <v>487</v>
      </c>
      <c r="D2" s="1" t="s">
        <v>260</v>
      </c>
      <c r="E2" s="1" t="s">
        <v>259</v>
      </c>
      <c r="F2" s="1" t="s">
        <v>488</v>
      </c>
      <c r="G2" s="1" t="s">
        <v>489</v>
      </c>
      <c r="H2" s="1" t="s">
        <v>490</v>
      </c>
      <c r="I2" s="1" t="s">
        <v>491</v>
      </c>
      <c r="J2" s="1" t="s">
        <v>492</v>
      </c>
      <c r="K2" s="1" t="s">
        <v>493</v>
      </c>
      <c r="L2" s="1" t="s">
        <v>494</v>
      </c>
      <c r="M2" s="1" t="s">
        <v>495</v>
      </c>
      <c r="N2" s="1" t="s">
        <v>496</v>
      </c>
      <c r="O2" s="1" t="s">
        <v>497</v>
      </c>
      <c r="P2" s="1" t="s">
        <v>498</v>
      </c>
      <c r="Q2" s="1" t="s">
        <v>499</v>
      </c>
      <c r="R2" s="1" t="s">
        <v>500</v>
      </c>
      <c r="S2" s="1" t="s">
        <v>501</v>
      </c>
      <c r="T2" s="1" t="s">
        <v>501</v>
      </c>
      <c r="U2" s="1" t="s">
        <v>502</v>
      </c>
      <c r="V2" s="1" t="s">
        <v>503</v>
      </c>
      <c r="W2" s="1" t="s">
        <v>504</v>
      </c>
      <c r="X2" s="1" t="s">
        <v>505</v>
      </c>
      <c r="Y2" s="1" t="s">
        <v>506</v>
      </c>
      <c r="Z2" s="1" t="s">
        <v>507</v>
      </c>
      <c r="AA2" s="1" t="s">
        <v>508</v>
      </c>
      <c r="AB2" s="1" t="s">
        <v>509</v>
      </c>
      <c r="AC2" s="1" t="s">
        <v>510</v>
      </c>
      <c r="AD2" s="1" t="s">
        <v>511</v>
      </c>
      <c r="AE2" s="1" t="s">
        <v>512</v>
      </c>
      <c r="AF2" s="1" t="s">
        <v>531</v>
      </c>
      <c r="AG2" s="1" t="s">
        <v>532</v>
      </c>
      <c r="AH2" s="1" t="s">
        <v>533</v>
      </c>
      <c r="AI2" s="1" t="s">
        <v>496</v>
      </c>
      <c r="AJ2" s="1" t="s">
        <v>534</v>
      </c>
      <c r="AK2" s="1" t="s">
        <v>535</v>
      </c>
      <c r="AL2" s="1" t="s">
        <v>536</v>
      </c>
    </row>
    <row r="3" spans="1:38" x14ac:dyDescent="0.35">
      <c r="A3" s="12" t="s">
        <v>261</v>
      </c>
      <c r="B3" s="8">
        <v>42690.333333333299</v>
      </c>
      <c r="C3" s="8">
        <v>42710.708333333299</v>
      </c>
      <c r="D3" s="9">
        <v>10800</v>
      </c>
      <c r="E3" s="9">
        <v>7803.8707351684598</v>
      </c>
      <c r="F3" s="9">
        <v>10800</v>
      </c>
      <c r="G3" s="8">
        <v>42704.625</v>
      </c>
      <c r="H3" s="9">
        <v>-2996.1292648315398</v>
      </c>
      <c r="I3" s="18">
        <v>0.72258062362670905</v>
      </c>
      <c r="J3" s="9">
        <v>-2996.1292648315398</v>
      </c>
      <c r="K3" s="18">
        <v>0.72258062362670905</v>
      </c>
      <c r="L3" s="12" t="s">
        <v>513</v>
      </c>
      <c r="M3" s="18">
        <v>0.71666666666666701</v>
      </c>
      <c r="N3" s="18">
        <v>1</v>
      </c>
      <c r="O3" s="8">
        <v>43180.583333333299</v>
      </c>
      <c r="P3" s="8">
        <v>43368.458333333299</v>
      </c>
      <c r="Q3" s="8">
        <v>43628.458333333299</v>
      </c>
      <c r="R3" s="8">
        <v>43186.375</v>
      </c>
      <c r="S3" s="8">
        <v>43368.458333333299</v>
      </c>
      <c r="T3" s="8">
        <v>43620.583333333299</v>
      </c>
      <c r="U3" s="8">
        <v>43186.416666666701</v>
      </c>
      <c r="V3" s="8">
        <v>43374.458333333299</v>
      </c>
      <c r="W3" s="8">
        <v>43628.375</v>
      </c>
      <c r="X3" s="9">
        <v>1706346.12918758</v>
      </c>
      <c r="Y3" s="9">
        <v>2357314.80228941</v>
      </c>
      <c r="Z3" s="9">
        <v>2357314.80228941</v>
      </c>
      <c r="AA3" s="9">
        <v>2376678.3197966302</v>
      </c>
      <c r="AB3" s="9">
        <v>3258208.9749487098</v>
      </c>
      <c r="AC3" s="9">
        <v>3285006.70086894</v>
      </c>
      <c r="AD3" s="9">
        <v>2357314.80228941</v>
      </c>
      <c r="AE3" s="9">
        <v>2361162.1073204898</v>
      </c>
      <c r="AF3" s="21">
        <f>M3</f>
        <v>0.71666666666666701</v>
      </c>
      <c r="AG3" s="21">
        <f>K3</f>
        <v>0.72258062362670905</v>
      </c>
      <c r="AH3" s="21">
        <f>I3</f>
        <v>0.72258062362670905</v>
      </c>
      <c r="AI3" s="20">
        <f>N3</f>
        <v>1</v>
      </c>
      <c r="AJ3" s="20">
        <v>-4.25</v>
      </c>
      <c r="AK3" s="20">
        <v>1</v>
      </c>
      <c r="AL3" s="20">
        <v>1</v>
      </c>
    </row>
    <row r="4" spans="1:38" x14ac:dyDescent="0.35">
      <c r="A4" s="12" t="s">
        <v>266</v>
      </c>
      <c r="B4" s="8">
        <v>42710.708333333299</v>
      </c>
      <c r="C4" s="8">
        <v>42731.708333333299</v>
      </c>
      <c r="D4" s="9">
        <v>62280</v>
      </c>
      <c r="E4" s="9">
        <v>61786.666746139497</v>
      </c>
      <c r="F4" s="9">
        <v>63630</v>
      </c>
      <c r="G4" s="8">
        <v>42730.583333333299</v>
      </c>
      <c r="H4" s="9">
        <v>-493.33325386047397</v>
      </c>
      <c r="I4" s="18">
        <v>0.99207878526235604</v>
      </c>
      <c r="J4" s="9">
        <v>-1843.33325386047</v>
      </c>
      <c r="K4" s="18">
        <v>0.97103043762595498</v>
      </c>
      <c r="L4" s="12" t="s">
        <v>514</v>
      </c>
      <c r="M4" s="18">
        <v>0.95416666666666705</v>
      </c>
      <c r="N4" s="18">
        <v>1</v>
      </c>
      <c r="O4" s="8">
        <v>43180.375</v>
      </c>
      <c r="P4" s="8">
        <v>43182.625</v>
      </c>
      <c r="Q4" s="8">
        <v>43199.458333333299</v>
      </c>
      <c r="R4" s="8">
        <v>43180.416666666701</v>
      </c>
      <c r="S4" s="8">
        <v>43182.625</v>
      </c>
      <c r="T4" s="8">
        <v>43196.458333333299</v>
      </c>
      <c r="U4" s="8">
        <v>43181.458333333299</v>
      </c>
      <c r="V4" s="8">
        <v>43202.625</v>
      </c>
      <c r="W4" s="8">
        <v>43216.666666666701</v>
      </c>
      <c r="X4" s="9">
        <v>1705193.3331766101</v>
      </c>
      <c r="Y4" s="9">
        <v>1754167.4636762401</v>
      </c>
      <c r="Z4" s="9">
        <v>1718300.33219796</v>
      </c>
      <c r="AA4" s="9">
        <v>1784045.7203597701</v>
      </c>
      <c r="AB4" s="9">
        <v>1767665.49475073</v>
      </c>
      <c r="AC4" s="9">
        <v>1835372.3200100299</v>
      </c>
      <c r="AD4" s="9">
        <v>1746870.1796603701</v>
      </c>
      <c r="AE4" s="9">
        <v>1760059.80289363</v>
      </c>
      <c r="AF4" s="21">
        <f t="shared" ref="AF4:AF25" si="0">M4</f>
        <v>0.95416666666666705</v>
      </c>
      <c r="AG4" s="21">
        <f t="shared" ref="AG4:AG25" si="1">K4</f>
        <v>0.97103043762595498</v>
      </c>
      <c r="AH4" s="21">
        <f t="shared" ref="AH4:AH25" si="2">I4</f>
        <v>0.99207878526235604</v>
      </c>
      <c r="AI4" s="20">
        <f t="shared" ref="AI4:AI25" si="3">N4</f>
        <v>1</v>
      </c>
      <c r="AJ4" s="20">
        <v>-1.375</v>
      </c>
      <c r="AK4" s="20">
        <v>1</v>
      </c>
      <c r="AL4" s="20">
        <v>1</v>
      </c>
    </row>
    <row r="5" spans="1:38" x14ac:dyDescent="0.35">
      <c r="A5" s="12" t="s">
        <v>274</v>
      </c>
      <c r="B5" s="8">
        <v>42731.708333333299</v>
      </c>
      <c r="C5" s="8">
        <v>42752.708333333299</v>
      </c>
      <c r="D5" s="9">
        <v>69064</v>
      </c>
      <c r="E5" s="9">
        <v>68927.035338401794</v>
      </c>
      <c r="F5" s="9">
        <v>69547</v>
      </c>
      <c r="G5" s="8">
        <v>42752.583333333299</v>
      </c>
      <c r="H5" s="9">
        <v>-136.96466159820599</v>
      </c>
      <c r="I5" s="18">
        <v>0.99801684435309002</v>
      </c>
      <c r="J5" s="9">
        <v>-619.96466159820602</v>
      </c>
      <c r="K5" s="18">
        <v>0.99108567355028698</v>
      </c>
      <c r="L5" s="12" t="s">
        <v>515</v>
      </c>
      <c r="M5" s="18">
        <v>0.99166666666666703</v>
      </c>
      <c r="N5" s="18">
        <v>0.99309625505767896</v>
      </c>
      <c r="O5" s="8">
        <v>43179.708333333299</v>
      </c>
      <c r="P5" s="8">
        <v>43180.625</v>
      </c>
      <c r="Q5" s="8">
        <v>43185.666666666701</v>
      </c>
      <c r="R5" s="8">
        <v>43180.375</v>
      </c>
      <c r="S5" s="8">
        <v>43180.625</v>
      </c>
      <c r="T5" s="8">
        <v>43185.5</v>
      </c>
      <c r="U5" s="8">
        <v>43180.458333333299</v>
      </c>
      <c r="V5" s="8">
        <v>43182.708333333299</v>
      </c>
      <c r="W5" s="8">
        <v>43187.625</v>
      </c>
      <c r="X5" s="9">
        <v>1703969.9645843499</v>
      </c>
      <c r="Y5" s="9">
        <v>1718670.7924260299</v>
      </c>
      <c r="Z5" s="9">
        <v>1707217.7205215299</v>
      </c>
      <c r="AA5" s="9">
        <v>1717704.6113455601</v>
      </c>
      <c r="AB5" s="9">
        <v>1721947.7603248199</v>
      </c>
      <c r="AC5" s="9">
        <v>1732528.97555566</v>
      </c>
      <c r="AD5" s="9">
        <v>1716367.3803916001</v>
      </c>
      <c r="AE5" s="9">
        <v>1718477.46559758</v>
      </c>
      <c r="AF5" s="21">
        <f t="shared" si="0"/>
        <v>0.99166666666666703</v>
      </c>
      <c r="AG5" s="21">
        <f t="shared" si="1"/>
        <v>0.99108567355028698</v>
      </c>
      <c r="AH5" s="21">
        <f t="shared" si="2"/>
        <v>0.99801684435309002</v>
      </c>
      <c r="AI5" s="21">
        <f t="shared" si="3"/>
        <v>0.99309625505767896</v>
      </c>
      <c r="AJ5" s="20">
        <v>-3</v>
      </c>
      <c r="AK5" s="20">
        <v>1</v>
      </c>
      <c r="AL5" s="20">
        <v>1</v>
      </c>
    </row>
    <row r="6" spans="1:38" x14ac:dyDescent="0.35">
      <c r="A6" s="12" t="s">
        <v>282</v>
      </c>
      <c r="B6" s="8">
        <v>42752.708333333299</v>
      </c>
      <c r="C6" s="8">
        <v>42773.708333333299</v>
      </c>
      <c r="D6" s="9">
        <v>80248</v>
      </c>
      <c r="E6" s="9">
        <v>78440.8370742798</v>
      </c>
      <c r="F6" s="9">
        <v>80139</v>
      </c>
      <c r="G6" s="8">
        <v>42772.416666666701</v>
      </c>
      <c r="H6" s="9">
        <v>-1807.1629257202101</v>
      </c>
      <c r="I6" s="18">
        <v>0.97748027457730802</v>
      </c>
      <c r="J6" s="9">
        <v>-1698.1629257202101</v>
      </c>
      <c r="K6" s="18">
        <v>0.97880978143325703</v>
      </c>
      <c r="L6" s="12" t="s">
        <v>516</v>
      </c>
      <c r="M6" s="18">
        <v>0.97083333333333299</v>
      </c>
      <c r="N6" s="18">
        <v>0.99232634159488298</v>
      </c>
      <c r="O6" s="8">
        <v>43180.458333333299</v>
      </c>
      <c r="P6" s="8">
        <v>43192.375</v>
      </c>
      <c r="Q6" s="8">
        <v>43201.666666666701</v>
      </c>
      <c r="R6" s="8">
        <v>43181.458333333299</v>
      </c>
      <c r="S6" s="8">
        <v>43192.375</v>
      </c>
      <c r="T6" s="8">
        <v>43200.5</v>
      </c>
      <c r="U6" s="8">
        <v>43181.625</v>
      </c>
      <c r="V6" s="8">
        <v>43194.5</v>
      </c>
      <c r="W6" s="8">
        <v>43202.708333333299</v>
      </c>
      <c r="X6" s="9">
        <v>1705048.16284847</v>
      </c>
      <c r="Y6" s="9">
        <v>1740225.7642220999</v>
      </c>
      <c r="Z6" s="9">
        <v>1742483.70925885</v>
      </c>
      <c r="AA6" s="9">
        <v>1753865.1763246099</v>
      </c>
      <c r="AB6" s="9">
        <v>1778471.7514613699</v>
      </c>
      <c r="AC6" s="9">
        <v>1790099.6155077401</v>
      </c>
      <c r="AD6" s="9">
        <v>1740676.86238529</v>
      </c>
      <c r="AE6" s="9">
        <v>1742935.8337159699</v>
      </c>
      <c r="AF6" s="21">
        <f t="shared" si="0"/>
        <v>0.97083333333333299</v>
      </c>
      <c r="AG6" s="21">
        <f t="shared" si="1"/>
        <v>0.97880978143325703</v>
      </c>
      <c r="AH6" s="21">
        <f t="shared" si="2"/>
        <v>0.97748027457730802</v>
      </c>
      <c r="AI6" s="21">
        <f t="shared" si="3"/>
        <v>0.99232634159488298</v>
      </c>
      <c r="AJ6" s="20">
        <v>-1.75</v>
      </c>
      <c r="AK6" s="20">
        <v>1</v>
      </c>
      <c r="AL6" s="20">
        <v>1</v>
      </c>
    </row>
    <row r="7" spans="1:38" x14ac:dyDescent="0.35">
      <c r="A7" s="12" t="s">
        <v>291</v>
      </c>
      <c r="B7" s="8">
        <v>42773.708333333299</v>
      </c>
      <c r="C7" s="8">
        <v>42794.708333333299</v>
      </c>
      <c r="D7" s="9">
        <v>95848</v>
      </c>
      <c r="E7" s="9">
        <v>91146.128051757798</v>
      </c>
      <c r="F7" s="9">
        <v>95739</v>
      </c>
      <c r="G7" s="8">
        <v>42788.458333333299</v>
      </c>
      <c r="H7" s="9">
        <v>-4701.8719482421902</v>
      </c>
      <c r="I7" s="18">
        <v>0.95094449599112996</v>
      </c>
      <c r="J7" s="9">
        <v>-4592.8719482421902</v>
      </c>
      <c r="K7" s="18">
        <v>0.95202715770749402</v>
      </c>
      <c r="L7" s="12" t="s">
        <v>517</v>
      </c>
      <c r="M7" s="18">
        <v>0.93833333333333302</v>
      </c>
      <c r="N7" s="18">
        <v>0.99551243971546399</v>
      </c>
      <c r="O7" s="8">
        <v>43180.708333333299</v>
      </c>
      <c r="P7" s="8">
        <v>43203.708333333299</v>
      </c>
      <c r="Q7" s="8">
        <v>43230.583333333299</v>
      </c>
      <c r="R7" s="8">
        <v>43185.583333333299</v>
      </c>
      <c r="S7" s="8">
        <v>43203.708333333299</v>
      </c>
      <c r="T7" s="8">
        <v>43224.666666666701</v>
      </c>
      <c r="U7" s="8">
        <v>43186.583333333299</v>
      </c>
      <c r="V7" s="8">
        <v>43210.708333333299</v>
      </c>
      <c r="W7" s="8">
        <v>43231.708333333299</v>
      </c>
      <c r="X7" s="9">
        <v>1707942.8718709899</v>
      </c>
      <c r="Y7" s="9">
        <v>1789182.1531903199</v>
      </c>
      <c r="Z7" s="9">
        <v>1791110.15853503</v>
      </c>
      <c r="AA7" s="9">
        <v>1813895.8794362301</v>
      </c>
      <c r="AB7" s="9">
        <v>1876540.2563607199</v>
      </c>
      <c r="AC7" s="9">
        <v>1900474.15437689</v>
      </c>
      <c r="AD7" s="9">
        <v>1789567.4033697001</v>
      </c>
      <c r="AE7" s="9">
        <v>1794067.8577459599</v>
      </c>
      <c r="AF7" s="21">
        <f t="shared" si="0"/>
        <v>0.93833333333333302</v>
      </c>
      <c r="AG7" s="21">
        <f t="shared" si="1"/>
        <v>0.95202715770749402</v>
      </c>
      <c r="AH7" s="21">
        <f t="shared" si="2"/>
        <v>0.95094449599112996</v>
      </c>
      <c r="AI7" s="21">
        <f t="shared" si="3"/>
        <v>0.99551243971546399</v>
      </c>
      <c r="AJ7" s="20">
        <v>-4.625</v>
      </c>
      <c r="AK7" s="20">
        <v>1</v>
      </c>
      <c r="AL7" s="20">
        <v>1</v>
      </c>
    </row>
    <row r="8" spans="1:38" x14ac:dyDescent="0.35">
      <c r="A8" s="12" t="s">
        <v>296</v>
      </c>
      <c r="B8" s="8">
        <v>42794.708333333299</v>
      </c>
      <c r="C8" s="8">
        <v>42815.708333333299</v>
      </c>
      <c r="D8" s="9">
        <v>108088</v>
      </c>
      <c r="E8" s="9">
        <v>103221.441304803</v>
      </c>
      <c r="F8" s="9">
        <v>109335</v>
      </c>
      <c r="G8" s="8">
        <v>42808.625</v>
      </c>
      <c r="H8" s="9">
        <v>-4866.55869519711</v>
      </c>
      <c r="I8" s="18">
        <v>0.95497595759753995</v>
      </c>
      <c r="J8" s="9">
        <v>-6113.55869519711</v>
      </c>
      <c r="K8" s="18">
        <v>0.94408415699275505</v>
      </c>
      <c r="L8" s="12" t="s">
        <v>518</v>
      </c>
      <c r="M8" s="18">
        <v>0.94166666666666698</v>
      </c>
      <c r="N8" s="18">
        <v>0.99565344206029105</v>
      </c>
      <c r="O8" s="8">
        <v>43180.708333333299</v>
      </c>
      <c r="P8" s="8">
        <v>43202.5</v>
      </c>
      <c r="Q8" s="8">
        <v>43234.416666666701</v>
      </c>
      <c r="R8" s="8">
        <v>43185.708333333299</v>
      </c>
      <c r="S8" s="8">
        <v>43202.5</v>
      </c>
      <c r="T8" s="8">
        <v>43224.666666666701</v>
      </c>
      <c r="U8" s="8">
        <v>43187.416666666701</v>
      </c>
      <c r="V8" s="8">
        <v>43209.583333333299</v>
      </c>
      <c r="W8" s="8">
        <v>43234.458333333299</v>
      </c>
      <c r="X8" s="9">
        <v>1709463.55861795</v>
      </c>
      <c r="Y8" s="9">
        <v>1804235.3399389</v>
      </c>
      <c r="Z8" s="9">
        <v>1784904.46945915</v>
      </c>
      <c r="AA8" s="9">
        <v>1808586.56667393</v>
      </c>
      <c r="AB8" s="9">
        <v>1884144.4352058901</v>
      </c>
      <c r="AC8" s="9">
        <v>1909229.1663068</v>
      </c>
      <c r="AD8" s="9">
        <v>1800333.5650690901</v>
      </c>
      <c r="AE8" s="9">
        <v>1805103.80164179</v>
      </c>
      <c r="AF8" s="21">
        <f t="shared" si="0"/>
        <v>0.94166666666666698</v>
      </c>
      <c r="AG8" s="21">
        <f t="shared" si="1"/>
        <v>0.94408415699275505</v>
      </c>
      <c r="AH8" s="21">
        <f t="shared" si="2"/>
        <v>0.95497595759753995</v>
      </c>
      <c r="AI8" s="21">
        <f t="shared" si="3"/>
        <v>0.99565344206029105</v>
      </c>
      <c r="AJ8" s="20">
        <v>-5.25</v>
      </c>
      <c r="AK8" s="20">
        <v>1</v>
      </c>
      <c r="AL8" s="20">
        <v>1</v>
      </c>
    </row>
    <row r="9" spans="1:38" x14ac:dyDescent="0.35">
      <c r="A9" s="12" t="s">
        <v>306</v>
      </c>
      <c r="B9" s="8">
        <v>42815.708333333299</v>
      </c>
      <c r="C9" s="8">
        <v>42836.708333333299</v>
      </c>
      <c r="D9" s="9">
        <v>764878</v>
      </c>
      <c r="E9" s="9">
        <v>176170.39205503499</v>
      </c>
      <c r="F9" s="9">
        <v>182394.5</v>
      </c>
      <c r="G9" s="8">
        <v>42830.625</v>
      </c>
      <c r="H9" s="9">
        <v>-588707.60794496501</v>
      </c>
      <c r="I9" s="18">
        <v>0.23032482573042301</v>
      </c>
      <c r="J9" s="9">
        <v>-6224.1079449653598</v>
      </c>
      <c r="K9" s="18">
        <v>0.96587557220768505</v>
      </c>
      <c r="L9" s="12" t="s">
        <v>513</v>
      </c>
      <c r="M9" s="18">
        <v>0.95952380952381</v>
      </c>
      <c r="N9" s="18">
        <v>0.98823896089027397</v>
      </c>
      <c r="O9" s="8">
        <v>43348.708333333299</v>
      </c>
      <c r="P9" s="8">
        <v>44817.583333333299</v>
      </c>
      <c r="Q9" s="8">
        <v>44893.416666666701</v>
      </c>
      <c r="R9" s="8">
        <v>43292.666666666701</v>
      </c>
      <c r="S9" s="8">
        <v>44817.583333333299</v>
      </c>
      <c r="T9" s="8">
        <v>44887.583333333299</v>
      </c>
      <c r="U9" s="8">
        <v>43186.416666666701</v>
      </c>
      <c r="V9" s="8">
        <v>43200.625</v>
      </c>
      <c r="W9" s="8">
        <v>43213.708333333299</v>
      </c>
      <c r="X9" s="9">
        <v>1709574.1078677201</v>
      </c>
      <c r="Y9" s="9">
        <v>1763529.4327088499</v>
      </c>
      <c r="Z9" s="9">
        <v>6812941.6111271298</v>
      </c>
      <c r="AA9" s="9">
        <v>1773996.07643782</v>
      </c>
      <c r="AB9" s="9">
        <v>7047199.1414216701</v>
      </c>
      <c r="AC9" s="9">
        <v>1830227.43235165</v>
      </c>
      <c r="AD9" s="9">
        <v>2047616.9008627001</v>
      </c>
      <c r="AE9" s="9">
        <v>1765611.7340812499</v>
      </c>
      <c r="AF9" s="21">
        <f t="shared" si="0"/>
        <v>0.95952380952381</v>
      </c>
      <c r="AG9" s="21">
        <f t="shared" si="1"/>
        <v>0.96587557220768505</v>
      </c>
      <c r="AH9" s="21">
        <f t="shared" si="2"/>
        <v>0.23032482573042301</v>
      </c>
      <c r="AI9" s="21">
        <f t="shared" si="3"/>
        <v>0.98823896089027397</v>
      </c>
      <c r="AJ9" s="20">
        <v>-4.25</v>
      </c>
      <c r="AK9" s="20">
        <v>1</v>
      </c>
      <c r="AL9" s="20">
        <v>1</v>
      </c>
    </row>
    <row r="10" spans="1:38" x14ac:dyDescent="0.35">
      <c r="A10" s="12" t="s">
        <v>314</v>
      </c>
      <c r="B10" s="8">
        <v>42836.708333333299</v>
      </c>
      <c r="C10" s="8">
        <v>42857.708333333299</v>
      </c>
      <c r="D10" s="9">
        <v>1022398</v>
      </c>
      <c r="E10" s="9">
        <v>1171812.92606735</v>
      </c>
      <c r="F10" s="9">
        <v>1178380</v>
      </c>
      <c r="G10" s="8">
        <v>42859.375</v>
      </c>
      <c r="H10" s="9">
        <v>149414.926067352</v>
      </c>
      <c r="I10" s="18">
        <v>1.14614164549163</v>
      </c>
      <c r="J10" s="9">
        <v>-6567.0739326477096</v>
      </c>
      <c r="K10" s="18">
        <v>0.99442703208417704</v>
      </c>
      <c r="L10" s="12" t="s">
        <v>519</v>
      </c>
      <c r="M10" s="18">
        <v>1.0093749999999999</v>
      </c>
      <c r="N10" s="18">
        <v>0.99869937508883</v>
      </c>
      <c r="O10" s="8">
        <v>43137.416666666701</v>
      </c>
      <c r="P10" s="8">
        <v>43117.458333333299</v>
      </c>
      <c r="Q10" s="8">
        <v>43119.375</v>
      </c>
      <c r="R10" s="8">
        <v>43154.5</v>
      </c>
      <c r="S10" s="8">
        <v>43117.458333333299</v>
      </c>
      <c r="T10" s="8">
        <v>43118.458333333299</v>
      </c>
      <c r="U10" s="8">
        <v>43178.666666666701</v>
      </c>
      <c r="V10" s="8">
        <v>43174.625</v>
      </c>
      <c r="W10" s="8">
        <v>43175.708333333299</v>
      </c>
      <c r="X10" s="9">
        <v>1709917.0738554001</v>
      </c>
      <c r="Y10" s="9">
        <v>1712895.91389403</v>
      </c>
      <c r="Z10" s="9">
        <v>1642142.1152204101</v>
      </c>
      <c r="AA10" s="9">
        <v>1704980.19700845</v>
      </c>
      <c r="AB10" s="9">
        <v>1644741.13083977</v>
      </c>
      <c r="AC10" s="9">
        <v>1707931.3698021299</v>
      </c>
      <c r="AD10" s="9">
        <v>1697069.1666598001</v>
      </c>
      <c r="AE10" s="9">
        <v>1711293.7896611299</v>
      </c>
      <c r="AF10" s="21">
        <f t="shared" si="0"/>
        <v>1.0093749999999999</v>
      </c>
      <c r="AG10" s="21">
        <f t="shared" si="1"/>
        <v>0.99442703208417704</v>
      </c>
      <c r="AH10" s="21">
        <f t="shared" si="2"/>
        <v>1.14614164549163</v>
      </c>
      <c r="AI10" s="21">
        <f t="shared" si="3"/>
        <v>0.99869937508883</v>
      </c>
      <c r="AJ10" s="20">
        <v>1.125</v>
      </c>
      <c r="AK10" s="20">
        <v>1</v>
      </c>
      <c r="AL10" s="20">
        <v>1</v>
      </c>
    </row>
    <row r="11" spans="1:38" x14ac:dyDescent="0.35">
      <c r="A11" s="12" t="s">
        <v>333</v>
      </c>
      <c r="B11" s="8">
        <v>42857.708333333299</v>
      </c>
      <c r="C11" s="8">
        <v>42878.708333333299</v>
      </c>
      <c r="D11" s="9">
        <v>1181430</v>
      </c>
      <c r="E11" s="9">
        <v>1181430</v>
      </c>
      <c r="F11" s="9">
        <v>1188331</v>
      </c>
      <c r="G11" s="8">
        <v>42878.708333333299</v>
      </c>
      <c r="H11" s="9">
        <v>0</v>
      </c>
      <c r="I11" s="18">
        <v>1</v>
      </c>
      <c r="J11" s="9">
        <v>-6901</v>
      </c>
      <c r="K11" s="18">
        <v>0.99419269546952804</v>
      </c>
      <c r="L11" s="12" t="s">
        <v>264</v>
      </c>
      <c r="M11" s="18">
        <v>1</v>
      </c>
      <c r="N11" s="18">
        <v>1</v>
      </c>
      <c r="O11" s="8">
        <v>43179.708333333299</v>
      </c>
      <c r="P11" s="8">
        <v>43179.708333333299</v>
      </c>
      <c r="Q11" s="8">
        <v>43181.708333333299</v>
      </c>
      <c r="R11" s="8">
        <v>43179.708333333299</v>
      </c>
      <c r="S11" s="8">
        <v>43179.708333333299</v>
      </c>
      <c r="T11" s="8">
        <v>43181.416666666701</v>
      </c>
      <c r="U11" s="8">
        <v>43179.708333333299</v>
      </c>
      <c r="V11" s="8">
        <v>43179.708333333299</v>
      </c>
      <c r="W11" s="8">
        <v>43181.416666666701</v>
      </c>
      <c r="X11" s="9">
        <v>1710250.9999227501</v>
      </c>
      <c r="Y11" s="9">
        <v>1713299.65275827</v>
      </c>
      <c r="Z11" s="9">
        <v>1710250.9999227501</v>
      </c>
      <c r="AA11" s="9">
        <v>1710250.9999227501</v>
      </c>
      <c r="AB11" s="9">
        <v>1713299.65275827</v>
      </c>
      <c r="AC11" s="9">
        <v>1713299.65275827</v>
      </c>
      <c r="AD11" s="9">
        <v>1712687.0762565299</v>
      </c>
      <c r="AE11" s="9">
        <v>1712687.0762565299</v>
      </c>
      <c r="AF11" s="20">
        <f t="shared" si="0"/>
        <v>1</v>
      </c>
      <c r="AG11" s="21">
        <f t="shared" si="1"/>
        <v>0.99419269546952804</v>
      </c>
      <c r="AH11" s="20">
        <f t="shared" si="2"/>
        <v>1</v>
      </c>
      <c r="AI11" s="20">
        <f t="shared" si="3"/>
        <v>1</v>
      </c>
      <c r="AJ11" s="20">
        <v>0</v>
      </c>
      <c r="AK11" s="20">
        <v>1</v>
      </c>
      <c r="AL11" s="20">
        <v>1</v>
      </c>
    </row>
    <row r="12" spans="1:38" x14ac:dyDescent="0.35">
      <c r="A12" s="12" t="s">
        <v>347</v>
      </c>
      <c r="B12" s="8">
        <v>42878.708333333299</v>
      </c>
      <c r="C12" s="8">
        <v>42899.708333333299</v>
      </c>
      <c r="D12" s="9">
        <v>1184233.1999931301</v>
      </c>
      <c r="E12" s="9">
        <v>1275095.57964628</v>
      </c>
      <c r="F12" s="9">
        <v>1282667.7999746799</v>
      </c>
      <c r="G12" s="8">
        <v>42908.375</v>
      </c>
      <c r="H12" s="9">
        <v>90862.379653142998</v>
      </c>
      <c r="I12" s="18">
        <v>1.0767267626457899</v>
      </c>
      <c r="J12" s="9">
        <v>-7572.2203284034003</v>
      </c>
      <c r="K12" s="18">
        <v>0.99409650703903796</v>
      </c>
      <c r="L12" s="12" t="s">
        <v>303</v>
      </c>
      <c r="M12" s="18">
        <v>1.0408333333333299</v>
      </c>
      <c r="N12" s="18">
        <v>0.93807709931823202</v>
      </c>
      <c r="O12" s="8">
        <v>43153.458333333299</v>
      </c>
      <c r="P12" s="8">
        <v>43144.708333333299</v>
      </c>
      <c r="Q12" s="8">
        <v>43146.708333333299</v>
      </c>
      <c r="R12" s="8">
        <v>43164.5</v>
      </c>
      <c r="S12" s="8">
        <v>43144.708333333299</v>
      </c>
      <c r="T12" s="8">
        <v>43146.375</v>
      </c>
      <c r="U12" s="8">
        <v>43171.666666666701</v>
      </c>
      <c r="V12" s="8">
        <v>43160.416666666701</v>
      </c>
      <c r="W12" s="8">
        <v>43161.458333333299</v>
      </c>
      <c r="X12" s="9">
        <v>1710922.22025116</v>
      </c>
      <c r="Y12" s="9">
        <v>1713465.43103371</v>
      </c>
      <c r="Z12" s="9">
        <v>1680405.1230668901</v>
      </c>
      <c r="AA12" s="9">
        <v>1694121.2061650499</v>
      </c>
      <c r="AB12" s="9">
        <v>1682767.1065066799</v>
      </c>
      <c r="AC12" s="9">
        <v>1696564.6432659801</v>
      </c>
      <c r="AD12" s="9">
        <v>1706420.8785285701</v>
      </c>
      <c r="AE12" s="9">
        <v>1709452.4284918399</v>
      </c>
      <c r="AF12" s="21">
        <f t="shared" si="0"/>
        <v>1.0408333333333299</v>
      </c>
      <c r="AG12" s="21">
        <f t="shared" si="1"/>
        <v>0.99409650703903796</v>
      </c>
      <c r="AH12" s="21">
        <f t="shared" si="2"/>
        <v>1.0767267626457899</v>
      </c>
      <c r="AI12" s="21">
        <f t="shared" si="3"/>
        <v>0.93807709931823202</v>
      </c>
      <c r="AJ12" s="20">
        <v>6.125</v>
      </c>
      <c r="AK12" s="20">
        <v>1</v>
      </c>
      <c r="AL12" s="20">
        <v>1</v>
      </c>
    </row>
    <row r="13" spans="1:38" x14ac:dyDescent="0.35">
      <c r="A13" s="12" t="s">
        <v>362</v>
      </c>
      <c r="B13" s="8">
        <v>42899.708333333299</v>
      </c>
      <c r="C13" s="8">
        <v>42920.708333333299</v>
      </c>
      <c r="D13" s="9">
        <v>1362745.1999673799</v>
      </c>
      <c r="E13" s="9">
        <v>1284924.98197549</v>
      </c>
      <c r="F13" s="9">
        <v>1293179.79994893</v>
      </c>
      <c r="G13" s="8">
        <v>42907.708333333299</v>
      </c>
      <c r="H13" s="9">
        <v>-77820.217991898302</v>
      </c>
      <c r="I13" s="18">
        <v>0.94289452056498801</v>
      </c>
      <c r="J13" s="9">
        <v>-8254.8179734447003</v>
      </c>
      <c r="K13" s="18">
        <v>0.99361665100725305</v>
      </c>
      <c r="L13" s="12" t="s">
        <v>520</v>
      </c>
      <c r="M13" s="18">
        <v>0.94545454545454499</v>
      </c>
      <c r="N13" s="18">
        <v>1</v>
      </c>
      <c r="O13" s="8">
        <v>43201.708333333299</v>
      </c>
      <c r="P13" s="8">
        <v>43209.416666666701</v>
      </c>
      <c r="Q13" s="8">
        <v>43213.583333333299</v>
      </c>
      <c r="R13" s="8">
        <v>43193.458333333299</v>
      </c>
      <c r="S13" s="8">
        <v>43209.416666666701</v>
      </c>
      <c r="T13" s="8">
        <v>43210.5</v>
      </c>
      <c r="U13" s="8">
        <v>43192.708333333299</v>
      </c>
      <c r="V13" s="8">
        <v>43208.416666666701</v>
      </c>
      <c r="W13" s="8">
        <v>43209.5</v>
      </c>
      <c r="X13" s="9">
        <v>1711604.8178962001</v>
      </c>
      <c r="Y13" s="9">
        <v>1714292.9299705499</v>
      </c>
      <c r="Z13" s="9">
        <v>1736946.31764652</v>
      </c>
      <c r="AA13" s="9">
        <v>1735744.7227777699</v>
      </c>
      <c r="AB13" s="9">
        <v>1739797.23258529</v>
      </c>
      <c r="AC13" s="9">
        <v>1738587.9182410301</v>
      </c>
      <c r="AD13" s="9">
        <v>1718636.6734074701</v>
      </c>
      <c r="AE13" s="9">
        <v>1718415.29177301</v>
      </c>
      <c r="AF13" s="21">
        <f t="shared" si="0"/>
        <v>0.94545454545454499</v>
      </c>
      <c r="AG13" s="21">
        <f t="shared" si="1"/>
        <v>0.99361665100725305</v>
      </c>
      <c r="AH13" s="21">
        <f t="shared" si="2"/>
        <v>0.94289452056498801</v>
      </c>
      <c r="AI13" s="20">
        <f t="shared" si="3"/>
        <v>1</v>
      </c>
      <c r="AJ13" s="20">
        <v>-9</v>
      </c>
      <c r="AK13" s="20">
        <v>1</v>
      </c>
      <c r="AL13" s="20">
        <v>1</v>
      </c>
    </row>
    <row r="14" spans="1:38" x14ac:dyDescent="0.35">
      <c r="A14" s="12" t="s">
        <v>374</v>
      </c>
      <c r="B14" s="8">
        <v>42920.708333333299</v>
      </c>
      <c r="C14" s="8">
        <v>42941.708333333299</v>
      </c>
      <c r="D14" s="9">
        <v>1380169.19994164</v>
      </c>
      <c r="E14" s="9">
        <v>1294754.3843047</v>
      </c>
      <c r="F14" s="9">
        <v>1303691.7999231799</v>
      </c>
      <c r="G14" s="8">
        <v>42907.708333333299</v>
      </c>
      <c r="H14" s="9">
        <v>-85414.815636939398</v>
      </c>
      <c r="I14" s="18">
        <v>0.93811279396718095</v>
      </c>
      <c r="J14" s="9">
        <v>-8937.4156184857693</v>
      </c>
      <c r="K14" s="18">
        <v>0.99314453337896902</v>
      </c>
      <c r="L14" s="12" t="s">
        <v>521</v>
      </c>
      <c r="M14" s="18">
        <v>0.86666666666666703</v>
      </c>
      <c r="N14" s="18">
        <v>1</v>
      </c>
      <c r="O14" s="8">
        <v>43203.5</v>
      </c>
      <c r="P14" s="8">
        <v>43213.375</v>
      </c>
      <c r="Q14" s="8">
        <v>43215.583333333299</v>
      </c>
      <c r="R14" s="8">
        <v>43195.375</v>
      </c>
      <c r="S14" s="8">
        <v>43213.375</v>
      </c>
      <c r="T14" s="8">
        <v>43214.458333333299</v>
      </c>
      <c r="U14" s="8">
        <v>43213.708333333299</v>
      </c>
      <c r="V14" s="8">
        <v>43255.666666666701</v>
      </c>
      <c r="W14" s="8">
        <v>43257.458333333299</v>
      </c>
      <c r="X14" s="9">
        <v>1712287.41554124</v>
      </c>
      <c r="Y14" s="9">
        <v>1715107.8646402601</v>
      </c>
      <c r="Z14" s="9">
        <v>1739242.4269327</v>
      </c>
      <c r="AA14" s="9">
        <v>1775148.2794824799</v>
      </c>
      <c r="AB14" s="9">
        <v>1742248.94077321</v>
      </c>
      <c r="AC14" s="9">
        <v>1778402.6438275101</v>
      </c>
      <c r="AD14" s="9">
        <v>1719718.4056003201</v>
      </c>
      <c r="AE14" s="9">
        <v>1725860.5808894199</v>
      </c>
      <c r="AF14" s="21">
        <f t="shared" si="0"/>
        <v>0.86666666666666703</v>
      </c>
      <c r="AG14" s="21">
        <f t="shared" si="1"/>
        <v>0.99314453337896902</v>
      </c>
      <c r="AH14" s="21">
        <f t="shared" si="2"/>
        <v>0.93811279396718095</v>
      </c>
      <c r="AI14" s="20">
        <f t="shared" si="3"/>
        <v>1</v>
      </c>
      <c r="AJ14" s="20">
        <v>-24</v>
      </c>
      <c r="AK14" s="20">
        <v>1</v>
      </c>
      <c r="AL14" s="20">
        <v>1</v>
      </c>
    </row>
    <row r="15" spans="1:38" x14ac:dyDescent="0.35">
      <c r="A15" s="12" t="s">
        <v>385</v>
      </c>
      <c r="B15" s="8">
        <v>42941.708333333299</v>
      </c>
      <c r="C15" s="8">
        <v>42962.708333333299</v>
      </c>
      <c r="D15" s="9">
        <v>1582613.9999227501</v>
      </c>
      <c r="E15" s="9">
        <v>1573636.3447408699</v>
      </c>
      <c r="F15" s="9">
        <v>1584696.9999173901</v>
      </c>
      <c r="G15" s="8">
        <v>42956.708333333299</v>
      </c>
      <c r="H15" s="9">
        <v>-8977.6551818847693</v>
      </c>
      <c r="I15" s="18">
        <v>0.99432732480420205</v>
      </c>
      <c r="J15" s="9">
        <v>-11060.6551765203</v>
      </c>
      <c r="K15" s="18">
        <v>0.993020334374901</v>
      </c>
      <c r="L15" s="12" t="s">
        <v>522</v>
      </c>
      <c r="M15" s="18">
        <v>0.979487179487179</v>
      </c>
      <c r="N15" s="18">
        <v>0.99577057565195304</v>
      </c>
      <c r="O15" s="8">
        <v>43181.666666666701</v>
      </c>
      <c r="P15" s="8">
        <v>43181.708333333299</v>
      </c>
      <c r="Q15" s="8">
        <v>43186.5</v>
      </c>
      <c r="R15" s="8">
        <v>43181.375</v>
      </c>
      <c r="S15" s="8">
        <v>43181.708333333299</v>
      </c>
      <c r="T15" s="8">
        <v>43185.375</v>
      </c>
      <c r="U15" s="8">
        <v>43185.708333333299</v>
      </c>
      <c r="V15" s="8">
        <v>43189.458333333299</v>
      </c>
      <c r="W15" s="8">
        <v>43192.5</v>
      </c>
      <c r="X15" s="9">
        <v>1714410.6550992699</v>
      </c>
      <c r="Y15" s="9">
        <v>1715322.3765503201</v>
      </c>
      <c r="Z15" s="9">
        <v>1715150.6764342501</v>
      </c>
      <c r="AA15" s="9">
        <v>1717127.1714381599</v>
      </c>
      <c r="AB15" s="9">
        <v>1716067.5992908501</v>
      </c>
      <c r="AC15" s="9">
        <v>1718057.9865321601</v>
      </c>
      <c r="AD15" s="9">
        <v>1715288.0003785901</v>
      </c>
      <c r="AE15" s="9">
        <v>1715679.3893732701</v>
      </c>
      <c r="AF15" s="21">
        <f t="shared" si="0"/>
        <v>0.979487179487179</v>
      </c>
      <c r="AG15" s="21">
        <f t="shared" si="1"/>
        <v>0.993020334374901</v>
      </c>
      <c r="AH15" s="21">
        <f t="shared" si="2"/>
        <v>0.99432732480420205</v>
      </c>
      <c r="AI15" s="21">
        <f t="shared" si="3"/>
        <v>0.99577057565195304</v>
      </c>
      <c r="AJ15" s="20">
        <v>-4</v>
      </c>
      <c r="AK15" s="20">
        <v>1</v>
      </c>
      <c r="AL15" s="20">
        <v>1</v>
      </c>
    </row>
    <row r="16" spans="1:38" x14ac:dyDescent="0.35">
      <c r="A16" s="12" t="s">
        <v>400</v>
      </c>
      <c r="B16" s="8">
        <v>42962.708333333299</v>
      </c>
      <c r="C16" s="8">
        <v>42983.708333333299</v>
      </c>
      <c r="D16" s="9">
        <v>1591829.9999227501</v>
      </c>
      <c r="E16" s="9">
        <v>1589393.58514309</v>
      </c>
      <c r="F16" s="9">
        <v>1600728.9999173901</v>
      </c>
      <c r="G16" s="8">
        <v>42975.625</v>
      </c>
      <c r="H16" s="9">
        <v>-2436.41477966309</v>
      </c>
      <c r="I16" s="18">
        <v>0.99846942526539795</v>
      </c>
      <c r="J16" s="9">
        <v>-11335.414774298701</v>
      </c>
      <c r="K16" s="18">
        <v>0.99291859223211199</v>
      </c>
      <c r="L16" s="12" t="s">
        <v>523</v>
      </c>
      <c r="M16" s="18">
        <v>0.97023809523809501</v>
      </c>
      <c r="N16" s="18">
        <v>0.99612173229023404</v>
      </c>
      <c r="O16" s="8">
        <v>43180.5</v>
      </c>
      <c r="P16" s="8">
        <v>43180.5</v>
      </c>
      <c r="Q16" s="8">
        <v>43182.708333333299</v>
      </c>
      <c r="R16" s="8">
        <v>43180.458333333299</v>
      </c>
      <c r="S16" s="8">
        <v>43180.5</v>
      </c>
      <c r="T16" s="8">
        <v>43181.5</v>
      </c>
      <c r="U16" s="8">
        <v>43188.416666666701</v>
      </c>
      <c r="V16" s="8">
        <v>43194.625</v>
      </c>
      <c r="W16" s="8">
        <v>43195.625</v>
      </c>
      <c r="X16" s="9">
        <v>1714685.4146970499</v>
      </c>
      <c r="Y16" s="9">
        <v>1715498.14178982</v>
      </c>
      <c r="Z16" s="9">
        <v>1714860.10087661</v>
      </c>
      <c r="AA16" s="9">
        <v>1718181.01024244</v>
      </c>
      <c r="AB16" s="9">
        <v>1715674.0738158</v>
      </c>
      <c r="AC16" s="9">
        <v>1719018.6676141301</v>
      </c>
      <c r="AD16" s="9">
        <v>1715369.9635377801</v>
      </c>
      <c r="AE16" s="9">
        <v>1716024.8652387101</v>
      </c>
      <c r="AF16" s="21">
        <f t="shared" si="0"/>
        <v>0.97023809523809501</v>
      </c>
      <c r="AG16" s="21">
        <f t="shared" si="1"/>
        <v>0.99291859223211199</v>
      </c>
      <c r="AH16" s="21">
        <f t="shared" si="2"/>
        <v>0.99846942526539795</v>
      </c>
      <c r="AI16" s="21">
        <f t="shared" si="3"/>
        <v>0.99612173229023404</v>
      </c>
      <c r="AJ16" s="20">
        <v>-6.25</v>
      </c>
      <c r="AK16" s="20">
        <v>1</v>
      </c>
      <c r="AL16" s="20">
        <v>1</v>
      </c>
    </row>
    <row r="17" spans="1:38" x14ac:dyDescent="0.35">
      <c r="A17" s="12" t="s">
        <v>408</v>
      </c>
      <c r="B17" s="8">
        <v>42983.708333333299</v>
      </c>
      <c r="C17" s="8">
        <v>43004.708333333299</v>
      </c>
      <c r="D17" s="9">
        <v>1591829.9999227501</v>
      </c>
      <c r="E17" s="9">
        <v>1603349.9999227501</v>
      </c>
      <c r="F17" s="9">
        <v>1615032.9999173901</v>
      </c>
      <c r="G17" s="8">
        <v>43031.708333333299</v>
      </c>
      <c r="H17" s="9">
        <v>11520</v>
      </c>
      <c r="I17" s="18">
        <v>1.00723695369516</v>
      </c>
      <c r="J17" s="9">
        <v>-11682.9999946356</v>
      </c>
      <c r="K17" s="18">
        <v>0.99276609208899602</v>
      </c>
      <c r="L17" s="12" t="s">
        <v>524</v>
      </c>
      <c r="M17" s="18">
        <v>1.0844444444444401</v>
      </c>
      <c r="N17" s="18">
        <v>1</v>
      </c>
      <c r="O17" s="8">
        <v>43175.583333333299</v>
      </c>
      <c r="P17" s="8">
        <v>43175.5</v>
      </c>
      <c r="Q17" s="8">
        <v>43179.708333333299</v>
      </c>
      <c r="R17" s="8">
        <v>43178.458333333299</v>
      </c>
      <c r="S17" s="8">
        <v>43175.5</v>
      </c>
      <c r="T17" s="8">
        <v>43178.458333333299</v>
      </c>
      <c r="U17" s="8">
        <v>43152.708333333299</v>
      </c>
      <c r="V17" s="8">
        <v>43140.625</v>
      </c>
      <c r="W17" s="8">
        <v>43143.5</v>
      </c>
      <c r="X17" s="9">
        <v>1715032.9999173901</v>
      </c>
      <c r="Y17" s="9">
        <v>1715761.6617813101</v>
      </c>
      <c r="Z17" s="9">
        <v>1714314.5042676199</v>
      </c>
      <c r="AA17" s="9">
        <v>1707246.1146714899</v>
      </c>
      <c r="AB17" s="9">
        <v>1715037.9307277501</v>
      </c>
      <c r="AC17" s="9">
        <v>1707918.03647223</v>
      </c>
      <c r="AD17" s="9">
        <v>1715468.8650156399</v>
      </c>
      <c r="AE17" s="9">
        <v>1713935.0132486699</v>
      </c>
      <c r="AF17" s="21">
        <f t="shared" si="0"/>
        <v>1.0844444444444401</v>
      </c>
      <c r="AG17" s="21">
        <f t="shared" si="1"/>
        <v>0.99276609208899602</v>
      </c>
      <c r="AH17" s="21">
        <f t="shared" si="2"/>
        <v>1.00723695369516</v>
      </c>
      <c r="AI17" s="20">
        <f t="shared" si="3"/>
        <v>1</v>
      </c>
      <c r="AJ17" s="20">
        <v>19</v>
      </c>
      <c r="AK17" s="20">
        <v>1</v>
      </c>
      <c r="AL17" s="20">
        <v>1</v>
      </c>
    </row>
    <row r="18" spans="1:38" x14ac:dyDescent="0.35">
      <c r="A18" s="12" t="s">
        <v>415</v>
      </c>
      <c r="B18" s="8">
        <v>43004.708333333299</v>
      </c>
      <c r="C18" s="8">
        <v>43025.708333333299</v>
      </c>
      <c r="D18" s="9">
        <v>1600277.9999227501</v>
      </c>
      <c r="E18" s="9">
        <v>1703349.9999227501</v>
      </c>
      <c r="F18" s="9">
        <v>1715032.9999173901</v>
      </c>
      <c r="G18" s="8">
        <v>43068.375</v>
      </c>
      <c r="H18" s="9">
        <v>103072</v>
      </c>
      <c r="I18" s="18">
        <v>1.0644088089725501</v>
      </c>
      <c r="J18" s="9">
        <v>-11682.9999946356</v>
      </c>
      <c r="K18" s="18">
        <v>0.99318788618341503</v>
      </c>
      <c r="L18" s="12" t="s">
        <v>356</v>
      </c>
      <c r="M18" s="18">
        <v>1.12552083333333</v>
      </c>
      <c r="N18" s="18">
        <v>1</v>
      </c>
      <c r="O18" s="8">
        <v>43150.666666666701</v>
      </c>
      <c r="P18" s="8">
        <v>43150.666666666701</v>
      </c>
      <c r="Q18" s="8">
        <v>43153.375</v>
      </c>
      <c r="R18" s="8">
        <v>43158.5</v>
      </c>
      <c r="S18" s="8">
        <v>43150.666666666701</v>
      </c>
      <c r="T18" s="8">
        <v>43151.458333333299</v>
      </c>
      <c r="U18" s="8">
        <v>43137.666666666701</v>
      </c>
      <c r="V18" s="8">
        <v>43124.708333333299</v>
      </c>
      <c r="W18" s="8">
        <v>43125.5</v>
      </c>
      <c r="X18" s="9">
        <v>1715032.9999173901</v>
      </c>
      <c r="Y18" s="9">
        <v>1715032.9999173901</v>
      </c>
      <c r="Z18" s="9">
        <v>1715032.9999173901</v>
      </c>
      <c r="AA18" s="9">
        <v>1715032.9999173901</v>
      </c>
      <c r="AB18" s="9">
        <v>1715032.9999173901</v>
      </c>
      <c r="AC18" s="9">
        <v>1715032.9999173901</v>
      </c>
      <c r="AD18" s="9">
        <v>1715032.9999173901</v>
      </c>
      <c r="AE18" s="9">
        <v>1715032.9999173901</v>
      </c>
      <c r="AF18" s="21">
        <f t="shared" si="0"/>
        <v>1.12552083333333</v>
      </c>
      <c r="AG18" s="21">
        <f t="shared" si="1"/>
        <v>0.99318788618341503</v>
      </c>
      <c r="AH18" s="21">
        <f t="shared" si="2"/>
        <v>1.0644088089725501</v>
      </c>
      <c r="AI18" s="20">
        <f t="shared" si="3"/>
        <v>1</v>
      </c>
      <c r="AJ18" s="20">
        <v>30.125</v>
      </c>
      <c r="AK18" s="20">
        <v>1</v>
      </c>
      <c r="AL18" s="20">
        <v>1</v>
      </c>
    </row>
    <row r="19" spans="1:38" x14ac:dyDescent="0.35">
      <c r="A19" s="12" t="s">
        <v>421</v>
      </c>
      <c r="B19" s="8">
        <v>43025.708333333299</v>
      </c>
      <c r="C19" s="8">
        <v>43046.708333333299</v>
      </c>
      <c r="D19" s="9">
        <v>1603349.9999227501</v>
      </c>
      <c r="E19" s="9">
        <v>1703349.9999227501</v>
      </c>
      <c r="F19" s="9">
        <v>1715032.9999173901</v>
      </c>
      <c r="G19" s="8">
        <v>43068.375</v>
      </c>
      <c r="H19" s="9">
        <v>100000</v>
      </c>
      <c r="I19" s="18">
        <v>1.0623694140423601</v>
      </c>
      <c r="J19" s="9">
        <v>-11682.9999946356</v>
      </c>
      <c r="K19" s="18">
        <v>0.99318788618341503</v>
      </c>
      <c r="L19" s="12" t="s">
        <v>368</v>
      </c>
      <c r="M19" s="18">
        <v>1.0593137254902001</v>
      </c>
      <c r="N19" s="18">
        <v>1</v>
      </c>
      <c r="O19" s="8">
        <v>43151.5</v>
      </c>
      <c r="P19" s="8">
        <v>43151.5</v>
      </c>
      <c r="Q19" s="8">
        <v>43153.625</v>
      </c>
      <c r="R19" s="8">
        <v>43158.375</v>
      </c>
      <c r="S19" s="8">
        <v>43151.5</v>
      </c>
      <c r="T19" s="8">
        <v>43151.708333333299</v>
      </c>
      <c r="U19" s="8">
        <v>43158.666666666701</v>
      </c>
      <c r="V19" s="8">
        <v>43152.458333333299</v>
      </c>
      <c r="W19" s="8">
        <v>43152.666666666701</v>
      </c>
      <c r="X19" s="9">
        <v>1715032.9999173901</v>
      </c>
      <c r="Y19" s="9">
        <v>1715032.9999173901</v>
      </c>
      <c r="Z19" s="9">
        <v>1715032.9999173901</v>
      </c>
      <c r="AA19" s="9">
        <v>1715032.9999173901</v>
      </c>
      <c r="AB19" s="9">
        <v>1715032.9999173901</v>
      </c>
      <c r="AC19" s="9">
        <v>1715032.9999173901</v>
      </c>
      <c r="AD19" s="9">
        <v>1715032.9999173901</v>
      </c>
      <c r="AE19" s="9">
        <v>1715032.9999173901</v>
      </c>
      <c r="AF19" s="21">
        <f t="shared" si="0"/>
        <v>1.0593137254902001</v>
      </c>
      <c r="AG19" s="21">
        <f t="shared" si="1"/>
        <v>0.99318788618341503</v>
      </c>
      <c r="AH19" s="21">
        <f t="shared" si="2"/>
        <v>1.0623694140423601</v>
      </c>
      <c r="AI19" s="20">
        <f t="shared" si="3"/>
        <v>1</v>
      </c>
      <c r="AJ19" s="20">
        <v>15.125</v>
      </c>
      <c r="AK19" s="20">
        <v>1</v>
      </c>
      <c r="AL19" s="20">
        <v>1</v>
      </c>
    </row>
    <row r="20" spans="1:38" x14ac:dyDescent="0.35">
      <c r="A20" s="12" t="s">
        <v>425</v>
      </c>
      <c r="B20" s="8">
        <v>43046.708333333299</v>
      </c>
      <c r="C20" s="8">
        <v>43067.708333333299</v>
      </c>
      <c r="D20" s="9">
        <v>1603349.9999227501</v>
      </c>
      <c r="E20" s="9">
        <v>1703349.9999227501</v>
      </c>
      <c r="F20" s="9">
        <v>1715032.9999173901</v>
      </c>
      <c r="G20" s="8">
        <v>43068.375</v>
      </c>
      <c r="H20" s="9">
        <v>100000</v>
      </c>
      <c r="I20" s="18">
        <v>1.0623694140423601</v>
      </c>
      <c r="J20" s="9">
        <v>-11682.9999946356</v>
      </c>
      <c r="K20" s="18">
        <v>0.99318788618341503</v>
      </c>
      <c r="L20" s="12" t="s">
        <v>380</v>
      </c>
      <c r="M20" s="18">
        <v>1.00046296296296</v>
      </c>
      <c r="N20" s="18">
        <v>1</v>
      </c>
      <c r="O20" s="8">
        <v>43151.5</v>
      </c>
      <c r="P20" s="8">
        <v>43151.5</v>
      </c>
      <c r="Q20" s="8">
        <v>43153.625</v>
      </c>
      <c r="R20" s="8">
        <v>43157.375</v>
      </c>
      <c r="S20" s="8">
        <v>43151.5</v>
      </c>
      <c r="T20" s="8">
        <v>43151.666666666701</v>
      </c>
      <c r="U20" s="8">
        <v>43179.666666666701</v>
      </c>
      <c r="V20" s="8">
        <v>43179.666666666701</v>
      </c>
      <c r="W20" s="8">
        <v>43180.458333333299</v>
      </c>
      <c r="X20" s="9">
        <v>1715032.9999173901</v>
      </c>
      <c r="Y20" s="9">
        <v>1715032.9999173901</v>
      </c>
      <c r="Z20" s="9">
        <v>1715032.9999173901</v>
      </c>
      <c r="AA20" s="9">
        <v>1715032.9999173901</v>
      </c>
      <c r="AB20" s="9">
        <v>1715032.9999173901</v>
      </c>
      <c r="AC20" s="9">
        <v>1715032.9999173901</v>
      </c>
      <c r="AD20" s="9">
        <v>1715032.9999173901</v>
      </c>
      <c r="AE20" s="9">
        <v>1715032.9999173901</v>
      </c>
      <c r="AF20" s="21">
        <f t="shared" si="0"/>
        <v>1.00046296296296</v>
      </c>
      <c r="AG20" s="21">
        <f t="shared" si="1"/>
        <v>0.99318788618341503</v>
      </c>
      <c r="AH20" s="21">
        <f t="shared" si="2"/>
        <v>1.0623694140423601</v>
      </c>
      <c r="AI20" s="20">
        <f t="shared" si="3"/>
        <v>1</v>
      </c>
      <c r="AJ20" s="20">
        <v>0.125</v>
      </c>
      <c r="AK20" s="20">
        <v>1</v>
      </c>
      <c r="AL20" s="20">
        <v>1</v>
      </c>
    </row>
    <row r="21" spans="1:38" x14ac:dyDescent="0.35">
      <c r="A21" s="12" t="s">
        <v>429</v>
      </c>
      <c r="B21" s="8">
        <v>43067.708333333299</v>
      </c>
      <c r="C21" s="8">
        <v>43088.708333333299</v>
      </c>
      <c r="D21" s="9">
        <v>1703349.9999227501</v>
      </c>
      <c r="E21" s="9">
        <v>1703349.9999227501</v>
      </c>
      <c r="F21" s="9">
        <v>1715032.9999173901</v>
      </c>
      <c r="G21" s="8">
        <v>43088.708333333299</v>
      </c>
      <c r="H21" s="9">
        <v>0</v>
      </c>
      <c r="I21" s="18">
        <v>1</v>
      </c>
      <c r="J21" s="9">
        <v>-11682.9999946356</v>
      </c>
      <c r="K21" s="18">
        <v>0.99318788618341503</v>
      </c>
      <c r="L21" s="12" t="s">
        <v>264</v>
      </c>
      <c r="M21" s="18">
        <v>1</v>
      </c>
      <c r="N21" s="18">
        <v>1</v>
      </c>
      <c r="O21" s="8">
        <v>43179.708333333299</v>
      </c>
      <c r="P21" s="8">
        <v>43179.708333333299</v>
      </c>
      <c r="Q21" s="8">
        <v>43182.458333333299</v>
      </c>
      <c r="R21" s="8">
        <v>43179.708333333299</v>
      </c>
      <c r="S21" s="8">
        <v>43179.708333333299</v>
      </c>
      <c r="T21" s="8">
        <v>43180.5</v>
      </c>
      <c r="U21" s="8">
        <v>43179.708333333299</v>
      </c>
      <c r="V21" s="8">
        <v>43179.708333333299</v>
      </c>
      <c r="W21" s="8">
        <v>43180.5</v>
      </c>
      <c r="X21" s="9">
        <v>1715032.9999173901</v>
      </c>
      <c r="Y21" s="9">
        <v>1715032.9999173901</v>
      </c>
      <c r="Z21" s="9">
        <v>1715032.9999173901</v>
      </c>
      <c r="AA21" s="9">
        <v>1715032.9999173901</v>
      </c>
      <c r="AB21" s="9">
        <v>1715032.9999173901</v>
      </c>
      <c r="AC21" s="9">
        <v>1715032.9999173901</v>
      </c>
      <c r="AD21" s="9">
        <v>1715032.9999173901</v>
      </c>
      <c r="AE21" s="9">
        <v>1715032.9999173901</v>
      </c>
      <c r="AF21" s="20">
        <f t="shared" si="0"/>
        <v>1</v>
      </c>
      <c r="AG21" s="21">
        <f t="shared" si="1"/>
        <v>0.99318788618341503</v>
      </c>
      <c r="AH21" s="20">
        <f t="shared" si="2"/>
        <v>1</v>
      </c>
      <c r="AI21" s="20">
        <f t="shared" si="3"/>
        <v>1</v>
      </c>
      <c r="AJ21" s="20">
        <v>0</v>
      </c>
      <c r="AK21" s="20">
        <v>1</v>
      </c>
      <c r="AL21" s="20">
        <v>1</v>
      </c>
    </row>
    <row r="22" spans="1:38" x14ac:dyDescent="0.35">
      <c r="A22" s="12" t="s">
        <v>433</v>
      </c>
      <c r="B22" s="8">
        <v>43088.708333333299</v>
      </c>
      <c r="C22" s="8">
        <v>43109.708333333299</v>
      </c>
      <c r="D22" s="9">
        <v>1703349.9999227501</v>
      </c>
      <c r="E22" s="9">
        <v>1703349.9999227501</v>
      </c>
      <c r="F22" s="9">
        <v>1715032.9999173901</v>
      </c>
      <c r="G22" s="8">
        <v>43109.708333333299</v>
      </c>
      <c r="H22" s="9">
        <v>0</v>
      </c>
      <c r="I22" s="18">
        <v>1</v>
      </c>
      <c r="J22" s="9">
        <v>-11682.9999946356</v>
      </c>
      <c r="K22" s="18">
        <v>0.99318788618341503</v>
      </c>
      <c r="L22" s="12" t="s">
        <v>264</v>
      </c>
      <c r="M22" s="18">
        <v>1</v>
      </c>
      <c r="N22" s="18">
        <v>1</v>
      </c>
      <c r="O22" s="8">
        <v>43179.708333333299</v>
      </c>
      <c r="P22" s="8">
        <v>43179.708333333299</v>
      </c>
      <c r="Q22" s="8">
        <v>43182.458333333299</v>
      </c>
      <c r="R22" s="8">
        <v>43179.708333333299</v>
      </c>
      <c r="S22" s="8">
        <v>43179.708333333299</v>
      </c>
      <c r="T22" s="8">
        <v>43180.458333333299</v>
      </c>
      <c r="U22" s="8">
        <v>43179.708333333299</v>
      </c>
      <c r="V22" s="8">
        <v>43179.708333333299</v>
      </c>
      <c r="W22" s="8">
        <v>43180.458333333299</v>
      </c>
      <c r="X22" s="9">
        <v>1715032.9999173901</v>
      </c>
      <c r="Y22" s="9">
        <v>1715032.9999173901</v>
      </c>
      <c r="Z22" s="9">
        <v>1715032.9999173901</v>
      </c>
      <c r="AA22" s="9">
        <v>1715032.9999173901</v>
      </c>
      <c r="AB22" s="9">
        <v>1715032.9999173901</v>
      </c>
      <c r="AC22" s="9">
        <v>1715032.9999173901</v>
      </c>
      <c r="AD22" s="9">
        <v>1715032.9999173901</v>
      </c>
      <c r="AE22" s="9">
        <v>1715032.9999173901</v>
      </c>
      <c r="AF22" s="20">
        <f t="shared" si="0"/>
        <v>1</v>
      </c>
      <c r="AG22" s="21">
        <f t="shared" si="1"/>
        <v>0.99318788618341503</v>
      </c>
      <c r="AH22" s="20">
        <f t="shared" si="2"/>
        <v>1</v>
      </c>
      <c r="AI22" s="20">
        <f t="shared" si="3"/>
        <v>1</v>
      </c>
      <c r="AJ22" s="20">
        <v>0</v>
      </c>
      <c r="AK22" s="20">
        <v>1</v>
      </c>
      <c r="AL22" s="20">
        <v>1</v>
      </c>
    </row>
    <row r="23" spans="1:38" x14ac:dyDescent="0.35">
      <c r="A23" s="12" t="s">
        <v>437</v>
      </c>
      <c r="B23" s="8">
        <v>43109.708333333299</v>
      </c>
      <c r="C23" s="8">
        <v>43130.708333333299</v>
      </c>
      <c r="D23" s="9">
        <v>1703349.9999227501</v>
      </c>
      <c r="E23" s="9">
        <v>1703349.9999227501</v>
      </c>
      <c r="F23" s="9">
        <v>1715032.9999173901</v>
      </c>
      <c r="G23" s="8">
        <v>43130.708333333299</v>
      </c>
      <c r="H23" s="9">
        <v>0</v>
      </c>
      <c r="I23" s="18">
        <v>1</v>
      </c>
      <c r="J23" s="9">
        <v>-11682.9999946356</v>
      </c>
      <c r="K23" s="18">
        <v>0.99318788618341503</v>
      </c>
      <c r="L23" s="12" t="s">
        <v>264</v>
      </c>
      <c r="M23" s="18">
        <v>1</v>
      </c>
      <c r="N23" s="18">
        <v>1</v>
      </c>
      <c r="O23" s="8">
        <v>43179.708333333299</v>
      </c>
      <c r="P23" s="8">
        <v>43179.708333333299</v>
      </c>
      <c r="Q23" s="8">
        <v>43182.458333333299</v>
      </c>
      <c r="R23" s="8">
        <v>43179.708333333299</v>
      </c>
      <c r="S23" s="8">
        <v>43179.708333333299</v>
      </c>
      <c r="T23" s="8">
        <v>43180.416666666701</v>
      </c>
      <c r="U23" s="8">
        <v>43179.708333333299</v>
      </c>
      <c r="V23" s="8">
        <v>43179.708333333299</v>
      </c>
      <c r="W23" s="8">
        <v>43180.416666666701</v>
      </c>
      <c r="X23" s="9">
        <v>1715032.9999173901</v>
      </c>
      <c r="Y23" s="9">
        <v>1715032.9999173901</v>
      </c>
      <c r="Z23" s="9">
        <v>1715032.9999173901</v>
      </c>
      <c r="AA23" s="9">
        <v>1715032.9999173901</v>
      </c>
      <c r="AB23" s="9">
        <v>1715032.9999173901</v>
      </c>
      <c r="AC23" s="9">
        <v>1715032.9999173901</v>
      </c>
      <c r="AD23" s="9">
        <v>1715032.9999173901</v>
      </c>
      <c r="AE23" s="9">
        <v>1715032.9999173901</v>
      </c>
      <c r="AF23" s="20">
        <f t="shared" si="0"/>
        <v>1</v>
      </c>
      <c r="AG23" s="21">
        <f t="shared" si="1"/>
        <v>0.99318788618341503</v>
      </c>
      <c r="AH23" s="20">
        <f t="shared" si="2"/>
        <v>1</v>
      </c>
      <c r="AI23" s="20">
        <f t="shared" si="3"/>
        <v>1</v>
      </c>
      <c r="AJ23" s="20">
        <v>0</v>
      </c>
      <c r="AK23" s="20">
        <v>1</v>
      </c>
      <c r="AL23" s="20">
        <v>1</v>
      </c>
    </row>
    <row r="24" spans="1:38" x14ac:dyDescent="0.35">
      <c r="A24" s="12" t="s">
        <v>440</v>
      </c>
      <c r="B24" s="8">
        <v>43130.708333333299</v>
      </c>
      <c r="C24" s="8">
        <v>43151.708333333299</v>
      </c>
      <c r="D24" s="9">
        <v>1703349.9999227501</v>
      </c>
      <c r="E24" s="9">
        <v>1703349.9999227501</v>
      </c>
      <c r="F24" s="9">
        <v>1715032.9999173901</v>
      </c>
      <c r="G24" s="8">
        <v>43151.708333333299</v>
      </c>
      <c r="H24" s="9">
        <v>0</v>
      </c>
      <c r="I24" s="18">
        <v>1</v>
      </c>
      <c r="J24" s="9">
        <v>-11682.9999946356</v>
      </c>
      <c r="K24" s="18">
        <v>0.99318788618341503</v>
      </c>
      <c r="L24" s="12" t="s">
        <v>264</v>
      </c>
      <c r="M24" s="18">
        <v>1</v>
      </c>
      <c r="N24" s="18">
        <v>1</v>
      </c>
      <c r="O24" s="8">
        <v>43179.708333333299</v>
      </c>
      <c r="P24" s="8">
        <v>43179.708333333299</v>
      </c>
      <c r="Q24" s="8">
        <v>43182.458333333299</v>
      </c>
      <c r="R24" s="8">
        <v>43179.708333333299</v>
      </c>
      <c r="S24" s="8">
        <v>43179.708333333299</v>
      </c>
      <c r="T24" s="8">
        <v>43180.375</v>
      </c>
      <c r="U24" s="8">
        <v>43179.708333333299</v>
      </c>
      <c r="V24" s="8">
        <v>43179.708333333299</v>
      </c>
      <c r="W24" s="8">
        <v>43180.375</v>
      </c>
      <c r="X24" s="9">
        <v>1715032.9999173901</v>
      </c>
      <c r="Y24" s="9">
        <v>1715032.9999173901</v>
      </c>
      <c r="Z24" s="9">
        <v>1715032.9999173901</v>
      </c>
      <c r="AA24" s="9">
        <v>1715032.9999173901</v>
      </c>
      <c r="AB24" s="9">
        <v>1715032.9999173901</v>
      </c>
      <c r="AC24" s="9">
        <v>1715032.9999173901</v>
      </c>
      <c r="AD24" s="9">
        <v>1715032.9999173901</v>
      </c>
      <c r="AE24" s="9">
        <v>1715032.9999173901</v>
      </c>
      <c r="AF24" s="20">
        <f t="shared" si="0"/>
        <v>1</v>
      </c>
      <c r="AG24" s="21">
        <f t="shared" si="1"/>
        <v>0.99318788618341503</v>
      </c>
      <c r="AH24" s="20">
        <f t="shared" si="2"/>
        <v>1</v>
      </c>
      <c r="AI24" s="20">
        <f t="shared" si="3"/>
        <v>1</v>
      </c>
      <c r="AJ24" s="20">
        <v>0</v>
      </c>
      <c r="AK24" s="20">
        <v>1</v>
      </c>
      <c r="AL24" s="20">
        <v>1</v>
      </c>
    </row>
    <row r="25" spans="1:38" x14ac:dyDescent="0.35">
      <c r="A25" s="12" t="s">
        <v>444</v>
      </c>
      <c r="B25" s="8">
        <v>43151.708333333299</v>
      </c>
      <c r="C25" s="8">
        <v>43172.708333333299</v>
      </c>
      <c r="D25" s="9">
        <v>1703349.9999227501</v>
      </c>
      <c r="E25" s="9">
        <v>1703349.9999227501</v>
      </c>
      <c r="F25" s="9">
        <v>1715032.9999173901</v>
      </c>
      <c r="G25" s="8">
        <v>43172.708333333299</v>
      </c>
      <c r="H25" s="9">
        <v>0</v>
      </c>
      <c r="I25" s="18">
        <v>1</v>
      </c>
      <c r="J25" s="9">
        <v>-11682.9999946356</v>
      </c>
      <c r="K25" s="18">
        <v>0.99318788618341503</v>
      </c>
      <c r="L25" s="12" t="s">
        <v>264</v>
      </c>
      <c r="M25" s="18">
        <v>1</v>
      </c>
      <c r="N25" s="18">
        <v>1</v>
      </c>
      <c r="O25" s="8">
        <v>43179.708333333299</v>
      </c>
      <c r="P25" s="8">
        <v>43179.708333333299</v>
      </c>
      <c r="Q25" s="8">
        <v>43182.458333333299</v>
      </c>
      <c r="R25" s="8">
        <v>43179.708333333299</v>
      </c>
      <c r="S25" s="8">
        <v>43179.708333333299</v>
      </c>
      <c r="T25" s="8">
        <v>43179.708333333299</v>
      </c>
      <c r="U25" s="8">
        <v>43179.708333333299</v>
      </c>
      <c r="V25" s="8">
        <v>43179.708333333299</v>
      </c>
      <c r="W25" s="8">
        <v>43179.708333333299</v>
      </c>
      <c r="X25" s="9">
        <v>1715032.9999173901</v>
      </c>
      <c r="Y25" s="9">
        <v>1715032.9999173901</v>
      </c>
      <c r="Z25" s="9">
        <v>1715032.9999173901</v>
      </c>
      <c r="AA25" s="9">
        <v>1715032.9999173901</v>
      </c>
      <c r="AB25" s="9">
        <v>1715032.9999173901</v>
      </c>
      <c r="AC25" s="9">
        <v>1715032.9999173901</v>
      </c>
      <c r="AD25" s="9">
        <v>1715032.9999173901</v>
      </c>
      <c r="AE25" s="9">
        <v>1715032.9999173901</v>
      </c>
      <c r="AF25" s="20">
        <f t="shared" si="0"/>
        <v>1</v>
      </c>
      <c r="AG25" s="21">
        <f t="shared" si="1"/>
        <v>0.99318788618341503</v>
      </c>
      <c r="AH25" s="20">
        <f t="shared" si="2"/>
        <v>1</v>
      </c>
      <c r="AI25" s="20">
        <f t="shared" si="3"/>
        <v>1</v>
      </c>
      <c r="AJ25" s="20">
        <v>0</v>
      </c>
      <c r="AK25" s="20">
        <v>1</v>
      </c>
      <c r="AL25" s="20">
        <v>1</v>
      </c>
    </row>
    <row r="28" spans="1:38" x14ac:dyDescent="0.35">
      <c r="A28" s="24"/>
    </row>
    <row r="29" spans="1:38" x14ac:dyDescent="0.35">
      <c r="A29" s="24"/>
    </row>
    <row r="30" spans="1:38" x14ac:dyDescent="0.35">
      <c r="A30" s="24"/>
    </row>
    <row r="31" spans="1:38" x14ac:dyDescent="0.35">
      <c r="A31" s="24"/>
    </row>
    <row r="32" spans="1:38" x14ac:dyDescent="0.35">
      <c r="A32" s="24"/>
    </row>
    <row r="33" spans="1:1" x14ac:dyDescent="0.35">
      <c r="A33" s="24"/>
    </row>
    <row r="34" spans="1:1" x14ac:dyDescent="0.35">
      <c r="A34" s="24"/>
    </row>
    <row r="35" spans="1:1" x14ac:dyDescent="0.35">
      <c r="A35" s="24"/>
    </row>
    <row r="36" spans="1:1" x14ac:dyDescent="0.35">
      <c r="A36" s="24"/>
    </row>
    <row r="37" spans="1:1" x14ac:dyDescent="0.35">
      <c r="A37" s="24"/>
    </row>
    <row r="38" spans="1:1" x14ac:dyDescent="0.35">
      <c r="A38" s="24"/>
    </row>
    <row r="39" spans="1:1" x14ac:dyDescent="0.35">
      <c r="A39" s="24"/>
    </row>
    <row r="40" spans="1:1" x14ac:dyDescent="0.35">
      <c r="A40" s="24"/>
    </row>
    <row r="41" spans="1:1" x14ac:dyDescent="0.35">
      <c r="A41" s="24"/>
    </row>
    <row r="42" spans="1:1" x14ac:dyDescent="0.35">
      <c r="A42" s="24"/>
    </row>
    <row r="43" spans="1:1" x14ac:dyDescent="0.35">
      <c r="A43" s="24"/>
    </row>
    <row r="44" spans="1:1" x14ac:dyDescent="0.35">
      <c r="A44" s="24"/>
    </row>
    <row r="45" spans="1:1" x14ac:dyDescent="0.35">
      <c r="A45" s="24"/>
    </row>
    <row r="46" spans="1:1" x14ac:dyDescent="0.35">
      <c r="A46" s="24"/>
    </row>
    <row r="47" spans="1:1" x14ac:dyDescent="0.35">
      <c r="A47" s="24"/>
    </row>
    <row r="48" spans="1:1" x14ac:dyDescent="0.35">
      <c r="A48" s="24"/>
    </row>
    <row r="49" spans="1:1" x14ac:dyDescent="0.35">
      <c r="A49" s="24"/>
    </row>
    <row r="50" spans="1:1" x14ac:dyDescent="0.35">
      <c r="A50" s="24"/>
    </row>
    <row r="51" spans="1:1" x14ac:dyDescent="0.35">
      <c r="A51" s="24"/>
    </row>
  </sheetData>
  <mergeCells count="3">
    <mergeCell ref="A1:C1"/>
    <mergeCell ref="D1:G1"/>
    <mergeCell ref="H1:N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24C8-3F08-47E6-8DDC-AB25DCEB1B66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CC3D-9CE0-40E4-8271-79F9C27A0990}">
  <dimension ref="A1"/>
  <sheetViews>
    <sheetView workbookViewId="0">
      <selection activeCell="S27" sqref="S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ABC3-7C57-44D3-A7C7-A58942BE0D96}">
  <dimension ref="A1"/>
  <sheetViews>
    <sheetView workbookViewId="0">
      <selection activeCell="S22" sqref="S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48B65-F3AE-40D2-9D69-9A8761407178}">
  <dimension ref="A1"/>
  <sheetViews>
    <sheetView workbookViewId="0">
      <selection activeCell="V20" sqref="V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1DD4-ED24-4487-B4B3-9F911C539633}">
  <dimension ref="A1"/>
  <sheetViews>
    <sheetView workbookViewId="0">
      <selection activeCell="O14" sqref="O14"/>
    </sheetView>
  </sheetViews>
  <sheetFormatPr defaultRowHeight="14.5" x14ac:dyDescent="0.35"/>
  <sheetData>
    <row r="1" spans="1:1" x14ac:dyDescent="0.35">
      <c r="A1" t="s">
        <v>530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8B44-AA08-435C-B73D-413DA06508CD}">
  <dimension ref="A1"/>
  <sheetViews>
    <sheetView workbookViewId="0">
      <selection activeCell="R19" sqref="R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AC25-3116-418E-B5B2-5A87FC28F566}">
  <dimension ref="A1"/>
  <sheetViews>
    <sheetView workbookViewId="0">
      <selection activeCell="R20" sqref="R2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Baseline Schedule</vt:lpstr>
      <vt:lpstr>Gantt chart</vt:lpstr>
      <vt:lpstr>Resources</vt:lpstr>
      <vt:lpstr>Risk Analysis</vt:lpstr>
      <vt:lpstr>Project Control - 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TP11</vt:lpstr>
      <vt:lpstr>TP12</vt:lpstr>
      <vt:lpstr>TP13</vt:lpstr>
      <vt:lpstr>TP14</vt:lpstr>
      <vt:lpstr>TP15</vt:lpstr>
      <vt:lpstr>TP16</vt:lpstr>
      <vt:lpstr>TP17</vt:lpstr>
      <vt:lpstr>TP18</vt:lpstr>
      <vt:lpstr>TP19</vt:lpstr>
      <vt:lpstr>TP20</vt:lpstr>
      <vt:lpstr>TP21</vt:lpstr>
      <vt:lpstr>TP22</vt:lpstr>
      <vt:lpstr>TP23</vt:lpstr>
      <vt:lpstr>Agenda</vt:lpstr>
      <vt:lpstr>Tracking Overview</vt:lpstr>
      <vt:lpstr>AC, EV, PV 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2019-10-29T14:47:10Z</dcterms:created>
  <dcterms:modified xsi:type="dcterms:W3CDTF">2026-08-24T12:49:29Z</dcterms:modified>
</cp:coreProperties>
</file>