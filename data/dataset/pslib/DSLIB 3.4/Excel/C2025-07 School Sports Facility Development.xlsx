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8BA9546A-DCCD-456C-A922-5CDC8B23FCE5}" xr6:coauthVersionLast="47" xr6:coauthVersionMax="47" xr10:uidLastSave="{00000000-0000-0000-0000-000000000000}"/>
  <bookViews>
    <workbookView xWindow="38280" yWindow="-120" windowWidth="29040" windowHeight="15720" tabRatio="772" activeTab="1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31" r:id="rId4"/>
    <sheet name="TP2" sheetId="35" r:id="rId5"/>
    <sheet name="Agend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3" l="1"/>
  <c r="F35" i="3"/>
  <c r="E35" i="3"/>
  <c r="G34" i="3"/>
  <c r="F34" i="3"/>
  <c r="E34" i="3"/>
  <c r="G33" i="3"/>
  <c r="F33" i="3"/>
  <c r="E33" i="3"/>
  <c r="G31" i="3"/>
  <c r="F31" i="3"/>
  <c r="E31" i="3"/>
  <c r="G30" i="3"/>
  <c r="F30" i="3"/>
  <c r="E30" i="3"/>
  <c r="G29" i="3"/>
  <c r="F29" i="3"/>
  <c r="E29" i="3"/>
  <c r="G28" i="3"/>
  <c r="F28" i="3"/>
  <c r="E28" i="3"/>
  <c r="G26" i="3"/>
  <c r="F26" i="3"/>
  <c r="E26" i="3"/>
  <c r="G24" i="3"/>
  <c r="F24" i="3"/>
  <c r="E24" i="3"/>
  <c r="G22" i="3"/>
  <c r="F22" i="3"/>
  <c r="E22" i="3"/>
  <c r="F21" i="3"/>
  <c r="E21" i="3"/>
  <c r="G20" i="3"/>
  <c r="F20" i="3"/>
  <c r="E20" i="3"/>
  <c r="G18" i="3"/>
  <c r="F18" i="3"/>
  <c r="E18" i="3"/>
  <c r="G15" i="3"/>
  <c r="F15" i="3"/>
  <c r="E15" i="3"/>
  <c r="G13" i="3"/>
  <c r="F13" i="3"/>
  <c r="E13" i="3"/>
  <c r="G11" i="3"/>
  <c r="F11" i="3"/>
  <c r="E11" i="3"/>
  <c r="G9" i="3"/>
  <c r="F9" i="3"/>
  <c r="E9" i="3"/>
  <c r="G8" i="3"/>
  <c r="F8" i="3"/>
  <c r="E8" i="3"/>
  <c r="G6" i="3"/>
  <c r="F6" i="3"/>
  <c r="E6" i="3"/>
</calcChain>
</file>

<file path=xl/sharedStrings.xml><?xml version="1.0" encoding="utf-8"?>
<sst xmlns="http://schemas.openxmlformats.org/spreadsheetml/2006/main" count="479" uniqueCount="198">
  <si>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</si>
  <si>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</si>
  <si>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</si>
  <si>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</si>
  <si>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</si>
  <si>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</si>
  <si>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</si>
  <si>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</si>
  <si>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</si>
  <si>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</si>
  <si>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</si>
  <si>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</si>
  <si>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</si>
  <si>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</si>
  <si>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</si>
  <si>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</si>
  <si>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</si>
  <si>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</si>
  <si>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</si>
  <si>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1d</t>
  </si>
  <si>
    <t>4d</t>
  </si>
  <si>
    <t>team subcontractor</t>
  </si>
  <si>
    <t>MOVIMIENTO DE TIERRAS</t>
  </si>
  <si>
    <t>mason</t>
  </si>
  <si>
    <t>carpenter</t>
  </si>
  <si>
    <t>1.2.1</t>
  </si>
  <si>
    <t>2d</t>
  </si>
  <si>
    <t>painter</t>
  </si>
  <si>
    <t>5d</t>
  </si>
  <si>
    <t>3d</t>
  </si>
  <si>
    <t>1.4.1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</si>
  <si>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</si>
  <si>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</si>
  <si>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</si>
  <si>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</si>
  <si>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</si>
  <si>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</si>
  <si>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</si>
  <si>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</si>
  <si>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</si>
  <si>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</si>
  <si>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</si>
  <si>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</si>
  <si>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TP Status Date</t>
  </si>
  <si>
    <t>TP Name</t>
  </si>
  <si>
    <t>Preparation1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</si>
  <si>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</si>
  <si>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</si>
  <si>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</si>
  <si>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</si>
  <si>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</si>
  <si>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</si>
  <si>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</si>
  <si>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</si>
  <si>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</si>
  <si>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</si>
  <si>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</si>
  <si>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</si>
  <si>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</si>
  <si>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</si>
  <si>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</si>
  <si>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</si>
  <si>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</si>
  <si>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</si>
  <si>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</si>
  <si>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</si>
  <si>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</si>
  <si>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</si>
  <si>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</si>
  <si>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</si>
  <si>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</si>
  <si>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</si>
  <si>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</si>
  <si>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</si>
  <si>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</si>
  <si>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</si>
  <si>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</si>
  <si>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</si>
  <si>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</si>
  <si>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</si>
  <si>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</si>
  <si>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</si>
  <si>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</si>
  <si>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</si>
  <si>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</si>
  <si>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</si>
  <si>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</si>
  <si>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</si>
  <si>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</si>
  <si>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</si>
  <si>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</si>
  <si>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</si>
  <si>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</si>
  <si>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</si>
  <si>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</si>
  <si>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6 people</t>
  </si>
  <si>
    <t>3 people</t>
  </si>
  <si>
    <t>TRABAJOS PRELIMINARES</t>
  </si>
  <si>
    <t>carpenter [1,00 #8]</t>
  </si>
  <si>
    <t>team subcontractor[2,00 #8]</t>
  </si>
  <si>
    <t>mason [2,00 #8]</t>
  </si>
  <si>
    <t>steel worker [1,00 #8]</t>
  </si>
  <si>
    <t>team subcontractor[1,00 #8]</t>
  </si>
  <si>
    <t>steel worker</t>
  </si>
  <si>
    <t>1.3.1</t>
  </si>
  <si>
    <t>12 people</t>
  </si>
  <si>
    <t>1.5.1</t>
  </si>
  <si>
    <t>plumber</t>
  </si>
  <si>
    <t>plumber [1,00 #8]</t>
  </si>
  <si>
    <t>7 people</t>
  </si>
  <si>
    <t>16 people</t>
  </si>
  <si>
    <t>8 people</t>
  </si>
  <si>
    <t>OBRAS DE CONCRETO ARMADO</t>
  </si>
  <si>
    <t xml:space="preserve">electrician </t>
  </si>
  <si>
    <t>7d</t>
  </si>
  <si>
    <t>INSTALACIÓN DE GRASS SINTÉTICO</t>
  </si>
  <si>
    <t>OBRAS PROVISIONALES</t>
  </si>
  <si>
    <t>CARTEL DE OBRA 3.60M X 2.40M</t>
  </si>
  <si>
    <t>SEGURIDAD Y SALUD EN EL TRABAJO</t>
  </si>
  <si>
    <t>EQUIPO DE PROTECCION INDIVIDUAL</t>
  </si>
  <si>
    <t>SEÑALIZACIÓN TEMPORAL DE SEGURIDAD</t>
  </si>
  <si>
    <t>TRAZO, NIVELACION Y REPLANTEO</t>
  </si>
  <si>
    <t>REFINE, NIVELACIÓN Y COMPACTACIÓN</t>
  </si>
  <si>
    <t>SUMINISTRO E INSTALACIÓN DE GRASS SINTÉTICO</t>
  </si>
  <si>
    <t>SUMINISTRO Y COLOCACIÓN DE GRASS SINTETICO 30MM</t>
  </si>
  <si>
    <t>RAMPA DE CONCRETO</t>
  </si>
  <si>
    <t>MOVIMIENTO DE TIERRA</t>
  </si>
  <si>
    <t>RELLENO COMPACTADO CON MATERIAL DE PRESTAMO</t>
  </si>
  <si>
    <t>ENCOFRADO Y DESENCOFRADO EN RAMPAS</t>
  </si>
  <si>
    <t>CONCRETO PARA RAMPA F´C=175 KG/CM2</t>
  </si>
  <si>
    <t>ACERO DE REFUERZO F´Y = 4200 KG/CM2</t>
  </si>
  <si>
    <t>JUNTA EN RAMPAS</t>
  </si>
  <si>
    <t>PASAMANOS DE TUBO GALVANIZADO</t>
  </si>
  <si>
    <t>PASAMANOS DE TUBO GALVANIZADO 2"</t>
  </si>
  <si>
    <t>IMPLEMENTACION CON MOBILIARIO</t>
  </si>
  <si>
    <t>MESA PENTAGONAL R=60CM ALTO 48CM</t>
  </si>
  <si>
    <t>SILLAS 27CM ALTO X 32.20CM ANCHO CON ESPALDAR 52.35CM</t>
  </si>
  <si>
    <t>ESCRITORIO 100CMX75CMX60CM CON 02 CAJONES</t>
  </si>
  <si>
    <t>SILLAS 46CM ALTO X 42.20CM ANCHO CON ESPALDAR 86CM</t>
  </si>
  <si>
    <t>IMPLEMENTACION CON EQUIPOS DE USO EDUCATIVO</t>
  </si>
  <si>
    <t>EQUIPO DE COMPUTO CORE I5 MEMORIA RAM 4GB MONITOR 23" + IMPRESORA</t>
  </si>
  <si>
    <t>PARLANTE TORRE BLUETOOH 80 W</t>
  </si>
  <si>
    <t>TV 45"</t>
  </si>
  <si>
    <t>1.1</t>
  </si>
  <si>
    <t>1.2</t>
  </si>
  <si>
    <t>1.2.2</t>
  </si>
  <si>
    <t>1.3</t>
  </si>
  <si>
    <t>1.4</t>
  </si>
  <si>
    <t>1.5</t>
  </si>
  <si>
    <t>2</t>
  </si>
  <si>
    <t>2.1</t>
  </si>
  <si>
    <t>2.1.1</t>
  </si>
  <si>
    <t>2.2</t>
  </si>
  <si>
    <t>2.2.1</t>
  </si>
  <si>
    <t>2.2.2</t>
  </si>
  <si>
    <t>2.2.3</t>
  </si>
  <si>
    <t>2.3</t>
  </si>
  <si>
    <t>2.3.1</t>
  </si>
  <si>
    <t>1.2.4</t>
  </si>
  <si>
    <t>1.2.4.1</t>
  </si>
  <si>
    <t>3</t>
  </si>
  <si>
    <t>3.1</t>
  </si>
  <si>
    <t>3.2</t>
  </si>
  <si>
    <t>3.3</t>
  </si>
  <si>
    <t>3.4</t>
  </si>
  <si>
    <t>4</t>
  </si>
  <si>
    <t>4.1</t>
  </si>
  <si>
    <t>4.2</t>
  </si>
  <si>
    <t>4.3</t>
  </si>
  <si>
    <t>PROYECTO  RECURSO EDUCATIVO QUE FACULTAN AL APRENDIZAJE - IMPLEMENTACIÓN</t>
  </si>
  <si>
    <t>15d</t>
  </si>
  <si>
    <t>6d</t>
  </si>
  <si>
    <t>Concrete</t>
  </si>
  <si>
    <t>FS6;FS9;FS26;FS27;FS28;FS29</t>
  </si>
  <si>
    <t>4FS</t>
  </si>
  <si>
    <t>FS7</t>
  </si>
  <si>
    <t>6FS</t>
  </si>
  <si>
    <t>FS9</t>
  </si>
  <si>
    <t>FS11</t>
  </si>
  <si>
    <t>9FS</t>
  </si>
  <si>
    <t>FS13;FS18</t>
  </si>
  <si>
    <t>11FS</t>
  </si>
  <si>
    <t>FS16</t>
  </si>
  <si>
    <t>13FS;18FS</t>
  </si>
  <si>
    <t>FS20</t>
  </si>
  <si>
    <t>20FS</t>
  </si>
  <si>
    <t>FS22;FS24</t>
  </si>
  <si>
    <t>16FS</t>
  </si>
  <si>
    <t>FS19</t>
  </si>
  <si>
    <t>19FS</t>
  </si>
  <si>
    <t>FS24</t>
  </si>
  <si>
    <t>FS26</t>
  </si>
  <si>
    <t>4FS;24FS</t>
  </si>
  <si>
    <t>FS31;FS32;FS33</t>
  </si>
  <si>
    <t>26FS</t>
  </si>
  <si>
    <t>4FS;7FS</t>
  </si>
  <si>
    <t>19FS;22FS</t>
  </si>
  <si>
    <t>4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</si>
</sst>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&quot; €&quot;;\-#,##0.00&quot; €&quot;"/>
    <numFmt numFmtId="165" formatCode="dd/mm/yyyy\ h:mm"/>
    <numFmt numFmtId="166" formatCode="#,##0.00\€"/>
    <numFmt numFmtId="167" formatCode="#,##0.00\ &quot;€&quot;;[Red]#,##0.00\ &quot;€&quot;"/>
    <numFmt numFmtId="168" formatCode="#,##0.00&quot;€&quot;;\-#,##0.00&quot;\€&quot;"/>
    <numFmt numFmtId="169" formatCode="dd/mm/yyyy\ &quot;08:00&quot;"/>
    <numFmt numFmtId="170" formatCode="dd/mm/yyyy\ &quot;8:00&quot;"/>
  </numFmts>
  <fonts count="13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  <fill>
      <patternFill patternType="solid">
        <fgColor theme="6"/>
        <b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43" fontId="4" fillId="0" borderId="0" applyFont="0" applyFill="0" applyBorder="0" applyAlignment="0" applyProtection="0"/>
  </cellStyleXfs>
  <cellXfs count="55">
    <xf numFmtId="0" fontId="0" fillId="0" borderId="0" xfId="0"/>
    <xf numFmtId="0" fontId="5" fillId="7" borderId="5" xfId="0" applyFont="1" applyFill="1" applyBorder="1" applyAlignment="1">
      <alignment horizontal="center" vertical="top" wrapText="1"/>
    </xf>
    <xf numFmtId="0" fontId="5" fillId="7" borderId="5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left" vertical="top" wrapText="1"/>
    </xf>
    <xf numFmtId="164" fontId="6" fillId="9" borderId="5" xfId="0" applyNumberFormat="1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right" vertical="top" wrapText="1"/>
    </xf>
    <xf numFmtId="0" fontId="7" fillId="8" borderId="5" xfId="0" applyFont="1" applyFill="1" applyBorder="1" applyAlignment="1">
      <alignment horizontal="left" vertical="top" wrapText="1"/>
    </xf>
    <xf numFmtId="0" fontId="6" fillId="8" borderId="6" xfId="0" applyFont="1" applyFill="1" applyBorder="1" applyAlignment="1">
      <alignment horizontal="left" vertical="top"/>
    </xf>
    <xf numFmtId="0" fontId="6" fillId="8" borderId="7" xfId="0" applyFont="1" applyFill="1" applyBorder="1" applyAlignment="1">
      <alignment horizontal="left" vertical="top" wrapText="1"/>
    </xf>
    <xf numFmtId="0" fontId="8" fillId="0" borderId="0" xfId="0" applyFont="1"/>
    <xf numFmtId="0" fontId="9" fillId="0" borderId="0" xfId="1" applyFont="1"/>
    <xf numFmtId="0" fontId="5" fillId="2" borderId="3" xfId="1" applyFont="1" applyFill="1" applyBorder="1" applyAlignment="1">
      <alignment wrapText="1"/>
    </xf>
    <xf numFmtId="0" fontId="6" fillId="3" borderId="4" xfId="2" applyFont="1" applyFill="1" applyBorder="1" applyAlignment="1">
      <alignment horizontal="left" vertical="top" wrapText="1"/>
    </xf>
    <xf numFmtId="0" fontId="7" fillId="4" borderId="3" xfId="1" applyFont="1" applyFill="1" applyBorder="1" applyAlignment="1">
      <alignment wrapText="1"/>
    </xf>
    <xf numFmtId="0" fontId="7" fillId="5" borderId="3" xfId="1" applyFont="1" applyFill="1" applyBorder="1" applyAlignment="1">
      <alignment wrapText="1"/>
    </xf>
    <xf numFmtId="14" fontId="10" fillId="6" borderId="3" xfId="2" applyNumberFormat="1" applyFont="1" applyFill="1" applyBorder="1" applyAlignment="1">
      <alignment wrapText="1"/>
    </xf>
    <xf numFmtId="0" fontId="7" fillId="0" borderId="0" xfId="1" applyFont="1"/>
    <xf numFmtId="166" fontId="6" fillId="8" borderId="5" xfId="3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wrapText="1"/>
    </xf>
    <xf numFmtId="0" fontId="7" fillId="10" borderId="3" xfId="0" applyFont="1" applyFill="1" applyBorder="1" applyAlignment="1">
      <alignment wrapText="1"/>
    </xf>
    <xf numFmtId="165" fontId="7" fillId="11" borderId="3" xfId="0" applyNumberFormat="1" applyFont="1" applyFill="1" applyBorder="1" applyAlignment="1">
      <alignment wrapText="1"/>
    </xf>
    <xf numFmtId="166" fontId="7" fillId="11" borderId="3" xfId="0" applyNumberFormat="1" applyFont="1" applyFill="1" applyBorder="1" applyAlignment="1">
      <alignment wrapText="1"/>
    </xf>
    <xf numFmtId="166" fontId="7" fillId="5" borderId="3" xfId="0" applyNumberFormat="1" applyFont="1" applyFill="1" applyBorder="1" applyAlignment="1">
      <alignment wrapText="1"/>
    </xf>
    <xf numFmtId="0" fontId="7" fillId="12" borderId="3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11" borderId="3" xfId="0" applyFont="1" applyFill="1" applyBorder="1" applyAlignment="1">
      <alignment wrapText="1"/>
    </xf>
    <xf numFmtId="166" fontId="7" fillId="10" borderId="3" xfId="0" applyNumberFormat="1" applyFont="1" applyFill="1" applyBorder="1" applyAlignment="1">
      <alignment wrapText="1"/>
    </xf>
    <xf numFmtId="0" fontId="6" fillId="13" borderId="5" xfId="0" applyFont="1" applyFill="1" applyBorder="1" applyAlignment="1">
      <alignment horizontal="right" vertical="top" wrapText="1"/>
    </xf>
    <xf numFmtId="0" fontId="6" fillId="13" borderId="5" xfId="0" applyFont="1" applyFill="1" applyBorder="1" applyAlignment="1">
      <alignment horizontal="left" vertical="top" wrapText="1"/>
    </xf>
    <xf numFmtId="164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top" wrapText="1"/>
    </xf>
    <xf numFmtId="167" fontId="6" fillId="13" borderId="5" xfId="0" applyNumberFormat="1" applyFont="1" applyFill="1" applyBorder="1" applyAlignment="1">
      <alignment horizontal="left" vertical="top" wrapText="1"/>
    </xf>
    <xf numFmtId="168" fontId="6" fillId="13" borderId="5" xfId="0" applyNumberFormat="1" applyFont="1" applyFill="1" applyBorder="1" applyAlignment="1">
      <alignment horizontal="left" vertical="top" wrapText="1"/>
    </xf>
    <xf numFmtId="0" fontId="6" fillId="13" borderId="5" xfId="0" applyFont="1" applyFill="1" applyBorder="1" applyAlignment="1">
      <alignment horizontal="center" vertical="center" wrapText="1"/>
    </xf>
    <xf numFmtId="22" fontId="6" fillId="13" borderId="5" xfId="0" applyNumberFormat="1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center" wrapText="1"/>
    </xf>
    <xf numFmtId="9" fontId="7" fillId="5" borderId="3" xfId="0" applyNumberFormat="1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left" vertical="top" wrapText="1"/>
    </xf>
    <xf numFmtId="0" fontId="6" fillId="14" borderId="5" xfId="0" applyFont="1" applyFill="1" applyBorder="1" applyAlignment="1">
      <alignment horizontal="left" vertical="top" wrapText="1"/>
    </xf>
    <xf numFmtId="0" fontId="6" fillId="8" borderId="5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169" fontId="7" fillId="5" borderId="3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0" fontId="6" fillId="1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7" fillId="10" borderId="3" xfId="0" applyNumberFormat="1" applyFont="1" applyFill="1" applyBorder="1" applyAlignment="1">
      <alignment horizontal="center" vertical="center" wrapText="1"/>
    </xf>
    <xf numFmtId="1" fontId="7" fillId="10" borderId="3" xfId="0" applyNumberFormat="1" applyFont="1" applyFill="1" applyBorder="1" applyAlignment="1">
      <alignment wrapText="1"/>
    </xf>
    <xf numFmtId="0" fontId="6" fillId="15" borderId="5" xfId="0" applyFont="1" applyFill="1" applyBorder="1" applyAlignment="1">
      <alignment horizontal="center" vertical="center" wrapText="1"/>
    </xf>
    <xf numFmtId="170" fontId="7" fillId="5" borderId="3" xfId="0" applyNumberFormat="1" applyFont="1" applyFill="1" applyBorder="1" applyAlignment="1">
      <alignment horizontal="center" wrapText="1"/>
    </xf>
    <xf numFmtId="169" fontId="6" fillId="13" borderId="5" xfId="0" applyNumberFormat="1" applyFont="1" applyFill="1" applyBorder="1" applyAlignment="1">
      <alignment horizontal="left" vertical="top" wrapText="1"/>
    </xf>
    <xf numFmtId="0" fontId="1" fillId="0" borderId="0" xfId="1" applyFont="1"/>
    <xf numFmtId="0" fontId="5" fillId="7" borderId="5" xfId="0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wrapText="1"/>
    </xf>
    <xf numFmtId="0" fontId="5" fillId="2" borderId="2" xfId="1" applyFont="1" applyFill="1" applyBorder="1" applyAlignment="1">
      <alignment wrapText="1"/>
    </xf>
    <xf numFmtId="0" fontId="5" fillId="2" borderId="3" xfId="1" applyFont="1" applyFill="1" applyBorder="1" applyAlignment="1">
      <alignment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Normal="100" workbookViewId="0">
      <selection activeCell="I14" sqref="I14"/>
    </sheetView>
  </sheetViews>
  <sheetFormatPr defaultColWidth="8.83203125" defaultRowHeight="15.5" x14ac:dyDescent="0.35"/>
  <cols>
    <col min="1" max="1" width="5.58203125" customWidth="1"/>
    <col min="2" max="2" width="42.58203125" customWidth="1"/>
    <col min="3" max="3" width="8" customWidth="1"/>
    <col min="4" max="4" width="11.33203125" customWidth="1"/>
    <col min="5" max="5" width="13.58203125" customWidth="1"/>
    <col min="6" max="6" width="16.08203125" customWidth="1"/>
    <col min="7" max="7" width="15.08203125" customWidth="1"/>
    <col min="8" max="8" width="7.08203125" customWidth="1"/>
    <col min="9" max="9" width="19.33203125" customWidth="1"/>
    <col min="10" max="10" width="18" customWidth="1"/>
    <col min="11" max="11" width="10.08203125" customWidth="1"/>
    <col min="12" max="12" width="6.83203125" customWidth="1"/>
    <col min="13" max="13" width="9.83203125" customWidth="1"/>
    <col min="14" max="14" width="11.58203125" customWidth="1"/>
    <col min="15" max="15" width="1.83203125" customWidth="1"/>
  </cols>
  <sheetData>
    <row r="1" spans="1:17" ht="15" customHeight="1" x14ac:dyDescent="0.35">
      <c r="A1" s="51" t="s">
        <v>0</v>
      </c>
      <c r="B1" s="51"/>
      <c r="C1" s="51"/>
      <c r="D1" s="51" t="s">
        <v>1</v>
      </c>
      <c r="E1" s="51"/>
      <c r="F1" s="51" t="s">
        <v>2</v>
      </c>
      <c r="G1" s="51"/>
      <c r="H1" s="51"/>
      <c r="I1" s="51" t="s">
        <v>3</v>
      </c>
      <c r="J1" s="51"/>
      <c r="K1" s="51" t="s">
        <v>4</v>
      </c>
      <c r="L1" s="51"/>
      <c r="M1" s="51"/>
      <c r="N1" s="51"/>
    </row>
    <row r="2" spans="1:17" ht="24.6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9</v>
      </c>
      <c r="F2" s="2" t="s">
        <v>10</v>
      </c>
      <c r="G2" s="2" t="s">
        <v>11</v>
      </c>
      <c r="H2" s="2" t="s">
        <v>12</v>
      </c>
      <c r="I2" s="2" t="s">
        <v>3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7" ht="21" x14ac:dyDescent="0.35">
      <c r="A3" s="39">
        <v>1</v>
      </c>
      <c r="B3" s="38" t="s">
        <v>169</v>
      </c>
      <c r="C3" s="43">
        <v>1</v>
      </c>
      <c r="D3" s="28"/>
      <c r="E3" s="28"/>
      <c r="F3" s="34"/>
      <c r="G3" s="28"/>
      <c r="H3" s="28"/>
      <c r="I3" s="28"/>
      <c r="J3" s="28"/>
      <c r="K3" s="32"/>
      <c r="L3" s="28"/>
      <c r="M3" s="32"/>
      <c r="N3" s="29"/>
    </row>
    <row r="4" spans="1:17" ht="27" customHeight="1" x14ac:dyDescent="0.35">
      <c r="A4" s="39">
        <v>2</v>
      </c>
      <c r="B4" s="38" t="s">
        <v>115</v>
      </c>
      <c r="C4" s="43">
        <v>1</v>
      </c>
      <c r="D4" s="33"/>
      <c r="E4" s="33"/>
      <c r="F4" s="34"/>
      <c r="G4" s="28"/>
      <c r="H4" s="28"/>
      <c r="I4" s="28"/>
      <c r="J4" s="28"/>
      <c r="K4" s="32"/>
      <c r="L4" s="28"/>
      <c r="M4" s="32"/>
      <c r="N4" s="29"/>
    </row>
    <row r="5" spans="1:17" x14ac:dyDescent="0.35">
      <c r="A5" s="39">
        <v>3</v>
      </c>
      <c r="B5" s="38" t="s">
        <v>116</v>
      </c>
      <c r="C5" s="43" t="s">
        <v>143</v>
      </c>
      <c r="D5" s="33"/>
      <c r="E5" s="33"/>
      <c r="F5" s="34"/>
      <c r="G5" s="28"/>
      <c r="H5" s="28"/>
      <c r="I5" s="28"/>
      <c r="J5" s="28"/>
      <c r="K5" s="32"/>
      <c r="L5" s="28"/>
      <c r="M5" s="32"/>
      <c r="N5" s="29"/>
      <c r="Q5" s="24"/>
    </row>
    <row r="6" spans="1:17" ht="21" x14ac:dyDescent="0.35">
      <c r="A6" s="40">
        <v>4</v>
      </c>
      <c r="B6" s="37" t="s">
        <v>117</v>
      </c>
      <c r="C6" s="47" t="s">
        <v>18</v>
      </c>
      <c r="D6" s="35"/>
      <c r="E6" s="35" t="s">
        <v>173</v>
      </c>
      <c r="F6" s="48">
        <v>45139</v>
      </c>
      <c r="G6" s="21"/>
      <c r="H6" s="18" t="s">
        <v>26</v>
      </c>
      <c r="I6" s="19" t="s">
        <v>108</v>
      </c>
      <c r="J6" s="21"/>
      <c r="K6" s="22">
        <v>1082.33</v>
      </c>
      <c r="L6" s="21"/>
      <c r="M6" s="22">
        <v>0</v>
      </c>
      <c r="N6" s="21"/>
      <c r="Q6" s="24"/>
    </row>
    <row r="7" spans="1:17" x14ac:dyDescent="0.35">
      <c r="A7" s="39">
        <v>5</v>
      </c>
      <c r="B7" s="38" t="s">
        <v>118</v>
      </c>
      <c r="C7" s="43" t="s">
        <v>144</v>
      </c>
      <c r="D7" s="34"/>
      <c r="E7" s="34"/>
      <c r="F7" s="34"/>
      <c r="G7" s="28"/>
      <c r="H7" s="28"/>
      <c r="I7" s="28"/>
      <c r="J7" s="28"/>
      <c r="K7" s="32"/>
      <c r="L7" s="28"/>
      <c r="M7" s="32"/>
      <c r="N7" s="29"/>
      <c r="Q7" s="24"/>
    </row>
    <row r="8" spans="1:17" x14ac:dyDescent="0.35">
      <c r="A8" s="40">
        <v>6</v>
      </c>
      <c r="B8" s="37" t="s">
        <v>119</v>
      </c>
      <c r="C8" s="47" t="s">
        <v>25</v>
      </c>
      <c r="D8" s="35" t="s">
        <v>174</v>
      </c>
      <c r="E8" s="35" t="s">
        <v>175</v>
      </c>
      <c r="F8" s="48">
        <v>45141</v>
      </c>
      <c r="G8" s="21"/>
      <c r="H8" s="18" t="s">
        <v>26</v>
      </c>
      <c r="I8" s="19" t="s">
        <v>108</v>
      </c>
      <c r="J8" s="21"/>
      <c r="K8" s="22">
        <v>1816</v>
      </c>
      <c r="L8" s="21"/>
      <c r="M8" s="22">
        <v>0</v>
      </c>
      <c r="N8" s="21"/>
    </row>
    <row r="9" spans="1:17" x14ac:dyDescent="0.35">
      <c r="A9" s="40">
        <v>7</v>
      </c>
      <c r="B9" s="37" t="s">
        <v>120</v>
      </c>
      <c r="C9" s="47" t="s">
        <v>145</v>
      </c>
      <c r="D9" s="35" t="s">
        <v>176</v>
      </c>
      <c r="E9" s="35" t="s">
        <v>177</v>
      </c>
      <c r="F9" s="48">
        <v>45143</v>
      </c>
      <c r="G9" s="21"/>
      <c r="H9" s="18" t="s">
        <v>26</v>
      </c>
      <c r="I9" s="19" t="s">
        <v>98</v>
      </c>
      <c r="J9" s="21"/>
      <c r="K9" s="22">
        <v>188</v>
      </c>
      <c r="L9" s="21"/>
      <c r="M9" s="22">
        <v>0</v>
      </c>
      <c r="N9" s="21"/>
      <c r="Q9" s="24"/>
    </row>
    <row r="10" spans="1:17" x14ac:dyDescent="0.35">
      <c r="A10" s="39">
        <v>8</v>
      </c>
      <c r="B10" s="38" t="s">
        <v>97</v>
      </c>
      <c r="C10" s="43" t="s">
        <v>146</v>
      </c>
      <c r="D10" s="33"/>
      <c r="E10" s="34"/>
      <c r="F10" s="34"/>
      <c r="G10" s="28"/>
      <c r="H10" s="28"/>
      <c r="I10" s="28"/>
      <c r="J10" s="28"/>
      <c r="K10" s="32"/>
      <c r="L10" s="28"/>
      <c r="M10" s="32"/>
      <c r="N10" s="29"/>
    </row>
    <row r="11" spans="1:17" x14ac:dyDescent="0.35">
      <c r="A11" s="40">
        <v>9</v>
      </c>
      <c r="B11" s="37" t="s">
        <v>121</v>
      </c>
      <c r="C11" s="47" t="s">
        <v>104</v>
      </c>
      <c r="D11" s="35" t="s">
        <v>195</v>
      </c>
      <c r="E11" s="35" t="s">
        <v>178</v>
      </c>
      <c r="F11" s="48">
        <v>45144</v>
      </c>
      <c r="G11" s="21"/>
      <c r="H11" s="18" t="s">
        <v>29</v>
      </c>
      <c r="I11" s="19" t="s">
        <v>98</v>
      </c>
      <c r="J11" s="21"/>
      <c r="K11" s="22">
        <v>2908</v>
      </c>
      <c r="L11" s="21"/>
      <c r="M11" s="22">
        <v>0</v>
      </c>
      <c r="N11" s="21"/>
      <c r="Q11" s="24"/>
    </row>
    <row r="12" spans="1:17" x14ac:dyDescent="0.35">
      <c r="A12" s="39">
        <v>10</v>
      </c>
      <c r="B12" s="38" t="s">
        <v>22</v>
      </c>
      <c r="C12" s="43" t="s">
        <v>147</v>
      </c>
      <c r="D12" s="33"/>
      <c r="E12" s="34"/>
      <c r="F12" s="34"/>
      <c r="G12" s="28"/>
      <c r="H12" s="28"/>
      <c r="I12" s="28"/>
      <c r="J12" s="28"/>
      <c r="K12" s="32"/>
      <c r="L12" s="28"/>
      <c r="M12" s="32"/>
      <c r="N12" s="29"/>
      <c r="Q12" s="24"/>
    </row>
    <row r="13" spans="1:17" x14ac:dyDescent="0.35">
      <c r="A13" s="40">
        <v>11</v>
      </c>
      <c r="B13" s="37" t="s">
        <v>122</v>
      </c>
      <c r="C13" s="47" t="s">
        <v>30</v>
      </c>
      <c r="D13" s="35" t="s">
        <v>179</v>
      </c>
      <c r="E13" s="35" t="s">
        <v>180</v>
      </c>
      <c r="F13" s="48">
        <v>45147</v>
      </c>
      <c r="G13" s="21"/>
      <c r="H13" s="18" t="s">
        <v>20</v>
      </c>
      <c r="I13" s="19" t="s">
        <v>108</v>
      </c>
      <c r="J13" s="21"/>
      <c r="K13" s="22">
        <v>4060</v>
      </c>
      <c r="L13" s="21"/>
      <c r="M13" s="22">
        <v>0</v>
      </c>
      <c r="N13" s="21"/>
      <c r="Q13" s="24"/>
    </row>
    <row r="14" spans="1:17" x14ac:dyDescent="0.35">
      <c r="A14" s="39">
        <v>12</v>
      </c>
      <c r="B14" s="38" t="s">
        <v>123</v>
      </c>
      <c r="C14" s="43" t="s">
        <v>148</v>
      </c>
      <c r="D14" s="33"/>
      <c r="E14" s="34"/>
      <c r="F14" s="34"/>
      <c r="G14" s="28"/>
      <c r="H14" s="28"/>
      <c r="I14" s="28"/>
      <c r="J14" s="28"/>
      <c r="K14" s="32"/>
      <c r="L14" s="28"/>
      <c r="M14" s="32"/>
      <c r="N14" s="29"/>
      <c r="Q14" s="24"/>
    </row>
    <row r="15" spans="1:17" x14ac:dyDescent="0.35">
      <c r="A15" s="40">
        <v>13</v>
      </c>
      <c r="B15" s="37" t="s">
        <v>124</v>
      </c>
      <c r="C15" s="47" t="s">
        <v>106</v>
      </c>
      <c r="D15" s="35" t="s">
        <v>181</v>
      </c>
      <c r="E15" s="35" t="s">
        <v>182</v>
      </c>
      <c r="F15" s="48">
        <v>45166</v>
      </c>
      <c r="G15" s="21"/>
      <c r="H15" s="18" t="s">
        <v>170</v>
      </c>
      <c r="I15" s="19" t="s">
        <v>99</v>
      </c>
      <c r="J15" s="21"/>
      <c r="K15" s="22">
        <v>15750</v>
      </c>
      <c r="L15" s="21"/>
      <c r="M15" s="22">
        <v>0</v>
      </c>
      <c r="N15" s="21"/>
    </row>
    <row r="16" spans="1:17" x14ac:dyDescent="0.35">
      <c r="A16" s="39">
        <v>14</v>
      </c>
      <c r="B16" s="38" t="s">
        <v>125</v>
      </c>
      <c r="C16" s="43" t="s">
        <v>149</v>
      </c>
      <c r="D16" s="33"/>
      <c r="E16" s="34"/>
      <c r="F16" s="34"/>
      <c r="G16" s="28"/>
      <c r="H16" s="28"/>
      <c r="I16" s="28"/>
      <c r="J16" s="28"/>
      <c r="K16" s="32"/>
      <c r="L16" s="28"/>
      <c r="M16" s="32"/>
      <c r="N16" s="29"/>
      <c r="Q16" s="24"/>
    </row>
    <row r="17" spans="1:17" x14ac:dyDescent="0.35">
      <c r="A17" s="39">
        <v>15</v>
      </c>
      <c r="B17" s="38" t="s">
        <v>126</v>
      </c>
      <c r="C17" s="43" t="s">
        <v>150</v>
      </c>
      <c r="D17" s="33"/>
      <c r="E17" s="34"/>
      <c r="F17" s="34"/>
      <c r="G17" s="28"/>
      <c r="H17" s="28"/>
      <c r="I17" s="28"/>
      <c r="J17" s="28"/>
      <c r="K17" s="32"/>
      <c r="L17" s="28"/>
      <c r="M17" s="32"/>
      <c r="N17" s="29"/>
      <c r="Q17" s="24"/>
    </row>
    <row r="18" spans="1:17" x14ac:dyDescent="0.35">
      <c r="A18" s="40">
        <v>16</v>
      </c>
      <c r="B18" s="37" t="s">
        <v>127</v>
      </c>
      <c r="C18" s="47" t="s">
        <v>151</v>
      </c>
      <c r="D18" s="35" t="s">
        <v>183</v>
      </c>
      <c r="E18" s="35" t="s">
        <v>184</v>
      </c>
      <c r="F18" s="48">
        <v>45159</v>
      </c>
      <c r="G18" s="21"/>
      <c r="H18" s="18" t="s">
        <v>28</v>
      </c>
      <c r="I18" s="19" t="s">
        <v>108</v>
      </c>
      <c r="J18" s="21"/>
      <c r="K18" s="22">
        <v>383.7</v>
      </c>
      <c r="L18" s="21"/>
      <c r="M18" s="22">
        <v>0</v>
      </c>
      <c r="N18" s="21"/>
      <c r="Q18" s="24"/>
    </row>
    <row r="19" spans="1:17" x14ac:dyDescent="0.35">
      <c r="A19" s="39">
        <v>17</v>
      </c>
      <c r="B19" s="38" t="s">
        <v>112</v>
      </c>
      <c r="C19" s="43" t="s">
        <v>152</v>
      </c>
      <c r="D19" s="34"/>
      <c r="E19" s="34"/>
      <c r="F19" s="34"/>
      <c r="G19" s="28"/>
      <c r="H19" s="28"/>
      <c r="I19" s="28"/>
      <c r="J19" s="28"/>
      <c r="K19" s="32"/>
      <c r="L19" s="28"/>
      <c r="M19" s="32"/>
      <c r="N19" s="29"/>
      <c r="Q19" s="24"/>
    </row>
    <row r="20" spans="1:17" x14ac:dyDescent="0.35">
      <c r="A20" s="40">
        <v>18</v>
      </c>
      <c r="B20" s="37" t="s">
        <v>128</v>
      </c>
      <c r="C20" s="47" t="s">
        <v>153</v>
      </c>
      <c r="D20" s="35" t="s">
        <v>181</v>
      </c>
      <c r="E20" s="35" t="s">
        <v>182</v>
      </c>
      <c r="F20" s="48">
        <v>45152</v>
      </c>
      <c r="G20" s="21"/>
      <c r="H20" s="18" t="s">
        <v>114</v>
      </c>
      <c r="I20" s="19" t="s">
        <v>100</v>
      </c>
      <c r="J20" s="21"/>
      <c r="K20" s="22">
        <v>145.76</v>
      </c>
      <c r="L20" s="21"/>
      <c r="M20" s="22">
        <v>0</v>
      </c>
      <c r="N20" s="21"/>
      <c r="Q20" s="24"/>
    </row>
    <row r="21" spans="1:17" x14ac:dyDescent="0.35">
      <c r="A21" s="40">
        <v>19</v>
      </c>
      <c r="B21" s="37" t="s">
        <v>129</v>
      </c>
      <c r="C21" s="47" t="s">
        <v>154</v>
      </c>
      <c r="D21" s="35" t="s">
        <v>185</v>
      </c>
      <c r="E21" s="35" t="s">
        <v>186</v>
      </c>
      <c r="F21" s="48">
        <v>45168</v>
      </c>
      <c r="G21" s="21"/>
      <c r="H21" s="18" t="s">
        <v>171</v>
      </c>
      <c r="I21" s="19" t="s">
        <v>99</v>
      </c>
      <c r="J21" s="21"/>
      <c r="K21" s="22">
        <v>1629</v>
      </c>
      <c r="L21" s="21"/>
      <c r="M21" s="22">
        <v>0</v>
      </c>
      <c r="N21" s="21"/>
    </row>
    <row r="22" spans="1:17" x14ac:dyDescent="0.35">
      <c r="A22" s="40">
        <v>20</v>
      </c>
      <c r="B22" s="37" t="s">
        <v>130</v>
      </c>
      <c r="C22" s="47" t="s">
        <v>155</v>
      </c>
      <c r="D22" s="35" t="s">
        <v>187</v>
      </c>
      <c r="E22" s="35" t="s">
        <v>188</v>
      </c>
      <c r="F22" s="48">
        <v>45164</v>
      </c>
      <c r="G22" s="21"/>
      <c r="H22" s="18" t="s">
        <v>20</v>
      </c>
      <c r="I22" s="19" t="s">
        <v>98</v>
      </c>
      <c r="J22" s="21"/>
      <c r="K22" s="22">
        <v>1181</v>
      </c>
      <c r="L22" s="21"/>
      <c r="M22" s="22">
        <v>0</v>
      </c>
      <c r="N22" s="21"/>
      <c r="Q22" s="24"/>
    </row>
    <row r="23" spans="1:17" x14ac:dyDescent="0.35">
      <c r="A23" s="39">
        <v>21</v>
      </c>
      <c r="B23" s="38" t="s">
        <v>131</v>
      </c>
      <c r="C23" s="43" t="s">
        <v>156</v>
      </c>
      <c r="D23" s="33"/>
      <c r="E23" s="34"/>
      <c r="F23" s="34"/>
      <c r="G23" s="28"/>
      <c r="H23" s="28"/>
      <c r="I23" s="28"/>
      <c r="J23" s="28"/>
      <c r="K23" s="32"/>
      <c r="L23" s="28"/>
      <c r="M23" s="32"/>
      <c r="N23" s="29"/>
      <c r="Q23" s="24"/>
    </row>
    <row r="24" spans="1:17" x14ac:dyDescent="0.35">
      <c r="A24" s="40">
        <v>22</v>
      </c>
      <c r="B24" s="37" t="s">
        <v>131</v>
      </c>
      <c r="C24" s="47" t="s">
        <v>157</v>
      </c>
      <c r="D24" s="35" t="s">
        <v>189</v>
      </c>
      <c r="E24" s="35" t="s">
        <v>190</v>
      </c>
      <c r="F24" s="48">
        <v>45174</v>
      </c>
      <c r="G24" s="21"/>
      <c r="H24" s="18" t="s">
        <v>28</v>
      </c>
      <c r="I24" s="19" t="s">
        <v>23</v>
      </c>
      <c r="J24" s="21"/>
      <c r="K24" s="22">
        <v>338.6</v>
      </c>
      <c r="L24" s="21"/>
      <c r="M24" s="22">
        <v>0</v>
      </c>
      <c r="N24" s="21"/>
      <c r="Q24" s="24"/>
    </row>
    <row r="25" spans="1:17" x14ac:dyDescent="0.35">
      <c r="A25" s="39">
        <v>23</v>
      </c>
      <c r="B25" s="38" t="s">
        <v>132</v>
      </c>
      <c r="C25" s="43" t="s">
        <v>158</v>
      </c>
      <c r="D25" s="34"/>
      <c r="E25" s="34"/>
      <c r="F25" s="34"/>
      <c r="G25" s="28"/>
      <c r="H25" s="28"/>
      <c r="I25" s="28"/>
      <c r="J25" s="28"/>
      <c r="K25" s="32"/>
      <c r="L25" s="28"/>
      <c r="M25" s="32"/>
      <c r="N25" s="29"/>
    </row>
    <row r="26" spans="1:17" x14ac:dyDescent="0.35">
      <c r="A26" s="40">
        <v>24</v>
      </c>
      <c r="B26" s="37" t="s">
        <v>133</v>
      </c>
      <c r="C26" s="47" t="s">
        <v>159</v>
      </c>
      <c r="D26" s="35" t="s">
        <v>196</v>
      </c>
      <c r="E26" s="35" t="s">
        <v>191</v>
      </c>
      <c r="F26" s="48">
        <v>45174</v>
      </c>
      <c r="G26" s="21"/>
      <c r="H26" s="18" t="s">
        <v>171</v>
      </c>
      <c r="I26" s="19" t="s">
        <v>23</v>
      </c>
      <c r="J26" s="21"/>
      <c r="K26" s="22">
        <v>656.3</v>
      </c>
      <c r="L26" s="21"/>
      <c r="M26" s="22">
        <v>0</v>
      </c>
      <c r="N26" s="21"/>
      <c r="Q26" s="24"/>
    </row>
    <row r="27" spans="1:17" x14ac:dyDescent="0.35">
      <c r="A27" s="39">
        <v>25</v>
      </c>
      <c r="B27" s="38" t="s">
        <v>134</v>
      </c>
      <c r="C27" s="43" t="s">
        <v>160</v>
      </c>
      <c r="D27" s="33"/>
      <c r="E27" s="34"/>
      <c r="F27" s="34"/>
      <c r="G27" s="28"/>
      <c r="H27" s="28"/>
      <c r="I27" s="28"/>
      <c r="J27" s="28"/>
      <c r="K27" s="32"/>
      <c r="L27" s="28"/>
      <c r="M27" s="32"/>
      <c r="N27" s="29"/>
    </row>
    <row r="28" spans="1:17" x14ac:dyDescent="0.35">
      <c r="A28" s="40">
        <v>26</v>
      </c>
      <c r="B28" s="37" t="s">
        <v>135</v>
      </c>
      <c r="C28" s="47" t="s">
        <v>161</v>
      </c>
      <c r="D28" s="35" t="s">
        <v>192</v>
      </c>
      <c r="E28" s="35" t="s">
        <v>193</v>
      </c>
      <c r="F28" s="48">
        <v>45179</v>
      </c>
      <c r="G28" s="21"/>
      <c r="H28" s="18" t="s">
        <v>26</v>
      </c>
      <c r="I28" s="19" t="s">
        <v>98</v>
      </c>
      <c r="J28" s="21"/>
      <c r="K28" s="22">
        <v>9000</v>
      </c>
      <c r="L28" s="21"/>
      <c r="M28" s="22">
        <v>0</v>
      </c>
      <c r="N28" s="21"/>
      <c r="Q28" s="24"/>
    </row>
    <row r="29" spans="1:17" x14ac:dyDescent="0.35">
      <c r="A29" s="40">
        <v>27</v>
      </c>
      <c r="B29" s="37" t="s">
        <v>136</v>
      </c>
      <c r="C29" s="47" t="s">
        <v>162</v>
      </c>
      <c r="D29" s="35" t="s">
        <v>174</v>
      </c>
      <c r="E29" s="35"/>
      <c r="F29" s="48">
        <v>45141</v>
      </c>
      <c r="G29" s="21"/>
      <c r="H29" s="18" t="s">
        <v>26</v>
      </c>
      <c r="I29" s="19" t="s">
        <v>101</v>
      </c>
      <c r="J29" s="21"/>
      <c r="K29" s="22">
        <v>11250</v>
      </c>
      <c r="L29" s="21"/>
      <c r="M29" s="22">
        <v>0</v>
      </c>
      <c r="N29" s="21"/>
      <c r="Q29" s="24"/>
    </row>
    <row r="30" spans="1:17" x14ac:dyDescent="0.35">
      <c r="A30" s="40">
        <v>28</v>
      </c>
      <c r="B30" s="37" t="s">
        <v>137</v>
      </c>
      <c r="C30" s="47" t="s">
        <v>163</v>
      </c>
      <c r="D30" s="35" t="s">
        <v>174</v>
      </c>
      <c r="E30" s="35"/>
      <c r="F30" s="48">
        <v>45141</v>
      </c>
      <c r="G30" s="21"/>
      <c r="H30" s="18" t="s">
        <v>26</v>
      </c>
      <c r="I30" s="19" t="s">
        <v>27</v>
      </c>
      <c r="J30" s="21"/>
      <c r="K30" s="22">
        <v>4000</v>
      </c>
      <c r="L30" s="21"/>
      <c r="M30" s="22">
        <v>0</v>
      </c>
      <c r="N30" s="21"/>
    </row>
    <row r="31" spans="1:17" x14ac:dyDescent="0.35">
      <c r="A31" s="40">
        <v>29</v>
      </c>
      <c r="B31" s="37" t="s">
        <v>138</v>
      </c>
      <c r="C31" s="47" t="s">
        <v>164</v>
      </c>
      <c r="D31" s="35" t="s">
        <v>174</v>
      </c>
      <c r="E31" s="35"/>
      <c r="F31" s="48">
        <v>45141</v>
      </c>
      <c r="G31" s="21"/>
      <c r="H31" s="18" t="s">
        <v>26</v>
      </c>
      <c r="I31" s="19" t="s">
        <v>98</v>
      </c>
      <c r="J31" s="21"/>
      <c r="K31" s="22">
        <v>800</v>
      </c>
      <c r="L31" s="21"/>
      <c r="M31" s="22">
        <v>0</v>
      </c>
      <c r="N31" s="21"/>
    </row>
    <row r="32" spans="1:17" x14ac:dyDescent="0.35">
      <c r="A32" s="39">
        <v>30</v>
      </c>
      <c r="B32" s="38" t="s">
        <v>139</v>
      </c>
      <c r="C32" s="43" t="s">
        <v>165</v>
      </c>
      <c r="D32" s="33"/>
      <c r="E32" s="34"/>
      <c r="F32" s="34"/>
      <c r="G32" s="28"/>
      <c r="H32" s="28"/>
      <c r="I32" s="28"/>
      <c r="J32" s="28"/>
      <c r="K32" s="32"/>
      <c r="L32" s="28"/>
      <c r="M32" s="32"/>
      <c r="N32" s="29"/>
      <c r="Q32" s="24"/>
    </row>
    <row r="33" spans="1:17" ht="21" x14ac:dyDescent="0.35">
      <c r="A33" s="40">
        <v>31</v>
      </c>
      <c r="B33" s="37" t="s">
        <v>140</v>
      </c>
      <c r="C33" s="47" t="s">
        <v>166</v>
      </c>
      <c r="D33" s="35" t="s">
        <v>194</v>
      </c>
      <c r="E33" s="35"/>
      <c r="F33" s="48">
        <v>45183</v>
      </c>
      <c r="G33" s="21"/>
      <c r="H33" s="18" t="s">
        <v>19</v>
      </c>
      <c r="I33" s="19" t="s">
        <v>100</v>
      </c>
      <c r="J33" s="21"/>
      <c r="K33" s="22">
        <v>4000</v>
      </c>
      <c r="L33" s="21"/>
      <c r="M33" s="22">
        <v>0</v>
      </c>
      <c r="N33" s="21"/>
    </row>
    <row r="34" spans="1:17" x14ac:dyDescent="0.35">
      <c r="A34" s="40">
        <v>32</v>
      </c>
      <c r="B34" s="37" t="s">
        <v>141</v>
      </c>
      <c r="C34" s="47" t="s">
        <v>167</v>
      </c>
      <c r="D34" s="35" t="s">
        <v>194</v>
      </c>
      <c r="E34" s="35"/>
      <c r="F34" s="48">
        <v>45181</v>
      </c>
      <c r="G34" s="21"/>
      <c r="H34" s="18" t="s">
        <v>19</v>
      </c>
      <c r="I34" s="19" t="s">
        <v>102</v>
      </c>
      <c r="J34" s="21"/>
      <c r="K34" s="22">
        <v>1500</v>
      </c>
      <c r="L34" s="21"/>
      <c r="M34" s="22">
        <v>0</v>
      </c>
      <c r="N34" s="21"/>
      <c r="Q34" s="24"/>
    </row>
    <row r="35" spans="1:17" x14ac:dyDescent="0.35">
      <c r="A35" s="40">
        <v>33</v>
      </c>
      <c r="B35" s="37" t="s">
        <v>142</v>
      </c>
      <c r="C35" s="47" t="s">
        <v>168</v>
      </c>
      <c r="D35" s="35" t="s">
        <v>194</v>
      </c>
      <c r="E35" s="35"/>
      <c r="F35" s="48">
        <v>45181</v>
      </c>
      <c r="G35" s="21"/>
      <c r="H35" s="18" t="s">
        <v>19</v>
      </c>
      <c r="I35" s="19" t="s">
        <v>100</v>
      </c>
      <c r="J35" s="21"/>
      <c r="K35" s="22">
        <v>7500</v>
      </c>
      <c r="L35" s="21"/>
      <c r="M35" s="22">
        <v>0</v>
      </c>
      <c r="N35" s="21"/>
      <c r="Q35" s="24"/>
    </row>
  </sheetData>
  <mergeCells count="5">
    <mergeCell ref="A1:C1"/>
    <mergeCell ref="D1:E1"/>
    <mergeCell ref="F1:H1"/>
    <mergeCell ref="I1:J1"/>
    <mergeCell ref="K1:N1"/>
  </mergeCells>
  <phoneticPr fontId="11" type="noConversion"/>
  <pageMargins left="0.196527777777778" right="0.196527777777778" top="0.196527777777778" bottom="0.196527777777778" header="0.51180555555555596" footer="0.51180555555555596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zoomScale="125" zoomScaleNormal="125" workbookViewId="0">
      <selection activeCell="D12" sqref="D12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58203125" customWidth="1"/>
    <col min="5" max="5" width="7.58203125" customWidth="1"/>
    <col min="6" max="6" width="7.83203125" customWidth="1"/>
    <col min="7" max="7" width="8.83203125" customWidth="1"/>
  </cols>
  <sheetData>
    <row r="1" spans="1:8" ht="15" customHeight="1" x14ac:dyDescent="0.35">
      <c r="A1" s="51" t="s">
        <v>0</v>
      </c>
      <c r="B1" s="51"/>
      <c r="C1" s="51"/>
      <c r="D1" s="51"/>
      <c r="E1" s="51" t="s">
        <v>13</v>
      </c>
      <c r="F1" s="51"/>
      <c r="G1" s="51" t="s">
        <v>3</v>
      </c>
      <c r="H1" s="51"/>
    </row>
    <row r="2" spans="1:8" x14ac:dyDescent="0.35">
      <c r="A2" s="2" t="s">
        <v>5</v>
      </c>
      <c r="B2" s="2" t="s">
        <v>6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17</v>
      </c>
    </row>
    <row r="3" spans="1:8" x14ac:dyDescent="0.35">
      <c r="A3" s="5">
        <v>1</v>
      </c>
      <c r="B3" s="6" t="s">
        <v>21</v>
      </c>
      <c r="C3" s="3" t="s">
        <v>36</v>
      </c>
      <c r="D3" s="3" t="s">
        <v>105</v>
      </c>
      <c r="E3" s="17">
        <v>0</v>
      </c>
      <c r="F3" s="17">
        <v>32</v>
      </c>
      <c r="G3" s="4"/>
      <c r="H3" s="4"/>
    </row>
    <row r="4" spans="1:8" x14ac:dyDescent="0.35">
      <c r="A4" s="5">
        <v>2</v>
      </c>
      <c r="B4" s="6" t="s">
        <v>23</v>
      </c>
      <c r="C4" s="3" t="s">
        <v>36</v>
      </c>
      <c r="D4" s="3" t="s">
        <v>110</v>
      </c>
      <c r="E4" s="17">
        <v>0</v>
      </c>
      <c r="F4" s="17">
        <v>36</v>
      </c>
      <c r="G4" s="4"/>
      <c r="H4" s="4"/>
    </row>
    <row r="5" spans="1:8" x14ac:dyDescent="0.35">
      <c r="A5" s="5">
        <v>3</v>
      </c>
      <c r="B5" s="6" t="s">
        <v>24</v>
      </c>
      <c r="C5" s="3" t="s">
        <v>36</v>
      </c>
      <c r="D5" s="3" t="s">
        <v>111</v>
      </c>
      <c r="E5" s="17">
        <v>0</v>
      </c>
      <c r="F5" s="17">
        <v>27</v>
      </c>
      <c r="G5" s="4"/>
      <c r="H5" s="4"/>
    </row>
    <row r="6" spans="1:8" x14ac:dyDescent="0.35">
      <c r="A6" s="5">
        <v>4</v>
      </c>
      <c r="B6" s="6" t="s">
        <v>27</v>
      </c>
      <c r="C6" s="3" t="s">
        <v>36</v>
      </c>
      <c r="D6" s="3" t="s">
        <v>96</v>
      </c>
      <c r="E6" s="17">
        <v>0</v>
      </c>
      <c r="F6" s="17">
        <v>26</v>
      </c>
      <c r="G6" s="4"/>
      <c r="H6" s="4"/>
    </row>
    <row r="7" spans="1:8" x14ac:dyDescent="0.35">
      <c r="A7" s="5">
        <v>5</v>
      </c>
      <c r="B7" s="6" t="s">
        <v>103</v>
      </c>
      <c r="C7" s="3" t="s">
        <v>36</v>
      </c>
      <c r="D7" s="3" t="s">
        <v>95</v>
      </c>
      <c r="E7" s="17">
        <v>0</v>
      </c>
      <c r="F7" s="17">
        <v>25</v>
      </c>
      <c r="G7" s="4"/>
      <c r="H7" s="4"/>
    </row>
    <row r="8" spans="1:8" x14ac:dyDescent="0.35">
      <c r="A8" s="5">
        <v>6</v>
      </c>
      <c r="B8" s="6" t="s">
        <v>107</v>
      </c>
      <c r="C8" s="3" t="s">
        <v>36</v>
      </c>
      <c r="D8" s="3" t="s">
        <v>109</v>
      </c>
      <c r="E8" s="17">
        <v>0</v>
      </c>
      <c r="F8" s="17">
        <v>32.6</v>
      </c>
      <c r="G8" s="4"/>
      <c r="H8" s="4"/>
    </row>
    <row r="9" spans="1:8" x14ac:dyDescent="0.35">
      <c r="A9" s="5">
        <v>7</v>
      </c>
      <c r="B9" s="6" t="s">
        <v>113</v>
      </c>
      <c r="C9" s="3" t="s">
        <v>36</v>
      </c>
      <c r="D9" s="3" t="s">
        <v>197</v>
      </c>
      <c r="E9" s="17">
        <v>0</v>
      </c>
      <c r="F9" s="17">
        <v>29.6</v>
      </c>
      <c r="G9" s="4"/>
      <c r="H9" s="4"/>
    </row>
  </sheetData>
  <mergeCells count="3">
    <mergeCell ref="A1:D1"/>
    <mergeCell ref="E1:F1"/>
    <mergeCell ref="G1:H1"/>
  </mergeCells>
  <phoneticPr fontId="12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0"/>
  <sheetViews>
    <sheetView zoomScale="125" zoomScaleNormal="125" workbookViewId="0">
      <selection activeCell="B42" sqref="B42"/>
    </sheetView>
  </sheetViews>
  <sheetFormatPr defaultColWidth="8.83203125" defaultRowHeight="15.5" x14ac:dyDescent="0.35"/>
  <cols>
    <col min="1" max="1" width="6" customWidth="1"/>
    <col min="2" max="2" width="31.5" customWidth="1"/>
    <col min="3" max="3" width="7.08203125" customWidth="1"/>
    <col min="4" max="4" width="14.58203125" customWidth="1"/>
    <col min="6" max="6" width="11.5" customWidth="1"/>
  </cols>
  <sheetData>
    <row r="1" spans="1:25" ht="15" customHeight="1" x14ac:dyDescent="0.35">
      <c r="A1" s="51" t="s">
        <v>0</v>
      </c>
      <c r="B1" s="51"/>
      <c r="C1" s="1" t="s">
        <v>2</v>
      </c>
      <c r="D1" s="51" t="s">
        <v>37</v>
      </c>
      <c r="E1" s="51"/>
      <c r="F1" s="51"/>
      <c r="G1" s="51"/>
    </row>
    <row r="2" spans="1:25" x14ac:dyDescent="0.35">
      <c r="A2" s="2" t="s">
        <v>5</v>
      </c>
      <c r="B2" s="2" t="s">
        <v>6</v>
      </c>
      <c r="C2" s="2" t="s">
        <v>12</v>
      </c>
      <c r="D2" s="2" t="s">
        <v>38</v>
      </c>
      <c r="E2" s="1" t="s">
        <v>39</v>
      </c>
      <c r="F2" s="1" t="s">
        <v>40</v>
      </c>
      <c r="G2" s="1" t="s">
        <v>41</v>
      </c>
    </row>
    <row r="3" spans="1:25" ht="21" x14ac:dyDescent="0.35">
      <c r="A3" s="39">
        <v>1</v>
      </c>
      <c r="B3" s="38" t="s">
        <v>169</v>
      </c>
      <c r="C3" s="25"/>
      <c r="D3" s="19"/>
      <c r="E3" s="19"/>
      <c r="F3" s="19"/>
      <c r="G3" s="19"/>
      <c r="W3" s="23"/>
      <c r="X3" s="23"/>
      <c r="Y3" s="23"/>
    </row>
    <row r="4" spans="1:25" x14ac:dyDescent="0.35">
      <c r="A4" s="39">
        <v>2</v>
      </c>
      <c r="B4" s="38" t="s">
        <v>115</v>
      </c>
      <c r="C4" s="25"/>
      <c r="D4" s="19"/>
      <c r="E4" s="19"/>
      <c r="F4" s="19"/>
      <c r="G4" s="19"/>
      <c r="W4" s="23"/>
      <c r="X4" s="23"/>
      <c r="Y4" s="23"/>
    </row>
    <row r="5" spans="1:25" x14ac:dyDescent="0.35">
      <c r="A5" s="39">
        <v>3</v>
      </c>
      <c r="B5" s="38" t="s">
        <v>116</v>
      </c>
      <c r="C5" s="25"/>
      <c r="D5" s="19"/>
      <c r="E5" s="19"/>
      <c r="F5" s="19"/>
      <c r="G5" s="19"/>
      <c r="W5" s="23"/>
      <c r="X5" s="23"/>
      <c r="Y5" s="23"/>
    </row>
    <row r="6" spans="1:25" x14ac:dyDescent="0.35">
      <c r="A6" s="40">
        <v>4</v>
      </c>
      <c r="B6" s="37" t="s">
        <v>117</v>
      </c>
      <c r="C6" s="25"/>
      <c r="D6" s="19" t="s">
        <v>42</v>
      </c>
      <c r="E6" s="45">
        <f>1/2*100</f>
        <v>50</v>
      </c>
      <c r="F6" s="45">
        <f>2/2*100</f>
        <v>100</v>
      </c>
      <c r="G6" s="45">
        <f>3/2*100</f>
        <v>150</v>
      </c>
      <c r="W6" s="23"/>
      <c r="X6" s="23"/>
      <c r="Y6" s="23"/>
    </row>
    <row r="7" spans="1:25" x14ac:dyDescent="0.35">
      <c r="A7" s="39">
        <v>5</v>
      </c>
      <c r="B7" s="38" t="s">
        <v>118</v>
      </c>
      <c r="C7" s="25"/>
      <c r="D7" s="19"/>
      <c r="E7" s="46"/>
      <c r="F7" s="46"/>
      <c r="G7" s="46"/>
      <c r="W7" s="23"/>
      <c r="X7" s="23"/>
      <c r="Y7" s="23"/>
    </row>
    <row r="8" spans="1:25" x14ac:dyDescent="0.35">
      <c r="A8" s="40">
        <v>6</v>
      </c>
      <c r="B8" s="37" t="s">
        <v>119</v>
      </c>
      <c r="C8" s="25"/>
      <c r="D8" s="19" t="s">
        <v>42</v>
      </c>
      <c r="E8" s="45">
        <f>0.5/2*100</f>
        <v>25</v>
      </c>
      <c r="F8" s="45">
        <f>2/2*100</f>
        <v>100</v>
      </c>
      <c r="G8" s="45">
        <f>3.5/2*100</f>
        <v>175</v>
      </c>
      <c r="W8" s="23"/>
      <c r="X8" s="23"/>
      <c r="Y8" s="23"/>
    </row>
    <row r="9" spans="1:25" x14ac:dyDescent="0.35">
      <c r="A9" s="40">
        <v>7</v>
      </c>
      <c r="B9" s="37" t="s">
        <v>120</v>
      </c>
      <c r="C9" s="25"/>
      <c r="D9" s="19" t="s">
        <v>42</v>
      </c>
      <c r="E9" s="45">
        <f>1/2*100</f>
        <v>50</v>
      </c>
      <c r="F9" s="45">
        <f>2/2*100</f>
        <v>100</v>
      </c>
      <c r="G9" s="45">
        <f>3/2*100</f>
        <v>150</v>
      </c>
      <c r="W9" s="23"/>
      <c r="X9" s="23"/>
      <c r="Y9" s="23"/>
    </row>
    <row r="10" spans="1:25" x14ac:dyDescent="0.35">
      <c r="A10" s="39">
        <v>8</v>
      </c>
      <c r="B10" s="38" t="s">
        <v>97</v>
      </c>
      <c r="C10" s="25"/>
      <c r="D10" s="19"/>
      <c r="E10" s="46"/>
      <c r="F10" s="46"/>
      <c r="G10" s="46"/>
      <c r="W10" s="23"/>
      <c r="X10" s="23"/>
      <c r="Y10" s="23"/>
    </row>
    <row r="11" spans="1:25" x14ac:dyDescent="0.35">
      <c r="A11" s="40">
        <v>9</v>
      </c>
      <c r="B11" s="37" t="s">
        <v>121</v>
      </c>
      <c r="C11" s="25"/>
      <c r="D11" s="19" t="s">
        <v>42</v>
      </c>
      <c r="E11" s="45">
        <f>1/3*100</f>
        <v>33.333333333333329</v>
      </c>
      <c r="F11" s="45">
        <f>3/3*100</f>
        <v>100</v>
      </c>
      <c r="G11" s="45">
        <f>5/3*100</f>
        <v>166.66666666666669</v>
      </c>
      <c r="W11" s="23"/>
      <c r="X11" s="23"/>
      <c r="Y11" s="23"/>
    </row>
    <row r="12" spans="1:25" x14ac:dyDescent="0.35">
      <c r="A12" s="39">
        <v>10</v>
      </c>
      <c r="B12" s="38" t="s">
        <v>22</v>
      </c>
      <c r="C12" s="25"/>
      <c r="D12" s="19"/>
      <c r="E12" s="46"/>
      <c r="F12" s="46"/>
      <c r="G12" s="46"/>
      <c r="W12" s="23"/>
      <c r="X12" s="23"/>
      <c r="Y12" s="23"/>
    </row>
    <row r="13" spans="1:25" x14ac:dyDescent="0.35">
      <c r="A13" s="40">
        <v>11</v>
      </c>
      <c r="B13" s="37" t="s">
        <v>122</v>
      </c>
      <c r="C13" s="25"/>
      <c r="D13" s="19" t="s">
        <v>42</v>
      </c>
      <c r="E13" s="45">
        <f>2/4*100</f>
        <v>50</v>
      </c>
      <c r="F13" s="45">
        <f>4/4*100</f>
        <v>100</v>
      </c>
      <c r="G13" s="45">
        <f>6/4*100</f>
        <v>150</v>
      </c>
      <c r="W13" s="23"/>
      <c r="X13" s="23"/>
      <c r="Y13" s="23"/>
    </row>
    <row r="14" spans="1:25" x14ac:dyDescent="0.35">
      <c r="A14" s="39">
        <v>12</v>
      </c>
      <c r="B14" s="38" t="s">
        <v>123</v>
      </c>
      <c r="C14" s="25"/>
      <c r="D14" s="19"/>
      <c r="E14" s="46"/>
      <c r="F14" s="46"/>
      <c r="G14" s="46"/>
      <c r="W14" s="23"/>
      <c r="X14" s="23"/>
      <c r="Y14" s="23"/>
    </row>
    <row r="15" spans="1:25" ht="20.5" customHeight="1" x14ac:dyDescent="0.35">
      <c r="A15" s="40">
        <v>13</v>
      </c>
      <c r="B15" s="37" t="s">
        <v>124</v>
      </c>
      <c r="C15" s="25"/>
      <c r="D15" s="19" t="s">
        <v>42</v>
      </c>
      <c r="E15" s="45">
        <f>10/15*100</f>
        <v>66.666666666666657</v>
      </c>
      <c r="F15" s="45">
        <f>15/15*100</f>
        <v>100</v>
      </c>
      <c r="G15" s="45">
        <f>20/15*100</f>
        <v>133.33333333333331</v>
      </c>
      <c r="W15" s="23"/>
      <c r="X15" s="23"/>
      <c r="Y15" s="23"/>
    </row>
    <row r="16" spans="1:25" x14ac:dyDescent="0.35">
      <c r="A16" s="39">
        <v>14</v>
      </c>
      <c r="B16" s="38" t="s">
        <v>125</v>
      </c>
      <c r="C16" s="25"/>
      <c r="D16" s="19"/>
      <c r="E16" s="46"/>
      <c r="F16" s="46"/>
      <c r="G16" s="46"/>
      <c r="W16" s="23"/>
      <c r="X16" s="23"/>
      <c r="Y16" s="23"/>
    </row>
    <row r="17" spans="1:25" x14ac:dyDescent="0.35">
      <c r="A17" s="39">
        <v>15</v>
      </c>
      <c r="B17" s="38" t="s">
        <v>126</v>
      </c>
      <c r="C17" s="25"/>
      <c r="D17" s="19"/>
      <c r="E17" s="45"/>
      <c r="F17" s="45"/>
      <c r="G17" s="45"/>
      <c r="W17" s="23"/>
      <c r="X17" s="23"/>
      <c r="Y17" s="23"/>
    </row>
    <row r="18" spans="1:25" ht="21" x14ac:dyDescent="0.35">
      <c r="A18" s="40">
        <v>16</v>
      </c>
      <c r="B18" s="37" t="s">
        <v>127</v>
      </c>
      <c r="C18" s="25"/>
      <c r="D18" s="19" t="s">
        <v>42</v>
      </c>
      <c r="E18" s="45">
        <f>2/5*100</f>
        <v>40</v>
      </c>
      <c r="F18" s="45">
        <f>5/5*100</f>
        <v>100</v>
      </c>
      <c r="G18" s="45">
        <f>8/5*100</f>
        <v>160</v>
      </c>
      <c r="W18" s="23"/>
      <c r="X18" s="23"/>
      <c r="Y18" s="23"/>
    </row>
    <row r="19" spans="1:25" x14ac:dyDescent="0.35">
      <c r="A19" s="39">
        <v>17</v>
      </c>
      <c r="B19" s="38" t="s">
        <v>112</v>
      </c>
      <c r="C19" s="25"/>
      <c r="D19" s="19"/>
      <c r="E19" s="45"/>
      <c r="F19" s="45"/>
      <c r="G19" s="45"/>
      <c r="W19" s="23"/>
      <c r="X19" s="23"/>
      <c r="Y19" s="23"/>
    </row>
    <row r="20" spans="1:25" x14ac:dyDescent="0.35">
      <c r="A20" s="40">
        <v>18</v>
      </c>
      <c r="B20" s="37" t="s">
        <v>128</v>
      </c>
      <c r="C20" s="25"/>
      <c r="D20" s="19" t="s">
        <v>42</v>
      </c>
      <c r="E20" s="45">
        <f>3/7*100</f>
        <v>42.857142857142854</v>
      </c>
      <c r="F20" s="45">
        <f>7/7*100</f>
        <v>100</v>
      </c>
      <c r="G20" s="45">
        <f>11/7*100</f>
        <v>157.14285714285714</v>
      </c>
      <c r="W20" s="23"/>
      <c r="X20" s="23"/>
      <c r="Y20" s="23"/>
    </row>
    <row r="21" spans="1:25" x14ac:dyDescent="0.35">
      <c r="A21" s="40">
        <v>19</v>
      </c>
      <c r="B21" s="37" t="s">
        <v>129</v>
      </c>
      <c r="C21" s="25"/>
      <c r="D21" s="19" t="s">
        <v>42</v>
      </c>
      <c r="E21" s="45">
        <f>2/6*100</f>
        <v>33.333333333333329</v>
      </c>
      <c r="F21" s="45">
        <f>6/6*100</f>
        <v>100</v>
      </c>
      <c r="G21" s="45">
        <v>10</v>
      </c>
      <c r="W21" s="23"/>
      <c r="X21" s="23"/>
      <c r="Y21" s="23"/>
    </row>
    <row r="22" spans="1:25" x14ac:dyDescent="0.35">
      <c r="A22" s="40">
        <v>20</v>
      </c>
      <c r="B22" s="37" t="s">
        <v>130</v>
      </c>
      <c r="C22" s="25"/>
      <c r="D22" s="19" t="s">
        <v>42</v>
      </c>
      <c r="E22" s="45">
        <f>2/4*100</f>
        <v>50</v>
      </c>
      <c r="F22" s="45">
        <f>4/4*100</f>
        <v>100</v>
      </c>
      <c r="G22" s="45">
        <f>6/4*100</f>
        <v>150</v>
      </c>
      <c r="W22" s="23"/>
      <c r="X22" s="23"/>
      <c r="Y22" s="23"/>
    </row>
    <row r="23" spans="1:25" x14ac:dyDescent="0.35">
      <c r="A23" s="39">
        <v>21</v>
      </c>
      <c r="B23" s="38" t="s">
        <v>131</v>
      </c>
      <c r="C23" s="25"/>
      <c r="D23" s="19"/>
      <c r="E23" s="46"/>
      <c r="F23" s="46"/>
      <c r="G23" s="46"/>
      <c r="W23" s="23"/>
      <c r="X23" s="23"/>
      <c r="Y23" s="23"/>
    </row>
    <row r="24" spans="1:25" x14ac:dyDescent="0.35">
      <c r="A24" s="40">
        <v>22</v>
      </c>
      <c r="B24" s="37" t="s">
        <v>131</v>
      </c>
      <c r="C24" s="25"/>
      <c r="D24" s="19" t="s">
        <v>42</v>
      </c>
      <c r="E24" s="45">
        <f>2/5*100</f>
        <v>40</v>
      </c>
      <c r="F24" s="45">
        <f>5/5*100</f>
        <v>100</v>
      </c>
      <c r="G24" s="45">
        <f>8/5*100</f>
        <v>160</v>
      </c>
      <c r="W24" s="23"/>
      <c r="X24" s="23"/>
      <c r="Y24" s="23"/>
    </row>
    <row r="25" spans="1:25" x14ac:dyDescent="0.35">
      <c r="A25" s="39">
        <v>23</v>
      </c>
      <c r="B25" s="38" t="s">
        <v>132</v>
      </c>
      <c r="C25" s="25"/>
      <c r="D25" s="19"/>
      <c r="E25" s="46"/>
      <c r="F25" s="46"/>
      <c r="G25" s="46"/>
      <c r="W25" s="23"/>
      <c r="X25" s="23"/>
      <c r="Y25" s="23"/>
    </row>
    <row r="26" spans="1:25" x14ac:dyDescent="0.35">
      <c r="A26" s="40">
        <v>24</v>
      </c>
      <c r="B26" s="37" t="s">
        <v>133</v>
      </c>
      <c r="C26" s="25"/>
      <c r="D26" s="19" t="s">
        <v>42</v>
      </c>
      <c r="E26" s="45">
        <f>4/6*100</f>
        <v>66.666666666666657</v>
      </c>
      <c r="F26" s="45">
        <f>6/6*100</f>
        <v>100</v>
      </c>
      <c r="G26" s="45">
        <f>8/6*100</f>
        <v>133.33333333333331</v>
      </c>
      <c r="W26" s="23"/>
      <c r="X26" s="23"/>
      <c r="Y26" s="23"/>
    </row>
    <row r="27" spans="1:25" x14ac:dyDescent="0.35">
      <c r="A27" s="39">
        <v>25</v>
      </c>
      <c r="B27" s="38" t="s">
        <v>134</v>
      </c>
      <c r="C27" s="25"/>
      <c r="D27" s="19"/>
      <c r="E27" s="46"/>
      <c r="F27" s="46"/>
      <c r="G27" s="46"/>
      <c r="W27" s="23"/>
      <c r="X27" s="23"/>
      <c r="Y27" s="23"/>
    </row>
    <row r="28" spans="1:25" x14ac:dyDescent="0.35">
      <c r="A28" s="40">
        <v>26</v>
      </c>
      <c r="B28" s="37" t="s">
        <v>135</v>
      </c>
      <c r="C28" s="25"/>
      <c r="D28" s="19" t="s">
        <v>42</v>
      </c>
      <c r="E28" s="45">
        <f>1/2*100</f>
        <v>50</v>
      </c>
      <c r="F28" s="45">
        <f>2/2*100</f>
        <v>100</v>
      </c>
      <c r="G28" s="45">
        <f>3/2*100</f>
        <v>150</v>
      </c>
      <c r="W28" s="23"/>
      <c r="X28" s="23"/>
      <c r="Y28" s="23"/>
    </row>
    <row r="29" spans="1:25" ht="21" x14ac:dyDescent="0.35">
      <c r="A29" s="40">
        <v>27</v>
      </c>
      <c r="B29" s="37" t="s">
        <v>136</v>
      </c>
      <c r="C29" s="25"/>
      <c r="D29" s="19" t="s">
        <v>42</v>
      </c>
      <c r="E29" s="45">
        <f>1/2*100</f>
        <v>50</v>
      </c>
      <c r="F29" s="45">
        <f>2/2*100</f>
        <v>100</v>
      </c>
      <c r="G29" s="45">
        <f>3/2*100</f>
        <v>150</v>
      </c>
      <c r="W29" s="23"/>
      <c r="X29" s="23"/>
      <c r="Y29" s="23"/>
    </row>
    <row r="30" spans="1:25" x14ac:dyDescent="0.35">
      <c r="A30" s="40">
        <v>28</v>
      </c>
      <c r="B30" s="37" t="s">
        <v>137</v>
      </c>
      <c r="C30" s="25"/>
      <c r="D30" s="19" t="s">
        <v>42</v>
      </c>
      <c r="E30" s="45">
        <f>1/2*100</f>
        <v>50</v>
      </c>
      <c r="F30" s="45">
        <f>2/2*100</f>
        <v>100</v>
      </c>
      <c r="G30" s="45">
        <f>3/2*100</f>
        <v>150</v>
      </c>
      <c r="W30" s="23"/>
      <c r="X30" s="23"/>
      <c r="Y30" s="23"/>
    </row>
    <row r="31" spans="1:25" ht="21" x14ac:dyDescent="0.35">
      <c r="A31" s="40">
        <v>29</v>
      </c>
      <c r="B31" s="37" t="s">
        <v>138</v>
      </c>
      <c r="C31" s="25"/>
      <c r="D31" s="19" t="s">
        <v>42</v>
      </c>
      <c r="E31" s="45">
        <f>0.5/2*100</f>
        <v>25</v>
      </c>
      <c r="F31" s="45">
        <f>2/2*100</f>
        <v>100</v>
      </c>
      <c r="G31" s="45">
        <f>3.5/2*100</f>
        <v>175</v>
      </c>
      <c r="W31" s="23"/>
      <c r="X31" s="23"/>
      <c r="Y31" s="23"/>
    </row>
    <row r="32" spans="1:25" x14ac:dyDescent="0.35">
      <c r="A32" s="39">
        <v>30</v>
      </c>
      <c r="B32" s="38" t="s">
        <v>139</v>
      </c>
      <c r="C32" s="25"/>
      <c r="D32" s="19"/>
      <c r="E32" s="46"/>
      <c r="F32" s="46"/>
      <c r="G32" s="46"/>
      <c r="W32" s="23"/>
      <c r="X32" s="23"/>
      <c r="Y32" s="23"/>
    </row>
    <row r="33" spans="1:25" ht="21" x14ac:dyDescent="0.35">
      <c r="A33" s="40">
        <v>31</v>
      </c>
      <c r="B33" s="37" t="s">
        <v>140</v>
      </c>
      <c r="C33" s="25"/>
      <c r="D33" s="19" t="s">
        <v>42</v>
      </c>
      <c r="E33" s="45">
        <f>0.5/1*100</f>
        <v>50</v>
      </c>
      <c r="F33" s="45">
        <f>1/1*100</f>
        <v>100</v>
      </c>
      <c r="G33" s="45">
        <f>1.5/1*100</f>
        <v>150</v>
      </c>
      <c r="W33" s="23"/>
      <c r="X33" s="23"/>
      <c r="Y33" s="23"/>
    </row>
    <row r="34" spans="1:25" x14ac:dyDescent="0.35">
      <c r="A34" s="40">
        <v>32</v>
      </c>
      <c r="B34" s="37" t="s">
        <v>141</v>
      </c>
      <c r="C34" s="25"/>
      <c r="D34" s="19" t="s">
        <v>42</v>
      </c>
      <c r="E34" s="45">
        <f>0.5/1*100</f>
        <v>50</v>
      </c>
      <c r="F34" s="45">
        <f>1/1*100</f>
        <v>100</v>
      </c>
      <c r="G34" s="45">
        <f>1.5/1*100</f>
        <v>150</v>
      </c>
      <c r="W34" s="23"/>
      <c r="X34" s="23"/>
      <c r="Y34" s="23"/>
    </row>
    <row r="35" spans="1:25" x14ac:dyDescent="0.35">
      <c r="A35" s="40">
        <v>33</v>
      </c>
      <c r="B35" s="37" t="s">
        <v>142</v>
      </c>
      <c r="C35" s="25"/>
      <c r="D35" s="19" t="s">
        <v>42</v>
      </c>
      <c r="E35" s="45">
        <f>0.5/1*100</f>
        <v>50</v>
      </c>
      <c r="F35" s="45">
        <f>1/1*100</f>
        <v>100</v>
      </c>
      <c r="G35" s="45">
        <f>1.5/1*100</f>
        <v>150</v>
      </c>
      <c r="W35" s="23"/>
      <c r="X35" s="23"/>
      <c r="Y35" s="23"/>
    </row>
    <row r="40" spans="1:25" x14ac:dyDescent="0.35">
      <c r="C40" s="44"/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F79F-57DE-4105-B224-C8DD831989C4}">
  <sheetPr>
    <tabColor theme="3" tint="0.59999389629810485"/>
  </sheetPr>
  <dimension ref="A1:AF38"/>
  <sheetViews>
    <sheetView topLeftCell="A20" zoomScaleNormal="100" workbookViewId="0">
      <selection activeCell="A5" sqref="A5"/>
    </sheetView>
  </sheetViews>
  <sheetFormatPr defaultColWidth="8.83203125" defaultRowHeight="15.5" x14ac:dyDescent="0.35"/>
  <cols>
    <col min="1" max="1" width="5.08203125" customWidth="1"/>
    <col min="2" max="2" width="32.08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4" max="14" width="8.83203125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43</v>
      </c>
      <c r="C1" s="41">
        <v>45182</v>
      </c>
      <c r="E1" s="2" t="s">
        <v>44</v>
      </c>
      <c r="F1" s="7" t="s">
        <v>45</v>
      </c>
      <c r="G1" s="8"/>
    </row>
    <row r="3" spans="1:32" ht="15" customHeight="1" x14ac:dyDescent="0.35">
      <c r="A3" s="51" t="s">
        <v>0</v>
      </c>
      <c r="B3" s="51"/>
      <c r="C3" s="51" t="s">
        <v>2</v>
      </c>
      <c r="D3" s="51"/>
      <c r="E3" s="51"/>
      <c r="F3" s="51" t="s">
        <v>3</v>
      </c>
      <c r="G3" s="51"/>
      <c r="H3" s="51" t="s">
        <v>4</v>
      </c>
      <c r="I3" s="51"/>
      <c r="J3" s="51"/>
      <c r="K3" s="51"/>
      <c r="L3" s="51" t="s">
        <v>46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spans="1:32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 t="s">
        <v>56</v>
      </c>
      <c r="V4" s="2" t="s">
        <v>46</v>
      </c>
      <c r="W4" s="2" t="s">
        <v>57</v>
      </c>
      <c r="X4" s="2" t="s">
        <v>58</v>
      </c>
    </row>
    <row r="5" spans="1:32" ht="22" customHeight="1" x14ac:dyDescent="0.35">
      <c r="A5" s="39">
        <v>1</v>
      </c>
      <c r="B5" s="38" t="s">
        <v>169</v>
      </c>
      <c r="C5" s="28"/>
      <c r="D5" s="28"/>
      <c r="E5" s="28"/>
      <c r="F5" s="28"/>
      <c r="G5" s="28"/>
      <c r="H5" s="29"/>
      <c r="I5" s="28"/>
      <c r="J5" s="28"/>
      <c r="K5" s="29"/>
      <c r="L5" s="28"/>
      <c r="M5" s="30"/>
      <c r="N5" s="28"/>
      <c r="O5" s="28"/>
      <c r="P5" s="28"/>
      <c r="Q5" s="28"/>
      <c r="R5" s="31"/>
      <c r="S5" s="32"/>
      <c r="T5" s="33"/>
      <c r="U5" s="33"/>
      <c r="V5" s="27"/>
      <c r="W5" s="29"/>
      <c r="X5" s="29"/>
    </row>
    <row r="6" spans="1:32" s="9" customFormat="1" x14ac:dyDescent="0.35">
      <c r="A6" s="39">
        <v>2</v>
      </c>
      <c r="B6" s="38" t="s">
        <v>115</v>
      </c>
      <c r="C6" s="28"/>
      <c r="D6" s="28"/>
      <c r="E6" s="28"/>
      <c r="F6" s="28"/>
      <c r="G6" s="28"/>
      <c r="H6" s="29"/>
      <c r="I6" s="28"/>
      <c r="J6" s="28"/>
      <c r="K6" s="29"/>
      <c r="L6" s="28"/>
      <c r="M6" s="30"/>
      <c r="N6" s="28"/>
      <c r="O6" s="28"/>
      <c r="P6" s="28"/>
      <c r="Q6" s="28"/>
      <c r="R6" s="31"/>
      <c r="S6" s="32"/>
      <c r="T6" s="33"/>
      <c r="U6" s="33"/>
      <c r="V6" s="27"/>
      <c r="W6" s="29"/>
      <c r="X6" s="29"/>
    </row>
    <row r="7" spans="1:32" s="9" customFormat="1" x14ac:dyDescent="0.35">
      <c r="A7" s="39">
        <v>3</v>
      </c>
      <c r="B7" s="38" t="s">
        <v>116</v>
      </c>
      <c r="C7" s="28"/>
      <c r="D7" s="28"/>
      <c r="E7" s="28"/>
      <c r="F7" s="28"/>
      <c r="G7" s="28"/>
      <c r="H7" s="29"/>
      <c r="I7" s="28"/>
      <c r="J7" s="28"/>
      <c r="K7" s="29"/>
      <c r="L7" s="28"/>
      <c r="M7" s="30"/>
      <c r="N7" s="28"/>
      <c r="O7" s="28"/>
      <c r="P7" s="28"/>
      <c r="Q7" s="28"/>
      <c r="R7" s="31"/>
      <c r="S7" s="32"/>
      <c r="T7" s="33"/>
      <c r="U7" s="33"/>
      <c r="V7" s="27"/>
      <c r="W7" s="29"/>
      <c r="X7" s="29"/>
    </row>
    <row r="8" spans="1:32" x14ac:dyDescent="0.35">
      <c r="A8" s="40">
        <v>4</v>
      </c>
      <c r="B8" s="37" t="s">
        <v>117</v>
      </c>
      <c r="C8" s="20"/>
      <c r="D8" s="20"/>
      <c r="E8" s="25"/>
      <c r="F8" s="25"/>
      <c r="G8" s="21"/>
      <c r="H8" s="21"/>
      <c r="I8" s="21"/>
      <c r="J8" s="21"/>
      <c r="K8" s="21"/>
      <c r="L8" s="41">
        <v>45139</v>
      </c>
      <c r="M8" s="18" t="s">
        <v>26</v>
      </c>
      <c r="N8" s="21"/>
      <c r="O8" s="21"/>
      <c r="P8" s="25"/>
      <c r="Q8" s="21"/>
      <c r="R8" s="26"/>
      <c r="S8" s="22">
        <v>1082.33</v>
      </c>
      <c r="T8" s="21"/>
      <c r="U8" s="36">
        <v>1</v>
      </c>
      <c r="V8" s="25"/>
      <c r="W8" s="21"/>
      <c r="X8" s="21"/>
      <c r="AA8" s="24"/>
      <c r="AB8" s="24"/>
      <c r="AC8" s="24"/>
      <c r="AD8" s="24"/>
      <c r="AE8" s="24"/>
      <c r="AF8" s="24"/>
    </row>
    <row r="9" spans="1:32" x14ac:dyDescent="0.35">
      <c r="A9" s="39">
        <v>5</v>
      </c>
      <c r="B9" s="38" t="s">
        <v>118</v>
      </c>
      <c r="C9" s="28"/>
      <c r="D9" s="28"/>
      <c r="E9" s="28"/>
      <c r="F9" s="28"/>
      <c r="G9" s="28"/>
      <c r="H9" s="29"/>
      <c r="I9" s="28"/>
      <c r="J9" s="28"/>
      <c r="K9" s="29"/>
      <c r="L9" s="33"/>
      <c r="M9" s="28"/>
      <c r="N9" s="28"/>
      <c r="O9" s="28"/>
      <c r="P9" s="28"/>
      <c r="Q9" s="28"/>
      <c r="R9" s="31"/>
      <c r="S9" s="32"/>
      <c r="T9" s="33"/>
      <c r="U9" s="33"/>
      <c r="V9" s="27"/>
      <c r="W9" s="29"/>
      <c r="X9" s="29"/>
      <c r="AA9" s="24"/>
      <c r="AB9" s="24"/>
      <c r="AC9" s="24"/>
      <c r="AD9" s="24"/>
      <c r="AE9" s="24"/>
      <c r="AF9" s="24"/>
    </row>
    <row r="10" spans="1:32" x14ac:dyDescent="0.35">
      <c r="A10" s="40">
        <v>6</v>
      </c>
      <c r="B10" s="37" t="s">
        <v>119</v>
      </c>
      <c r="C10" s="20"/>
      <c r="D10" s="20"/>
      <c r="E10" s="25"/>
      <c r="F10" s="25"/>
      <c r="G10" s="21"/>
      <c r="H10" s="21"/>
      <c r="I10" s="21"/>
      <c r="J10" s="21"/>
      <c r="K10" s="21"/>
      <c r="L10" s="41">
        <v>45141</v>
      </c>
      <c r="M10" s="18" t="s">
        <v>26</v>
      </c>
      <c r="N10" s="21"/>
      <c r="O10" s="21"/>
      <c r="P10" s="25"/>
      <c r="Q10" s="21"/>
      <c r="R10" s="26"/>
      <c r="S10" s="22">
        <v>1816</v>
      </c>
      <c r="T10" s="21"/>
      <c r="U10" s="36">
        <v>1</v>
      </c>
      <c r="V10" s="25"/>
      <c r="W10" s="21"/>
      <c r="X10" s="21"/>
      <c r="AA10" s="24"/>
      <c r="AB10" s="24"/>
      <c r="AC10" s="24"/>
      <c r="AD10" s="24"/>
      <c r="AE10" s="24"/>
      <c r="AF10" s="24"/>
    </row>
    <row r="11" spans="1:32" x14ac:dyDescent="0.35">
      <c r="A11" s="40">
        <v>7</v>
      </c>
      <c r="B11" s="37" t="s">
        <v>120</v>
      </c>
      <c r="C11" s="20"/>
      <c r="D11" s="20"/>
      <c r="E11" s="25"/>
      <c r="F11" s="25"/>
      <c r="G11" s="21"/>
      <c r="H11" s="21"/>
      <c r="I11" s="21"/>
      <c r="J11" s="21"/>
      <c r="K11" s="21"/>
      <c r="L11" s="41">
        <v>45145</v>
      </c>
      <c r="M11" s="18" t="s">
        <v>26</v>
      </c>
      <c r="N11" s="21"/>
      <c r="O11" s="21"/>
      <c r="P11" s="25"/>
      <c r="Q11" s="21"/>
      <c r="R11" s="26"/>
      <c r="S11" s="22">
        <v>188</v>
      </c>
      <c r="T11" s="21"/>
      <c r="U11" s="36">
        <v>1</v>
      </c>
      <c r="V11" s="25"/>
      <c r="W11" s="21"/>
      <c r="X11" s="21"/>
      <c r="AA11" s="24"/>
      <c r="AB11" s="24"/>
      <c r="AC11" s="24"/>
      <c r="AD11" s="24"/>
      <c r="AE11" s="24"/>
      <c r="AF11" s="24"/>
    </row>
    <row r="12" spans="1:32" x14ac:dyDescent="0.35">
      <c r="A12" s="39">
        <v>8</v>
      </c>
      <c r="B12" s="38" t="s">
        <v>97</v>
      </c>
      <c r="C12" s="28"/>
      <c r="D12" s="28"/>
      <c r="E12" s="28"/>
      <c r="F12" s="28"/>
      <c r="G12" s="28"/>
      <c r="H12" s="29"/>
      <c r="I12" s="28"/>
      <c r="J12" s="28"/>
      <c r="K12" s="29"/>
      <c r="L12" s="28"/>
      <c r="M12" s="28"/>
      <c r="N12" s="28"/>
      <c r="O12" s="28"/>
      <c r="P12" s="28"/>
      <c r="Q12" s="28"/>
      <c r="R12" s="31"/>
      <c r="S12" s="32"/>
      <c r="T12" s="33"/>
      <c r="U12" s="33"/>
      <c r="V12" s="27"/>
      <c r="W12" s="29"/>
      <c r="X12" s="29"/>
      <c r="AA12" s="24"/>
      <c r="AB12" s="24"/>
      <c r="AC12" s="24"/>
      <c r="AD12" s="24"/>
      <c r="AE12" s="24"/>
      <c r="AF12" s="24"/>
    </row>
    <row r="13" spans="1:32" s="9" customFormat="1" x14ac:dyDescent="0.35">
      <c r="A13" s="40">
        <v>9</v>
      </c>
      <c r="B13" s="37" t="s">
        <v>121</v>
      </c>
      <c r="C13" s="20"/>
      <c r="D13" s="20"/>
      <c r="E13" s="25"/>
      <c r="F13" s="25"/>
      <c r="G13" s="21"/>
      <c r="H13" s="21"/>
      <c r="I13" s="21"/>
      <c r="J13" s="21"/>
      <c r="K13" s="21"/>
      <c r="L13" s="41">
        <v>45144</v>
      </c>
      <c r="M13" s="18" t="s">
        <v>29</v>
      </c>
      <c r="N13" s="21"/>
      <c r="O13" s="21"/>
      <c r="P13" s="25"/>
      <c r="Q13" s="21"/>
      <c r="R13" s="26"/>
      <c r="S13" s="22">
        <v>2908</v>
      </c>
      <c r="T13" s="21"/>
      <c r="U13" s="36">
        <v>1</v>
      </c>
      <c r="V13" s="25"/>
      <c r="W13" s="21"/>
      <c r="X13" s="21"/>
    </row>
    <row r="14" spans="1:32" x14ac:dyDescent="0.35">
      <c r="A14" s="39">
        <v>10</v>
      </c>
      <c r="B14" s="38" t="s">
        <v>22</v>
      </c>
      <c r="C14" s="28"/>
      <c r="D14" s="28"/>
      <c r="E14" s="28"/>
      <c r="F14" s="28"/>
      <c r="G14" s="28"/>
      <c r="H14" s="29"/>
      <c r="I14" s="28"/>
      <c r="J14" s="28"/>
      <c r="K14" s="29"/>
      <c r="L14" s="28"/>
      <c r="M14" s="28"/>
      <c r="N14" s="28"/>
      <c r="O14" s="28"/>
      <c r="P14" s="28"/>
      <c r="Q14" s="28"/>
      <c r="R14" s="31"/>
      <c r="S14" s="32"/>
      <c r="T14" s="33"/>
      <c r="U14" s="33"/>
      <c r="V14" s="27"/>
      <c r="W14" s="29"/>
      <c r="X14" s="29"/>
      <c r="AA14" s="24"/>
      <c r="AB14" s="24"/>
      <c r="AC14" s="24"/>
      <c r="AD14" s="24"/>
      <c r="AE14" s="24"/>
      <c r="AF14" s="24"/>
    </row>
    <row r="15" spans="1:32" x14ac:dyDescent="0.35">
      <c r="A15" s="40">
        <v>11</v>
      </c>
      <c r="B15" s="37" t="s">
        <v>122</v>
      </c>
      <c r="C15" s="20"/>
      <c r="D15" s="20"/>
      <c r="E15" s="25"/>
      <c r="F15" s="25"/>
      <c r="G15" s="21"/>
      <c r="H15" s="21"/>
      <c r="I15" s="21"/>
      <c r="J15" s="21"/>
      <c r="K15" s="21"/>
      <c r="L15" s="41">
        <v>45146</v>
      </c>
      <c r="M15" s="18" t="s">
        <v>20</v>
      </c>
      <c r="N15" s="21"/>
      <c r="O15" s="21"/>
      <c r="P15" s="25"/>
      <c r="Q15" s="21"/>
      <c r="R15" s="26"/>
      <c r="S15" s="22">
        <v>4060</v>
      </c>
      <c r="T15" s="21"/>
      <c r="U15" s="36">
        <v>1</v>
      </c>
      <c r="V15" s="25"/>
      <c r="W15" s="21"/>
      <c r="X15" s="21"/>
      <c r="AA15" s="24"/>
      <c r="AB15" s="24"/>
      <c r="AC15" s="24"/>
      <c r="AD15" s="24"/>
      <c r="AE15" s="24"/>
      <c r="AF15" s="24"/>
    </row>
    <row r="16" spans="1:32" s="9" customFormat="1" x14ac:dyDescent="0.35">
      <c r="A16" s="39">
        <v>12</v>
      </c>
      <c r="B16" s="38" t="s">
        <v>123</v>
      </c>
      <c r="C16" s="28"/>
      <c r="D16" s="28"/>
      <c r="E16" s="28"/>
      <c r="F16" s="28"/>
      <c r="G16" s="28"/>
      <c r="H16" s="29"/>
      <c r="I16" s="28"/>
      <c r="J16" s="28"/>
      <c r="K16" s="29"/>
      <c r="L16" s="28"/>
      <c r="M16" s="28"/>
      <c r="N16" s="28"/>
      <c r="O16" s="28"/>
      <c r="P16" s="28"/>
      <c r="Q16" s="28"/>
      <c r="R16" s="31"/>
      <c r="S16" s="32"/>
      <c r="T16" s="33"/>
      <c r="U16" s="33"/>
      <c r="V16" s="27"/>
      <c r="W16" s="29"/>
      <c r="X16" s="29"/>
    </row>
    <row r="17" spans="1:32" ht="25.4" customHeight="1" x14ac:dyDescent="0.35">
      <c r="A17" s="40">
        <v>13</v>
      </c>
      <c r="B17" s="37" t="s">
        <v>124</v>
      </c>
      <c r="C17" s="20"/>
      <c r="D17" s="20"/>
      <c r="E17" s="25"/>
      <c r="F17" s="25"/>
      <c r="G17" s="21"/>
      <c r="H17" s="21"/>
      <c r="I17" s="21"/>
      <c r="J17" s="21"/>
      <c r="K17" s="21"/>
      <c r="L17" s="41">
        <v>45166</v>
      </c>
      <c r="M17" s="18" t="s">
        <v>170</v>
      </c>
      <c r="N17" s="21"/>
      <c r="O17" s="21"/>
      <c r="P17" s="25"/>
      <c r="Q17" s="21"/>
      <c r="R17" s="26"/>
      <c r="S17" s="22">
        <v>15750</v>
      </c>
      <c r="T17" s="21"/>
      <c r="U17" s="36">
        <v>1</v>
      </c>
      <c r="V17" s="25"/>
      <c r="W17" s="21"/>
      <c r="X17" s="21"/>
      <c r="AA17" s="24"/>
      <c r="AB17" s="24"/>
      <c r="AC17" s="24"/>
      <c r="AD17" s="24"/>
      <c r="AE17" s="24"/>
      <c r="AF17" s="24"/>
    </row>
    <row r="18" spans="1:32" x14ac:dyDescent="0.35">
      <c r="A18" s="39">
        <v>14</v>
      </c>
      <c r="B18" s="38" t="s">
        <v>125</v>
      </c>
      <c r="C18" s="28"/>
      <c r="D18" s="28"/>
      <c r="E18" s="28"/>
      <c r="F18" s="28"/>
      <c r="G18" s="28"/>
      <c r="H18" s="29"/>
      <c r="I18" s="28"/>
      <c r="J18" s="28"/>
      <c r="K18" s="29"/>
      <c r="L18" s="28"/>
      <c r="M18" s="28"/>
      <c r="N18" s="28"/>
      <c r="O18" s="28"/>
      <c r="P18" s="28"/>
      <c r="Q18" s="28"/>
      <c r="R18" s="31"/>
      <c r="S18" s="32"/>
      <c r="T18" s="33"/>
      <c r="U18" s="33"/>
      <c r="V18" s="27"/>
      <c r="W18" s="29"/>
      <c r="X18" s="29"/>
      <c r="AA18" s="24"/>
      <c r="AB18" s="24"/>
      <c r="AC18" s="24"/>
      <c r="AD18" s="24"/>
      <c r="AE18" s="24"/>
      <c r="AF18" s="24"/>
    </row>
    <row r="19" spans="1:32" x14ac:dyDescent="0.35">
      <c r="A19" s="39">
        <v>15</v>
      </c>
      <c r="B19" s="38" t="s">
        <v>126</v>
      </c>
      <c r="C19" s="28"/>
      <c r="D19" s="28"/>
      <c r="E19" s="28"/>
      <c r="F19" s="28"/>
      <c r="G19" s="28"/>
      <c r="H19" s="29"/>
      <c r="I19" s="28"/>
      <c r="J19" s="28"/>
      <c r="K19" s="29"/>
      <c r="L19" s="28"/>
      <c r="M19" s="28"/>
      <c r="N19" s="28"/>
      <c r="O19" s="28"/>
      <c r="P19" s="28"/>
      <c r="Q19" s="28"/>
      <c r="R19" s="31"/>
      <c r="S19" s="32"/>
      <c r="T19" s="33"/>
      <c r="U19" s="33"/>
      <c r="V19" s="27"/>
      <c r="W19" s="29"/>
      <c r="X19" s="29"/>
      <c r="AA19" s="24"/>
      <c r="AB19" s="24"/>
      <c r="AC19" s="24"/>
      <c r="AD19" s="24"/>
      <c r="AE19" s="24"/>
      <c r="AF19" s="24"/>
    </row>
    <row r="20" spans="1:32" x14ac:dyDescent="0.35">
      <c r="A20" s="40">
        <v>16</v>
      </c>
      <c r="B20" s="37" t="s">
        <v>127</v>
      </c>
      <c r="C20" s="20"/>
      <c r="D20" s="20"/>
      <c r="E20" s="25"/>
      <c r="F20" s="25"/>
      <c r="G20" s="21"/>
      <c r="H20" s="21"/>
      <c r="I20" s="21"/>
      <c r="J20" s="21"/>
      <c r="K20" s="21"/>
      <c r="L20" s="41">
        <v>45159</v>
      </c>
      <c r="M20" s="18" t="s">
        <v>28</v>
      </c>
      <c r="N20" s="21"/>
      <c r="O20" s="21"/>
      <c r="P20" s="25"/>
      <c r="Q20" s="21"/>
      <c r="R20" s="26"/>
      <c r="S20" s="22">
        <v>383.7</v>
      </c>
      <c r="T20" s="21"/>
      <c r="U20" s="36">
        <v>1</v>
      </c>
      <c r="V20" s="25"/>
      <c r="W20" s="21"/>
      <c r="X20" s="21"/>
      <c r="AA20" s="24"/>
      <c r="AB20" s="24"/>
      <c r="AC20" s="24"/>
      <c r="AD20" s="24"/>
      <c r="AE20" s="24"/>
      <c r="AF20" s="24"/>
    </row>
    <row r="21" spans="1:32" x14ac:dyDescent="0.35">
      <c r="A21" s="39">
        <v>17</v>
      </c>
      <c r="B21" s="38" t="s">
        <v>112</v>
      </c>
      <c r="C21" s="28"/>
      <c r="D21" s="28"/>
      <c r="E21" s="28"/>
      <c r="F21" s="28"/>
      <c r="G21" s="28"/>
      <c r="H21" s="29"/>
      <c r="I21" s="28"/>
      <c r="J21" s="28"/>
      <c r="K21" s="29"/>
      <c r="L21" s="28"/>
      <c r="M21" s="28"/>
      <c r="N21" s="28"/>
      <c r="O21" s="28"/>
      <c r="P21" s="28"/>
      <c r="Q21" s="28"/>
      <c r="R21" s="31"/>
      <c r="S21" s="32"/>
      <c r="T21" s="33"/>
      <c r="U21" s="33"/>
      <c r="V21" s="27"/>
      <c r="W21" s="29"/>
      <c r="X21" s="29"/>
      <c r="AA21" s="24"/>
      <c r="AB21" s="24"/>
      <c r="AC21" s="24"/>
      <c r="AD21" s="24"/>
      <c r="AE21" s="24"/>
      <c r="AF21" s="24"/>
    </row>
    <row r="22" spans="1:32" x14ac:dyDescent="0.35">
      <c r="A22" s="40">
        <v>18</v>
      </c>
      <c r="B22" s="37" t="s">
        <v>128</v>
      </c>
      <c r="C22" s="20"/>
      <c r="D22" s="20"/>
      <c r="E22" s="25"/>
      <c r="F22" s="25"/>
      <c r="G22" s="21"/>
      <c r="H22" s="21"/>
      <c r="I22" s="21"/>
      <c r="J22" s="21"/>
      <c r="K22" s="21"/>
      <c r="L22" s="41">
        <v>45152</v>
      </c>
      <c r="M22" s="18" t="s">
        <v>114</v>
      </c>
      <c r="N22" s="21"/>
      <c r="O22" s="21"/>
      <c r="P22" s="25"/>
      <c r="Q22" s="21"/>
      <c r="R22" s="26"/>
      <c r="S22" s="22">
        <v>145.76</v>
      </c>
      <c r="T22" s="21"/>
      <c r="U22" s="36">
        <v>1</v>
      </c>
      <c r="V22" s="25"/>
      <c r="W22" s="21"/>
      <c r="X22" s="21"/>
      <c r="AA22" s="24"/>
      <c r="AB22" s="24"/>
      <c r="AC22" s="24"/>
      <c r="AD22" s="24"/>
      <c r="AE22" s="24"/>
      <c r="AF22" s="24"/>
    </row>
    <row r="23" spans="1:32" x14ac:dyDescent="0.35">
      <c r="A23" s="40">
        <v>19</v>
      </c>
      <c r="B23" s="37" t="s">
        <v>129</v>
      </c>
      <c r="C23" s="20"/>
      <c r="D23" s="20"/>
      <c r="E23" s="25"/>
      <c r="F23" s="25"/>
      <c r="G23" s="21"/>
      <c r="H23" s="21"/>
      <c r="I23" s="21"/>
      <c r="J23" s="21"/>
      <c r="K23" s="21"/>
      <c r="L23" s="41">
        <v>45170</v>
      </c>
      <c r="M23" s="18" t="s">
        <v>171</v>
      </c>
      <c r="N23" s="21"/>
      <c r="O23" s="21"/>
      <c r="P23" s="25"/>
      <c r="Q23" s="21"/>
      <c r="R23" s="26"/>
      <c r="S23" s="22">
        <v>1629</v>
      </c>
      <c r="T23" s="21"/>
      <c r="U23" s="36">
        <v>1</v>
      </c>
      <c r="V23" s="25"/>
      <c r="W23" s="21"/>
      <c r="X23" s="21"/>
      <c r="AA23" s="24"/>
      <c r="AB23" s="24"/>
      <c r="AC23" s="24"/>
      <c r="AD23" s="24"/>
      <c r="AE23" s="24"/>
      <c r="AF23" s="24"/>
    </row>
    <row r="24" spans="1:32" s="9" customFormat="1" x14ac:dyDescent="0.35">
      <c r="A24" s="40">
        <v>20</v>
      </c>
      <c r="B24" s="37" t="s">
        <v>130</v>
      </c>
      <c r="C24" s="20"/>
      <c r="D24" s="20"/>
      <c r="E24" s="25"/>
      <c r="F24" s="25"/>
      <c r="G24" s="21"/>
      <c r="H24" s="21"/>
      <c r="I24" s="21"/>
      <c r="J24" s="21"/>
      <c r="K24" s="21"/>
      <c r="L24" s="41">
        <v>45167</v>
      </c>
      <c r="M24" s="18" t="s">
        <v>20</v>
      </c>
      <c r="N24" s="21"/>
      <c r="O24" s="21"/>
      <c r="P24" s="25"/>
      <c r="Q24" s="21"/>
      <c r="R24" s="26"/>
      <c r="S24" s="22">
        <v>1181</v>
      </c>
      <c r="T24" s="21"/>
      <c r="U24" s="36">
        <v>1</v>
      </c>
      <c r="V24" s="25"/>
      <c r="W24" s="21"/>
      <c r="X24" s="21"/>
    </row>
    <row r="25" spans="1:32" s="9" customFormat="1" x14ac:dyDescent="0.35">
      <c r="A25" s="39">
        <v>21</v>
      </c>
      <c r="B25" s="38" t="s">
        <v>131</v>
      </c>
      <c r="C25" s="28"/>
      <c r="D25" s="28"/>
      <c r="E25" s="28"/>
      <c r="F25" s="28"/>
      <c r="G25" s="28"/>
      <c r="H25" s="29"/>
      <c r="I25" s="28"/>
      <c r="J25" s="28"/>
      <c r="K25" s="29"/>
      <c r="L25" s="28"/>
      <c r="M25" s="30"/>
      <c r="N25" s="28"/>
      <c r="O25" s="28"/>
      <c r="P25" s="28"/>
      <c r="Q25" s="28"/>
      <c r="R25" s="31"/>
      <c r="S25" s="32"/>
      <c r="T25" s="33"/>
      <c r="U25" s="33"/>
      <c r="V25" s="27"/>
      <c r="W25" s="29"/>
      <c r="X25" s="29"/>
    </row>
    <row r="26" spans="1:32" ht="22.4" customHeight="1" x14ac:dyDescent="0.35">
      <c r="A26" s="40">
        <v>22</v>
      </c>
      <c r="B26" s="37" t="s">
        <v>131</v>
      </c>
      <c r="C26" s="20"/>
      <c r="D26" s="20"/>
      <c r="E26" s="25"/>
      <c r="F26" s="25"/>
      <c r="G26" s="21"/>
      <c r="H26" s="21"/>
      <c r="I26" s="21"/>
      <c r="J26" s="21"/>
      <c r="K26" s="21"/>
      <c r="L26" s="41">
        <v>45180</v>
      </c>
      <c r="M26" s="18" t="s">
        <v>29</v>
      </c>
      <c r="N26" s="21"/>
      <c r="O26" s="21"/>
      <c r="P26" s="25"/>
      <c r="Q26" s="21"/>
      <c r="R26" s="26"/>
      <c r="S26" s="22">
        <v>203.16</v>
      </c>
      <c r="T26" s="21"/>
      <c r="U26" s="36">
        <v>0.6</v>
      </c>
      <c r="V26" s="25"/>
      <c r="W26" s="21"/>
      <c r="X26" s="21"/>
      <c r="AA26" s="24"/>
      <c r="AB26" s="24"/>
      <c r="AC26" s="24"/>
      <c r="AD26" s="24"/>
      <c r="AE26" s="24"/>
      <c r="AF26" s="24"/>
    </row>
    <row r="27" spans="1:32" s="9" customFormat="1" x14ac:dyDescent="0.35">
      <c r="A27" s="39">
        <v>23</v>
      </c>
      <c r="B27" s="38" t="s">
        <v>132</v>
      </c>
      <c r="C27" s="28"/>
      <c r="D27" s="28"/>
      <c r="E27" s="28"/>
      <c r="F27" s="28"/>
      <c r="G27" s="28"/>
      <c r="H27" s="29"/>
      <c r="I27" s="28"/>
      <c r="J27" s="28"/>
      <c r="K27" s="29"/>
      <c r="L27" s="28"/>
      <c r="M27" s="30"/>
      <c r="N27" s="28"/>
      <c r="O27" s="28"/>
      <c r="P27" s="28"/>
      <c r="Q27" s="28"/>
      <c r="R27" s="31"/>
      <c r="S27" s="32"/>
      <c r="T27" s="33"/>
      <c r="U27" s="33"/>
      <c r="V27" s="27"/>
      <c r="W27" s="29"/>
      <c r="X27" s="29"/>
    </row>
    <row r="28" spans="1:32" x14ac:dyDescent="0.35">
      <c r="A28" s="40">
        <v>24</v>
      </c>
      <c r="B28" s="37" t="s">
        <v>133</v>
      </c>
      <c r="C28" s="20"/>
      <c r="D28" s="20"/>
      <c r="E28" s="25"/>
      <c r="F28" s="25"/>
      <c r="G28" s="21"/>
      <c r="H28" s="21"/>
      <c r="I28" s="21"/>
      <c r="J28" s="21"/>
      <c r="K28" s="21"/>
      <c r="L28" s="41">
        <v>45180</v>
      </c>
      <c r="M28" s="18" t="s">
        <v>29</v>
      </c>
      <c r="N28" s="21"/>
      <c r="O28" s="21"/>
      <c r="P28" s="25"/>
      <c r="Q28" s="21"/>
      <c r="R28" s="26"/>
      <c r="S28" s="22">
        <v>328.15</v>
      </c>
      <c r="T28" s="21"/>
      <c r="U28" s="36">
        <v>0.5</v>
      </c>
      <c r="V28" s="25"/>
      <c r="W28" s="21"/>
      <c r="X28" s="21"/>
      <c r="AA28" s="24"/>
      <c r="AB28" s="24"/>
      <c r="AC28" s="24"/>
      <c r="AD28" s="24"/>
      <c r="AE28" s="24"/>
      <c r="AF28" s="24"/>
    </row>
    <row r="29" spans="1:32" s="9" customFormat="1" ht="24.65" customHeight="1" x14ac:dyDescent="0.35">
      <c r="A29" s="39">
        <v>25</v>
      </c>
      <c r="B29" s="38" t="s">
        <v>134</v>
      </c>
      <c r="C29" s="28"/>
      <c r="D29" s="28"/>
      <c r="E29" s="28"/>
      <c r="F29" s="28"/>
      <c r="G29" s="28"/>
      <c r="H29" s="29"/>
      <c r="I29" s="28"/>
      <c r="J29" s="28"/>
      <c r="K29" s="29"/>
      <c r="L29" s="28"/>
      <c r="M29" s="30"/>
      <c r="N29" s="28"/>
      <c r="O29" s="28"/>
      <c r="P29" s="28"/>
      <c r="Q29" s="28"/>
      <c r="R29" s="31"/>
      <c r="S29" s="32"/>
      <c r="T29" s="33"/>
      <c r="U29" s="33"/>
      <c r="V29" s="27"/>
      <c r="W29" s="29"/>
      <c r="X29" s="29"/>
    </row>
    <row r="30" spans="1:32" x14ac:dyDescent="0.35">
      <c r="A30" s="40">
        <v>26</v>
      </c>
      <c r="B30" s="37" t="s">
        <v>135</v>
      </c>
      <c r="C30" s="20"/>
      <c r="D30" s="20"/>
      <c r="E30" s="25"/>
      <c r="F30" s="25"/>
      <c r="G30" s="21"/>
      <c r="H30" s="21"/>
      <c r="I30" s="21"/>
      <c r="J30" s="21"/>
      <c r="K30" s="21"/>
      <c r="L30" s="41">
        <v>45141</v>
      </c>
      <c r="M30" s="18" t="s">
        <v>26</v>
      </c>
      <c r="N30" s="21"/>
      <c r="O30" s="21"/>
      <c r="P30" s="25"/>
      <c r="Q30" s="21"/>
      <c r="R30" s="26"/>
      <c r="S30" s="22">
        <v>9000</v>
      </c>
      <c r="T30" s="21"/>
      <c r="U30" s="36">
        <v>1</v>
      </c>
      <c r="V30" s="25"/>
      <c r="W30" s="21"/>
      <c r="X30" s="21"/>
      <c r="AA30" s="24"/>
      <c r="AB30" s="24"/>
      <c r="AC30" s="24"/>
      <c r="AD30" s="24"/>
      <c r="AE30" s="24"/>
      <c r="AF30" s="24"/>
    </row>
    <row r="31" spans="1:32" ht="27" customHeight="1" x14ac:dyDescent="0.35">
      <c r="A31" s="40">
        <v>27</v>
      </c>
      <c r="B31" s="37" t="s">
        <v>136</v>
      </c>
      <c r="C31" s="20"/>
      <c r="D31" s="20"/>
      <c r="E31" s="25"/>
      <c r="F31" s="25"/>
      <c r="G31" s="21"/>
      <c r="H31" s="21"/>
      <c r="I31" s="21"/>
      <c r="J31" s="21"/>
      <c r="K31" s="21"/>
      <c r="L31" s="41">
        <v>45141</v>
      </c>
      <c r="M31" s="18" t="s">
        <v>26</v>
      </c>
      <c r="N31" s="21"/>
      <c r="O31" s="21"/>
      <c r="P31" s="25"/>
      <c r="Q31" s="21"/>
      <c r="R31" s="26"/>
      <c r="S31" s="22">
        <v>11250</v>
      </c>
      <c r="T31" s="21"/>
      <c r="U31" s="36">
        <v>1</v>
      </c>
      <c r="V31" s="25"/>
      <c r="W31" s="21"/>
      <c r="X31" s="21"/>
      <c r="AA31" s="24"/>
      <c r="AB31" s="24"/>
      <c r="AC31" s="24"/>
      <c r="AD31" s="24"/>
      <c r="AE31" s="24"/>
      <c r="AF31" s="24"/>
    </row>
    <row r="32" spans="1:32" s="9" customFormat="1" x14ac:dyDescent="0.35">
      <c r="A32" s="40">
        <v>28</v>
      </c>
      <c r="B32" s="37" t="s">
        <v>137</v>
      </c>
      <c r="C32" s="20"/>
      <c r="D32" s="20"/>
      <c r="E32" s="25"/>
      <c r="F32" s="25"/>
      <c r="G32" s="21"/>
      <c r="H32" s="21"/>
      <c r="I32" s="21"/>
      <c r="J32" s="21"/>
      <c r="K32" s="21"/>
      <c r="L32" s="41">
        <v>45141</v>
      </c>
      <c r="M32" s="18" t="s">
        <v>26</v>
      </c>
      <c r="N32" s="21"/>
      <c r="O32" s="21"/>
      <c r="P32" s="25"/>
      <c r="Q32" s="21"/>
      <c r="R32" s="26"/>
      <c r="S32" s="22">
        <v>4000</v>
      </c>
      <c r="T32" s="21"/>
      <c r="U32" s="36">
        <v>1</v>
      </c>
      <c r="V32" s="25"/>
      <c r="W32" s="21"/>
      <c r="X32" s="21"/>
    </row>
    <row r="33" spans="1:32" ht="21" x14ac:dyDescent="0.35">
      <c r="A33" s="40">
        <v>29</v>
      </c>
      <c r="B33" s="37" t="s">
        <v>138</v>
      </c>
      <c r="C33" s="20"/>
      <c r="D33" s="20"/>
      <c r="E33" s="25"/>
      <c r="F33" s="25"/>
      <c r="G33" s="21"/>
      <c r="H33" s="21"/>
      <c r="I33" s="21"/>
      <c r="J33" s="21"/>
      <c r="K33" s="21"/>
      <c r="L33" s="41">
        <v>45141</v>
      </c>
      <c r="M33" s="18" t="s">
        <v>26</v>
      </c>
      <c r="N33" s="21"/>
      <c r="O33" s="21"/>
      <c r="P33" s="25"/>
      <c r="Q33" s="21"/>
      <c r="R33" s="26"/>
      <c r="S33" s="22">
        <v>800</v>
      </c>
      <c r="T33" s="21"/>
      <c r="U33" s="36">
        <v>1</v>
      </c>
      <c r="V33" s="25"/>
      <c r="W33" s="21"/>
      <c r="X33" s="21"/>
      <c r="AA33" s="24"/>
      <c r="AB33" s="24"/>
      <c r="AC33" s="24"/>
      <c r="AD33" s="24"/>
      <c r="AE33" s="24"/>
      <c r="AF33" s="24"/>
    </row>
    <row r="34" spans="1:32" x14ac:dyDescent="0.35">
      <c r="A34" s="39">
        <v>30</v>
      </c>
      <c r="B34" s="38" t="s">
        <v>139</v>
      </c>
      <c r="C34" s="28"/>
      <c r="D34" s="28"/>
      <c r="E34" s="28"/>
      <c r="F34" s="28"/>
      <c r="G34" s="28"/>
      <c r="H34" s="29"/>
      <c r="I34" s="28"/>
      <c r="J34" s="28"/>
      <c r="K34" s="29"/>
      <c r="L34" s="28"/>
      <c r="M34" s="30"/>
      <c r="N34" s="28"/>
      <c r="O34" s="28"/>
      <c r="P34" s="28"/>
      <c r="Q34" s="28"/>
      <c r="R34" s="31"/>
      <c r="S34" s="32"/>
      <c r="T34" s="33"/>
      <c r="U34" s="33"/>
      <c r="V34" s="27"/>
      <c r="W34" s="29"/>
      <c r="X34" s="29"/>
      <c r="AA34" s="24"/>
      <c r="AB34" s="24"/>
      <c r="AC34" s="24"/>
      <c r="AD34" s="24"/>
      <c r="AE34" s="24"/>
      <c r="AF34" s="24"/>
    </row>
    <row r="35" spans="1:32" ht="21" x14ac:dyDescent="0.35">
      <c r="A35" s="40">
        <v>31</v>
      </c>
      <c r="B35" s="37" t="s">
        <v>140</v>
      </c>
      <c r="C35" s="20"/>
      <c r="D35" s="20"/>
      <c r="E35" s="25"/>
      <c r="F35" s="25"/>
      <c r="G35" s="21"/>
      <c r="H35" s="21"/>
      <c r="I35" s="21"/>
      <c r="J35" s="21"/>
      <c r="K35" s="21"/>
      <c r="L35" s="41">
        <v>45153</v>
      </c>
      <c r="M35" s="18" t="s">
        <v>19</v>
      </c>
      <c r="N35" s="21"/>
      <c r="O35" s="21"/>
      <c r="P35" s="25"/>
      <c r="Q35" s="21"/>
      <c r="R35" s="26"/>
      <c r="S35" s="22">
        <v>4000</v>
      </c>
      <c r="T35" s="21"/>
      <c r="U35" s="36">
        <v>1</v>
      </c>
      <c r="V35" s="25"/>
      <c r="W35" s="21"/>
      <c r="X35" s="21"/>
      <c r="AA35" s="24"/>
      <c r="AB35" s="24"/>
      <c r="AC35" s="24"/>
      <c r="AD35" s="24"/>
      <c r="AE35" s="24"/>
      <c r="AF35" s="24"/>
    </row>
    <row r="36" spans="1:32" s="9" customFormat="1" x14ac:dyDescent="0.35">
      <c r="A36" s="40">
        <v>32</v>
      </c>
      <c r="B36" s="37" t="s">
        <v>141</v>
      </c>
      <c r="C36" s="20"/>
      <c r="D36" s="20"/>
      <c r="E36" s="25"/>
      <c r="F36" s="25"/>
      <c r="G36" s="21"/>
      <c r="H36" s="21"/>
      <c r="I36" s="21"/>
      <c r="J36" s="21"/>
      <c r="K36" s="21"/>
      <c r="L36" s="41">
        <v>45154</v>
      </c>
      <c r="M36" s="18" t="s">
        <v>19</v>
      </c>
      <c r="N36" s="21"/>
      <c r="O36" s="21"/>
      <c r="P36" s="25"/>
      <c r="Q36" s="21"/>
      <c r="R36" s="26"/>
      <c r="S36" s="22">
        <v>1500</v>
      </c>
      <c r="T36" s="21"/>
      <c r="U36" s="36">
        <v>1</v>
      </c>
      <c r="V36" s="25"/>
      <c r="W36" s="21"/>
      <c r="X36" s="21"/>
    </row>
    <row r="37" spans="1:32" s="9" customFormat="1" x14ac:dyDescent="0.35">
      <c r="A37" s="40">
        <v>33</v>
      </c>
      <c r="B37" s="37" t="s">
        <v>142</v>
      </c>
      <c r="C37" s="20"/>
      <c r="D37" s="20"/>
      <c r="E37" s="25"/>
      <c r="F37" s="25"/>
      <c r="G37" s="21"/>
      <c r="H37" s="21"/>
      <c r="I37" s="21"/>
      <c r="J37" s="21"/>
      <c r="K37" s="21"/>
      <c r="L37" s="41">
        <v>45154</v>
      </c>
      <c r="M37" s="18" t="s">
        <v>19</v>
      </c>
      <c r="N37" s="21"/>
      <c r="O37" s="21"/>
      <c r="P37" s="25"/>
      <c r="Q37" s="21"/>
      <c r="R37" s="26"/>
      <c r="S37" s="22">
        <v>7500</v>
      </c>
      <c r="T37" s="21"/>
      <c r="U37" s="36">
        <v>1</v>
      </c>
      <c r="V37" s="25"/>
      <c r="W37" s="21"/>
      <c r="X37" s="21"/>
    </row>
    <row r="38" spans="1:32" x14ac:dyDescent="0.35">
      <c r="AA38" s="24"/>
      <c r="AB38" s="24"/>
      <c r="AC38" s="24"/>
      <c r="AD38" s="24"/>
      <c r="AE38" s="24"/>
      <c r="AF38" s="24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8614-41FB-4008-A9B0-95456BB1DDB6}">
  <sheetPr>
    <tabColor theme="3" tint="0.59999389629810485"/>
  </sheetPr>
  <dimension ref="A1:AF47"/>
  <sheetViews>
    <sheetView zoomScale="85" zoomScaleNormal="85" workbookViewId="0">
      <selection activeCell="A5" sqref="A5"/>
    </sheetView>
  </sheetViews>
  <sheetFormatPr defaultColWidth="8.83203125" defaultRowHeight="15.5" x14ac:dyDescent="0.35"/>
  <cols>
    <col min="1" max="1" width="5.08203125" customWidth="1"/>
    <col min="2" max="2" width="32.08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6" max="16" width="8.5" customWidth="1"/>
    <col min="17" max="17" width="8.83203125" customWidth="1"/>
    <col min="19" max="19" width="9.75" bestFit="1" customWidth="1"/>
    <col min="21" max="21" width="9.08203125" customWidth="1"/>
  </cols>
  <sheetData>
    <row r="1" spans="1:32" ht="15" customHeight="1" x14ac:dyDescent="0.35">
      <c r="B1" s="2" t="s">
        <v>43</v>
      </c>
      <c r="C1" s="41">
        <v>45186</v>
      </c>
      <c r="E1" s="2" t="s">
        <v>44</v>
      </c>
      <c r="F1" s="7" t="s">
        <v>172</v>
      </c>
      <c r="G1" s="8"/>
    </row>
    <row r="3" spans="1:32" ht="15" customHeight="1" x14ac:dyDescent="0.35">
      <c r="A3" s="51" t="s">
        <v>0</v>
      </c>
      <c r="B3" s="51"/>
      <c r="C3" s="51" t="s">
        <v>2</v>
      </c>
      <c r="D3" s="51"/>
      <c r="E3" s="51"/>
      <c r="F3" s="51" t="s">
        <v>3</v>
      </c>
      <c r="G3" s="51"/>
      <c r="H3" s="51" t="s">
        <v>4</v>
      </c>
      <c r="I3" s="51"/>
      <c r="J3" s="51"/>
      <c r="K3" s="51"/>
      <c r="L3" s="51" t="s">
        <v>46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spans="1:32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47</v>
      </c>
      <c r="M4" s="2" t="s">
        <v>48</v>
      </c>
      <c r="N4" s="2" t="s">
        <v>49</v>
      </c>
      <c r="O4" s="2" t="s">
        <v>50</v>
      </c>
      <c r="P4" s="2" t="s">
        <v>51</v>
      </c>
      <c r="Q4" s="2" t="s">
        <v>52</v>
      </c>
      <c r="R4" s="2" t="s">
        <v>53</v>
      </c>
      <c r="S4" s="2" t="s">
        <v>54</v>
      </c>
      <c r="T4" s="2" t="s">
        <v>55</v>
      </c>
      <c r="U4" s="2" t="s">
        <v>56</v>
      </c>
      <c r="V4" s="2" t="s">
        <v>46</v>
      </c>
      <c r="W4" s="2" t="s">
        <v>57</v>
      </c>
      <c r="X4" s="2" t="s">
        <v>58</v>
      </c>
    </row>
    <row r="5" spans="1:32" ht="22" customHeight="1" x14ac:dyDescent="0.35">
      <c r="A5" s="39">
        <v>1</v>
      </c>
      <c r="B5" s="38" t="s">
        <v>169</v>
      </c>
      <c r="C5" s="28"/>
      <c r="D5" s="28"/>
      <c r="E5" s="28"/>
      <c r="F5" s="28"/>
      <c r="G5" s="28"/>
      <c r="H5" s="29"/>
      <c r="I5" s="28"/>
      <c r="J5" s="28"/>
      <c r="K5" s="29"/>
      <c r="L5" s="28"/>
      <c r="M5" s="30"/>
      <c r="N5" s="28"/>
      <c r="O5" s="28"/>
      <c r="P5" s="28"/>
      <c r="Q5" s="28"/>
      <c r="R5" s="31"/>
      <c r="S5" s="32"/>
      <c r="T5" s="33"/>
      <c r="U5" s="33"/>
      <c r="V5" s="27"/>
      <c r="W5" s="29"/>
      <c r="X5" s="29"/>
    </row>
    <row r="6" spans="1:32" s="9" customFormat="1" x14ac:dyDescent="0.35">
      <c r="A6" s="39">
        <v>2</v>
      </c>
      <c r="B6" s="38" t="s">
        <v>115</v>
      </c>
      <c r="C6" s="28"/>
      <c r="D6" s="28"/>
      <c r="E6" s="28"/>
      <c r="F6" s="28"/>
      <c r="G6" s="28"/>
      <c r="H6" s="29"/>
      <c r="I6" s="28"/>
      <c r="J6" s="28"/>
      <c r="K6" s="29"/>
      <c r="L6" s="28"/>
      <c r="M6" s="30"/>
      <c r="N6" s="28"/>
      <c r="O6" s="28"/>
      <c r="P6" s="28"/>
      <c r="Q6" s="28"/>
      <c r="R6" s="31"/>
      <c r="S6" s="32"/>
      <c r="T6" s="33"/>
      <c r="U6" s="33"/>
      <c r="V6" s="27"/>
      <c r="W6" s="29"/>
      <c r="X6" s="29"/>
    </row>
    <row r="7" spans="1:32" s="9" customFormat="1" x14ac:dyDescent="0.35">
      <c r="A7" s="39">
        <v>3</v>
      </c>
      <c r="B7" s="38" t="s">
        <v>116</v>
      </c>
      <c r="C7" s="28"/>
      <c r="D7" s="28"/>
      <c r="E7" s="28"/>
      <c r="F7" s="28"/>
      <c r="G7" s="28"/>
      <c r="H7" s="29"/>
      <c r="I7" s="28"/>
      <c r="J7" s="28"/>
      <c r="K7" s="29"/>
      <c r="L7" s="28"/>
      <c r="M7" s="30"/>
      <c r="N7" s="28"/>
      <c r="O7" s="28"/>
      <c r="P7" s="28"/>
      <c r="Q7" s="28"/>
      <c r="R7" s="31"/>
      <c r="S7" s="32"/>
      <c r="T7" s="33"/>
      <c r="U7" s="33"/>
      <c r="V7" s="27"/>
      <c r="W7" s="29"/>
      <c r="X7" s="29"/>
    </row>
    <row r="8" spans="1:32" x14ac:dyDescent="0.35">
      <c r="A8" s="40">
        <v>4</v>
      </c>
      <c r="B8" s="37" t="s">
        <v>117</v>
      </c>
      <c r="C8" s="20"/>
      <c r="D8" s="20"/>
      <c r="E8" s="25"/>
      <c r="F8" s="25"/>
      <c r="G8" s="21"/>
      <c r="H8" s="21"/>
      <c r="I8" s="21"/>
      <c r="J8" s="21"/>
      <c r="K8" s="21"/>
      <c r="L8" s="41">
        <v>45139</v>
      </c>
      <c r="M8" s="18" t="s">
        <v>26</v>
      </c>
      <c r="N8" s="21"/>
      <c r="O8" s="21"/>
      <c r="P8" s="25"/>
      <c r="Q8" s="21"/>
      <c r="R8" s="26"/>
      <c r="S8" s="22">
        <v>1082.33</v>
      </c>
      <c r="T8" s="21"/>
      <c r="U8" s="36">
        <v>1</v>
      </c>
      <c r="V8" s="25"/>
      <c r="W8" s="21"/>
      <c r="X8" s="21"/>
      <c r="AA8" s="24"/>
      <c r="AB8" s="24"/>
      <c r="AC8" s="24"/>
      <c r="AD8" s="24"/>
      <c r="AE8" s="24"/>
      <c r="AF8" s="24"/>
    </row>
    <row r="9" spans="1:32" x14ac:dyDescent="0.35">
      <c r="A9" s="39">
        <v>5</v>
      </c>
      <c r="B9" s="38" t="s">
        <v>118</v>
      </c>
      <c r="C9" s="28"/>
      <c r="D9" s="28"/>
      <c r="E9" s="28"/>
      <c r="F9" s="28"/>
      <c r="G9" s="28"/>
      <c r="H9" s="29"/>
      <c r="I9" s="28"/>
      <c r="J9" s="28"/>
      <c r="K9" s="29"/>
      <c r="L9" s="33"/>
      <c r="M9" s="28"/>
      <c r="N9" s="28"/>
      <c r="O9" s="49"/>
      <c r="P9" s="28"/>
      <c r="Q9" s="28"/>
      <c r="R9" s="31"/>
      <c r="S9" s="32"/>
      <c r="T9" s="33"/>
      <c r="U9" s="33"/>
      <c r="V9" s="27"/>
      <c r="W9" s="29"/>
      <c r="X9" s="29"/>
      <c r="AA9" s="24"/>
      <c r="AB9" s="24"/>
      <c r="AC9" s="24"/>
      <c r="AD9" s="24"/>
      <c r="AE9" s="24"/>
      <c r="AF9" s="24"/>
    </row>
    <row r="10" spans="1:32" x14ac:dyDescent="0.35">
      <c r="A10" s="40">
        <v>6</v>
      </c>
      <c r="B10" s="37" t="s">
        <v>119</v>
      </c>
      <c r="C10" s="20"/>
      <c r="D10" s="20"/>
      <c r="E10" s="25"/>
      <c r="F10" s="25"/>
      <c r="G10" s="21"/>
      <c r="H10" s="21"/>
      <c r="I10" s="21"/>
      <c r="J10" s="21"/>
      <c r="K10" s="21"/>
      <c r="L10" s="41">
        <v>45141</v>
      </c>
      <c r="M10" s="18" t="s">
        <v>26</v>
      </c>
      <c r="N10" s="21"/>
      <c r="O10" s="21"/>
      <c r="P10" s="25"/>
      <c r="Q10" s="21"/>
      <c r="R10" s="26"/>
      <c r="S10" s="22">
        <v>1816</v>
      </c>
      <c r="T10" s="21"/>
      <c r="U10" s="36">
        <v>1</v>
      </c>
      <c r="V10" s="25"/>
      <c r="W10" s="21"/>
      <c r="X10" s="21"/>
      <c r="AA10" s="24"/>
      <c r="AB10" s="24"/>
      <c r="AC10" s="24"/>
      <c r="AD10" s="24"/>
      <c r="AE10" s="24"/>
      <c r="AF10" s="24"/>
    </row>
    <row r="11" spans="1:32" x14ac:dyDescent="0.35">
      <c r="A11" s="40">
        <v>7</v>
      </c>
      <c r="B11" s="37" t="s">
        <v>120</v>
      </c>
      <c r="C11" s="20"/>
      <c r="D11" s="20"/>
      <c r="E11" s="25"/>
      <c r="F11" s="25"/>
      <c r="G11" s="21"/>
      <c r="H11" s="21"/>
      <c r="I11" s="21"/>
      <c r="J11" s="21"/>
      <c r="K11" s="21"/>
      <c r="L11" s="41">
        <v>45145</v>
      </c>
      <c r="M11" s="18" t="s">
        <v>26</v>
      </c>
      <c r="N11" s="21"/>
      <c r="O11" s="21"/>
      <c r="P11" s="25"/>
      <c r="Q11" s="21"/>
      <c r="R11" s="26"/>
      <c r="S11" s="22">
        <v>188</v>
      </c>
      <c r="T11" s="21"/>
      <c r="U11" s="36">
        <v>1</v>
      </c>
      <c r="V11" s="25"/>
      <c r="W11" s="21"/>
      <c r="X11" s="21"/>
      <c r="AA11" s="24"/>
      <c r="AB11" s="24"/>
      <c r="AC11" s="24"/>
      <c r="AD11" s="24"/>
      <c r="AE11" s="24"/>
      <c r="AF11" s="24"/>
    </row>
    <row r="12" spans="1:32" x14ac:dyDescent="0.35">
      <c r="A12" s="39">
        <v>8</v>
      </c>
      <c r="B12" s="38" t="s">
        <v>97</v>
      </c>
      <c r="C12" s="28"/>
      <c r="D12" s="28"/>
      <c r="E12" s="28"/>
      <c r="F12" s="28"/>
      <c r="G12" s="28"/>
      <c r="H12" s="29"/>
      <c r="I12" s="28"/>
      <c r="J12" s="28"/>
      <c r="K12" s="29"/>
      <c r="L12" s="28"/>
      <c r="M12" s="28"/>
      <c r="N12" s="28"/>
      <c r="O12" s="28"/>
      <c r="P12" s="28"/>
      <c r="Q12" s="28"/>
      <c r="R12" s="31"/>
      <c r="S12" s="32"/>
      <c r="T12" s="33"/>
      <c r="U12" s="33"/>
      <c r="V12" s="27"/>
      <c r="W12" s="29"/>
      <c r="X12" s="29"/>
      <c r="AA12" s="24"/>
      <c r="AB12" s="24"/>
      <c r="AC12" s="24"/>
      <c r="AD12" s="24"/>
      <c r="AE12" s="24"/>
      <c r="AF12" s="24"/>
    </row>
    <row r="13" spans="1:32" s="9" customFormat="1" x14ac:dyDescent="0.35">
      <c r="A13" s="40">
        <v>9</v>
      </c>
      <c r="B13" s="37" t="s">
        <v>121</v>
      </c>
      <c r="C13" s="20"/>
      <c r="D13" s="20"/>
      <c r="E13" s="25"/>
      <c r="F13" s="25"/>
      <c r="G13" s="21"/>
      <c r="H13" s="21"/>
      <c r="I13" s="21"/>
      <c r="J13" s="21"/>
      <c r="K13" s="21"/>
      <c r="L13" s="41">
        <v>45144</v>
      </c>
      <c r="M13" s="18" t="s">
        <v>29</v>
      </c>
      <c r="N13" s="21"/>
      <c r="O13" s="21"/>
      <c r="P13" s="25"/>
      <c r="Q13" s="21"/>
      <c r="R13" s="26"/>
      <c r="S13" s="22">
        <v>2908</v>
      </c>
      <c r="T13" s="21"/>
      <c r="U13" s="36">
        <v>1</v>
      </c>
      <c r="V13" s="25"/>
      <c r="W13" s="21"/>
      <c r="X13" s="21"/>
    </row>
    <row r="14" spans="1:32" x14ac:dyDescent="0.35">
      <c r="A14" s="39">
        <v>10</v>
      </c>
      <c r="B14" s="38" t="s">
        <v>22</v>
      </c>
      <c r="C14" s="28"/>
      <c r="D14" s="28"/>
      <c r="E14" s="28"/>
      <c r="F14" s="28"/>
      <c r="G14" s="28"/>
      <c r="H14" s="29"/>
      <c r="I14" s="28"/>
      <c r="J14" s="28"/>
      <c r="K14" s="29"/>
      <c r="L14" s="28"/>
      <c r="M14" s="28"/>
      <c r="N14" s="28"/>
      <c r="O14" s="28"/>
      <c r="P14" s="28"/>
      <c r="Q14" s="28"/>
      <c r="R14" s="31"/>
      <c r="S14" s="32"/>
      <c r="T14" s="33"/>
      <c r="U14" s="33"/>
      <c r="V14" s="27"/>
      <c r="W14" s="29"/>
      <c r="X14" s="29"/>
      <c r="AA14" s="24"/>
      <c r="AB14" s="24"/>
      <c r="AC14" s="24"/>
      <c r="AD14" s="24"/>
      <c r="AE14" s="24"/>
      <c r="AF14" s="24"/>
    </row>
    <row r="15" spans="1:32" x14ac:dyDescent="0.35">
      <c r="A15" s="40">
        <v>11</v>
      </c>
      <c r="B15" s="37" t="s">
        <v>122</v>
      </c>
      <c r="C15" s="20"/>
      <c r="D15" s="20"/>
      <c r="E15" s="25"/>
      <c r="F15" s="25"/>
      <c r="G15" s="21"/>
      <c r="H15" s="21"/>
      <c r="I15" s="21"/>
      <c r="J15" s="21"/>
      <c r="K15" s="21"/>
      <c r="L15" s="41">
        <v>45146</v>
      </c>
      <c r="M15" s="18" t="s">
        <v>20</v>
      </c>
      <c r="N15" s="21"/>
      <c r="O15" s="21"/>
      <c r="P15" s="25"/>
      <c r="Q15" s="21"/>
      <c r="R15" s="26"/>
      <c r="S15" s="22">
        <v>4060</v>
      </c>
      <c r="T15" s="21"/>
      <c r="U15" s="36">
        <v>1</v>
      </c>
      <c r="V15" s="25"/>
      <c r="W15" s="21"/>
      <c r="X15" s="21"/>
      <c r="AA15" s="24"/>
      <c r="AB15" s="24"/>
      <c r="AC15" s="24"/>
      <c r="AD15" s="24"/>
      <c r="AE15" s="24"/>
      <c r="AF15" s="24"/>
    </row>
    <row r="16" spans="1:32" s="9" customFormat="1" x14ac:dyDescent="0.35">
      <c r="A16" s="39">
        <v>12</v>
      </c>
      <c r="B16" s="38" t="s">
        <v>123</v>
      </c>
      <c r="C16" s="28"/>
      <c r="D16" s="28"/>
      <c r="E16" s="28"/>
      <c r="F16" s="28"/>
      <c r="G16" s="28"/>
      <c r="H16" s="29"/>
      <c r="I16" s="28"/>
      <c r="J16" s="28"/>
      <c r="K16" s="29"/>
      <c r="L16" s="28"/>
      <c r="M16" s="28"/>
      <c r="N16" s="28"/>
      <c r="O16" s="28"/>
      <c r="P16" s="28"/>
      <c r="Q16" s="28"/>
      <c r="R16" s="31"/>
      <c r="S16" s="32"/>
      <c r="T16" s="33"/>
      <c r="U16" s="33"/>
      <c r="V16" s="27"/>
      <c r="W16" s="29"/>
      <c r="X16" s="29"/>
    </row>
    <row r="17" spans="1:32" ht="25.4" customHeight="1" x14ac:dyDescent="0.35">
      <c r="A17" s="40">
        <v>13</v>
      </c>
      <c r="B17" s="37" t="s">
        <v>124</v>
      </c>
      <c r="C17" s="20"/>
      <c r="D17" s="20"/>
      <c r="E17" s="25"/>
      <c r="F17" s="25"/>
      <c r="G17" s="21"/>
      <c r="H17" s="21"/>
      <c r="I17" s="21"/>
      <c r="J17" s="21"/>
      <c r="K17" s="21"/>
      <c r="L17" s="41">
        <v>45166</v>
      </c>
      <c r="M17" s="18" t="s">
        <v>170</v>
      </c>
      <c r="N17" s="21"/>
      <c r="O17" s="21"/>
      <c r="P17" s="25"/>
      <c r="Q17" s="21"/>
      <c r="R17" s="26"/>
      <c r="S17" s="22">
        <v>15750</v>
      </c>
      <c r="T17" s="21"/>
      <c r="U17" s="36">
        <v>1</v>
      </c>
      <c r="V17" s="25"/>
      <c r="W17" s="21"/>
      <c r="X17" s="21"/>
      <c r="AA17" s="24"/>
      <c r="AB17" s="24"/>
      <c r="AC17" s="24"/>
      <c r="AD17" s="24"/>
      <c r="AE17" s="24"/>
      <c r="AF17" s="24"/>
    </row>
    <row r="18" spans="1:32" x14ac:dyDescent="0.35">
      <c r="A18" s="39">
        <v>14</v>
      </c>
      <c r="B18" s="38" t="s">
        <v>125</v>
      </c>
      <c r="C18" s="28"/>
      <c r="D18" s="28"/>
      <c r="E18" s="28"/>
      <c r="F18" s="28"/>
      <c r="G18" s="28"/>
      <c r="H18" s="29"/>
      <c r="I18" s="28"/>
      <c r="J18" s="28"/>
      <c r="K18" s="29"/>
      <c r="L18" s="28"/>
      <c r="M18" s="28"/>
      <c r="N18" s="28"/>
      <c r="O18" s="28"/>
      <c r="P18" s="28"/>
      <c r="Q18" s="28"/>
      <c r="R18" s="31"/>
      <c r="S18" s="32"/>
      <c r="T18" s="33"/>
      <c r="U18" s="33"/>
      <c r="V18" s="27"/>
      <c r="W18" s="29"/>
      <c r="X18" s="29"/>
      <c r="AA18" s="24"/>
      <c r="AB18" s="24"/>
      <c r="AC18" s="24"/>
      <c r="AD18" s="24"/>
      <c r="AE18" s="24"/>
      <c r="AF18" s="24"/>
    </row>
    <row r="19" spans="1:32" x14ac:dyDescent="0.35">
      <c r="A19" s="39">
        <v>15</v>
      </c>
      <c r="B19" s="38" t="s">
        <v>126</v>
      </c>
      <c r="C19" s="28"/>
      <c r="D19" s="28"/>
      <c r="E19" s="28"/>
      <c r="F19" s="28"/>
      <c r="G19" s="28"/>
      <c r="H19" s="29"/>
      <c r="I19" s="28"/>
      <c r="J19" s="28"/>
      <c r="K19" s="29"/>
      <c r="L19" s="28"/>
      <c r="M19" s="28"/>
      <c r="N19" s="28"/>
      <c r="O19" s="28"/>
      <c r="P19" s="28"/>
      <c r="Q19" s="28"/>
      <c r="R19" s="31"/>
      <c r="S19" s="32"/>
      <c r="T19" s="33"/>
      <c r="U19" s="33"/>
      <c r="V19" s="27"/>
      <c r="W19" s="29"/>
      <c r="X19" s="29"/>
      <c r="AA19" s="24"/>
      <c r="AB19" s="24"/>
      <c r="AC19" s="24"/>
      <c r="AD19" s="24"/>
      <c r="AE19" s="24"/>
      <c r="AF19" s="24"/>
    </row>
    <row r="20" spans="1:32" x14ac:dyDescent="0.35">
      <c r="A20" s="40">
        <v>16</v>
      </c>
      <c r="B20" s="37" t="s">
        <v>127</v>
      </c>
      <c r="C20" s="20"/>
      <c r="D20" s="20"/>
      <c r="E20" s="25"/>
      <c r="F20" s="25"/>
      <c r="G20" s="21"/>
      <c r="H20" s="21"/>
      <c r="I20" s="21"/>
      <c r="J20" s="21"/>
      <c r="K20" s="21"/>
      <c r="L20" s="41">
        <v>45159</v>
      </c>
      <c r="M20" s="18" t="s">
        <v>28</v>
      </c>
      <c r="N20" s="21"/>
      <c r="O20" s="21"/>
      <c r="P20" s="25"/>
      <c r="Q20" s="21"/>
      <c r="R20" s="26"/>
      <c r="S20" s="22">
        <v>383.7</v>
      </c>
      <c r="T20" s="21"/>
      <c r="U20" s="36">
        <v>1</v>
      </c>
      <c r="V20" s="25"/>
      <c r="W20" s="21"/>
      <c r="X20" s="21"/>
      <c r="AA20" s="24"/>
      <c r="AB20" s="24"/>
      <c r="AC20" s="24"/>
      <c r="AD20" s="24"/>
      <c r="AE20" s="24"/>
      <c r="AF20" s="24"/>
    </row>
    <row r="21" spans="1:32" x14ac:dyDescent="0.35">
      <c r="A21" s="39">
        <v>17</v>
      </c>
      <c r="B21" s="38" t="s">
        <v>112</v>
      </c>
      <c r="C21" s="28"/>
      <c r="D21" s="28"/>
      <c r="E21" s="28"/>
      <c r="F21" s="28"/>
      <c r="G21" s="28"/>
      <c r="H21" s="29"/>
      <c r="I21" s="28"/>
      <c r="J21" s="28"/>
      <c r="K21" s="29"/>
      <c r="L21" s="28"/>
      <c r="M21" s="28"/>
      <c r="N21" s="28"/>
      <c r="O21" s="28"/>
      <c r="P21" s="28"/>
      <c r="Q21" s="28"/>
      <c r="R21" s="31"/>
      <c r="S21" s="32"/>
      <c r="T21" s="33"/>
      <c r="U21" s="33"/>
      <c r="V21" s="27"/>
      <c r="W21" s="29"/>
      <c r="X21" s="29"/>
      <c r="AA21" s="24"/>
      <c r="AB21" s="24"/>
      <c r="AC21" s="24"/>
      <c r="AD21" s="24"/>
      <c r="AE21" s="24"/>
      <c r="AF21" s="24"/>
    </row>
    <row r="22" spans="1:32" x14ac:dyDescent="0.35">
      <c r="A22" s="40">
        <v>18</v>
      </c>
      <c r="B22" s="37" t="s">
        <v>128</v>
      </c>
      <c r="C22" s="20"/>
      <c r="D22" s="20"/>
      <c r="E22" s="25"/>
      <c r="F22" s="25"/>
      <c r="G22" s="21"/>
      <c r="H22" s="21"/>
      <c r="I22" s="21"/>
      <c r="J22" s="21"/>
      <c r="K22" s="21"/>
      <c r="L22" s="41">
        <v>45152</v>
      </c>
      <c r="M22" s="18" t="s">
        <v>114</v>
      </c>
      <c r="N22" s="21"/>
      <c r="O22" s="21"/>
      <c r="P22" s="25"/>
      <c r="Q22" s="21"/>
      <c r="R22" s="26"/>
      <c r="S22" s="22">
        <v>145.76</v>
      </c>
      <c r="T22" s="21"/>
      <c r="U22" s="36">
        <v>1</v>
      </c>
      <c r="V22" s="25"/>
      <c r="W22" s="21"/>
      <c r="X22" s="21"/>
      <c r="AA22" s="24"/>
      <c r="AB22" s="24"/>
      <c r="AC22" s="24"/>
      <c r="AD22" s="24"/>
      <c r="AE22" s="24"/>
      <c r="AF22" s="24"/>
    </row>
    <row r="23" spans="1:32" x14ac:dyDescent="0.35">
      <c r="A23" s="40">
        <v>19</v>
      </c>
      <c r="B23" s="37" t="s">
        <v>129</v>
      </c>
      <c r="C23" s="20"/>
      <c r="D23" s="20"/>
      <c r="E23" s="25"/>
      <c r="F23" s="25"/>
      <c r="G23" s="21"/>
      <c r="H23" s="21"/>
      <c r="I23" s="21"/>
      <c r="J23" s="21"/>
      <c r="K23" s="21"/>
      <c r="L23" s="41">
        <v>45170</v>
      </c>
      <c r="M23" s="18" t="s">
        <v>171</v>
      </c>
      <c r="N23" s="21"/>
      <c r="O23" s="21"/>
      <c r="P23" s="25"/>
      <c r="Q23" s="21"/>
      <c r="R23" s="26"/>
      <c r="S23" s="22">
        <v>1629</v>
      </c>
      <c r="T23" s="21"/>
      <c r="U23" s="36">
        <v>1</v>
      </c>
      <c r="V23" s="25"/>
      <c r="W23" s="21"/>
      <c r="X23" s="21"/>
      <c r="AA23" s="24"/>
      <c r="AB23" s="24"/>
      <c r="AC23" s="24"/>
      <c r="AD23" s="24"/>
      <c r="AE23" s="24"/>
      <c r="AF23" s="24"/>
    </row>
    <row r="24" spans="1:32" s="9" customFormat="1" x14ac:dyDescent="0.35">
      <c r="A24" s="40">
        <v>20</v>
      </c>
      <c r="B24" s="37" t="s">
        <v>130</v>
      </c>
      <c r="C24" s="20"/>
      <c r="D24" s="20"/>
      <c r="E24" s="25"/>
      <c r="F24" s="25"/>
      <c r="G24" s="21"/>
      <c r="H24" s="21"/>
      <c r="I24" s="21"/>
      <c r="J24" s="21"/>
      <c r="K24" s="21"/>
      <c r="L24" s="41">
        <v>45167</v>
      </c>
      <c r="M24" s="18" t="s">
        <v>20</v>
      </c>
      <c r="N24" s="21"/>
      <c r="O24" s="21"/>
      <c r="P24" s="25"/>
      <c r="Q24" s="21"/>
      <c r="R24" s="26"/>
      <c r="S24" s="22">
        <v>1181</v>
      </c>
      <c r="T24" s="21"/>
      <c r="U24" s="36">
        <v>1</v>
      </c>
      <c r="V24" s="25"/>
      <c r="W24" s="21"/>
      <c r="X24" s="21"/>
    </row>
    <row r="25" spans="1:32" s="9" customFormat="1" x14ac:dyDescent="0.35">
      <c r="A25" s="39">
        <v>21</v>
      </c>
      <c r="B25" s="38" t="s">
        <v>131</v>
      </c>
      <c r="C25" s="28"/>
      <c r="D25" s="28"/>
      <c r="E25" s="28"/>
      <c r="F25" s="28"/>
      <c r="G25" s="28"/>
      <c r="H25" s="29"/>
      <c r="I25" s="28"/>
      <c r="J25" s="28"/>
      <c r="K25" s="29"/>
      <c r="L25" s="28"/>
      <c r="M25" s="28"/>
      <c r="N25" s="28"/>
      <c r="O25" s="28"/>
      <c r="P25" s="28"/>
      <c r="Q25" s="28"/>
      <c r="R25" s="31"/>
      <c r="S25" s="32"/>
      <c r="T25" s="33"/>
      <c r="U25" s="33"/>
      <c r="V25" s="27"/>
      <c r="W25" s="29"/>
      <c r="X25" s="29"/>
    </row>
    <row r="26" spans="1:32" ht="22.4" customHeight="1" x14ac:dyDescent="0.35">
      <c r="A26" s="40">
        <v>22</v>
      </c>
      <c r="B26" s="37" t="s">
        <v>131</v>
      </c>
      <c r="C26" s="20"/>
      <c r="D26" s="20"/>
      <c r="E26" s="25"/>
      <c r="F26" s="25"/>
      <c r="G26" s="21"/>
      <c r="H26" s="21"/>
      <c r="I26" s="21"/>
      <c r="J26" s="21"/>
      <c r="K26" s="21"/>
      <c r="L26" s="41">
        <v>45180</v>
      </c>
      <c r="M26" s="18" t="s">
        <v>28</v>
      </c>
      <c r="N26" s="21"/>
      <c r="O26" s="21"/>
      <c r="P26" s="25"/>
      <c r="Q26" s="21"/>
      <c r="R26" s="26"/>
      <c r="S26" s="22">
        <v>338.6</v>
      </c>
      <c r="T26" s="21"/>
      <c r="U26" s="36">
        <v>1</v>
      </c>
      <c r="V26" s="25"/>
      <c r="W26" s="21"/>
      <c r="X26" s="21"/>
      <c r="AA26" s="24"/>
      <c r="AB26" s="24"/>
      <c r="AC26" s="24"/>
      <c r="AD26" s="24"/>
      <c r="AE26" s="24"/>
      <c r="AF26" s="24"/>
    </row>
    <row r="27" spans="1:32" s="9" customFormat="1" x14ac:dyDescent="0.35">
      <c r="A27" s="39">
        <v>23</v>
      </c>
      <c r="B27" s="38" t="s">
        <v>132</v>
      </c>
      <c r="C27" s="28"/>
      <c r="D27" s="28"/>
      <c r="E27" s="28"/>
      <c r="F27" s="28"/>
      <c r="G27" s="28"/>
      <c r="H27" s="29"/>
      <c r="I27" s="28"/>
      <c r="J27" s="28"/>
      <c r="K27" s="29"/>
      <c r="L27" s="28"/>
      <c r="M27" s="28"/>
      <c r="N27" s="28"/>
      <c r="O27" s="28"/>
      <c r="P27" s="28"/>
      <c r="Q27" s="28"/>
      <c r="R27" s="31"/>
      <c r="S27" s="32"/>
      <c r="T27" s="33"/>
      <c r="U27" s="33"/>
      <c r="V27" s="27"/>
      <c r="W27" s="29"/>
      <c r="X27" s="29"/>
    </row>
    <row r="28" spans="1:32" x14ac:dyDescent="0.35">
      <c r="A28" s="40">
        <v>24</v>
      </c>
      <c r="B28" s="37" t="s">
        <v>133</v>
      </c>
      <c r="C28" s="20"/>
      <c r="D28" s="20"/>
      <c r="E28" s="25"/>
      <c r="F28" s="25"/>
      <c r="G28" s="21"/>
      <c r="H28" s="21"/>
      <c r="I28" s="21"/>
      <c r="J28" s="21"/>
      <c r="K28" s="21"/>
      <c r="L28" s="41">
        <v>45180</v>
      </c>
      <c r="M28" s="18" t="s">
        <v>171</v>
      </c>
      <c r="N28" s="21"/>
      <c r="O28" s="21"/>
      <c r="P28" s="25"/>
      <c r="Q28" s="21"/>
      <c r="R28" s="26"/>
      <c r="S28" s="22">
        <v>656.3</v>
      </c>
      <c r="T28" s="21"/>
      <c r="U28" s="36">
        <v>1</v>
      </c>
      <c r="V28" s="25"/>
      <c r="W28" s="21"/>
      <c r="X28" s="21"/>
      <c r="AA28" s="24"/>
      <c r="AB28" s="24"/>
      <c r="AC28" s="24"/>
      <c r="AD28" s="24"/>
      <c r="AE28" s="24"/>
      <c r="AF28" s="24"/>
    </row>
    <row r="29" spans="1:32" s="9" customFormat="1" ht="24.65" customHeight="1" x14ac:dyDescent="0.35">
      <c r="A29" s="39">
        <v>25</v>
      </c>
      <c r="B29" s="38" t="s">
        <v>134</v>
      </c>
      <c r="C29" s="28"/>
      <c r="D29" s="28"/>
      <c r="E29" s="28"/>
      <c r="F29" s="28"/>
      <c r="G29" s="28"/>
      <c r="H29" s="29"/>
      <c r="I29" s="28"/>
      <c r="J29" s="28"/>
      <c r="K29" s="29"/>
      <c r="L29" s="28"/>
      <c r="M29" s="28"/>
      <c r="N29" s="28"/>
      <c r="O29" s="28"/>
      <c r="P29" s="28"/>
      <c r="Q29" s="28"/>
      <c r="R29" s="31"/>
      <c r="S29" s="32"/>
      <c r="T29" s="33"/>
      <c r="U29" s="33"/>
      <c r="V29" s="27"/>
      <c r="W29" s="29"/>
      <c r="X29" s="29"/>
    </row>
    <row r="30" spans="1:32" x14ac:dyDescent="0.35">
      <c r="A30" s="40">
        <v>26</v>
      </c>
      <c r="B30" s="37" t="s">
        <v>135</v>
      </c>
      <c r="C30" s="20"/>
      <c r="D30" s="20"/>
      <c r="E30" s="25"/>
      <c r="F30" s="25"/>
      <c r="G30" s="21"/>
      <c r="H30" s="21"/>
      <c r="I30" s="21"/>
      <c r="J30" s="21"/>
      <c r="K30" s="21"/>
      <c r="L30" s="41">
        <v>45141</v>
      </c>
      <c r="M30" s="18" t="s">
        <v>26</v>
      </c>
      <c r="N30" s="21"/>
      <c r="O30" s="21"/>
      <c r="P30" s="25"/>
      <c r="Q30" s="21"/>
      <c r="R30" s="26"/>
      <c r="S30" s="22">
        <v>9000</v>
      </c>
      <c r="T30" s="21"/>
      <c r="U30" s="36">
        <v>1</v>
      </c>
      <c r="V30" s="25"/>
      <c r="W30" s="21"/>
      <c r="X30" s="21"/>
      <c r="AA30" s="24"/>
      <c r="AB30" s="24"/>
      <c r="AC30" s="24"/>
      <c r="AD30" s="24"/>
      <c r="AE30" s="24"/>
      <c r="AF30" s="24"/>
    </row>
    <row r="31" spans="1:32" ht="27" customHeight="1" x14ac:dyDescent="0.35">
      <c r="A31" s="40">
        <v>27</v>
      </c>
      <c r="B31" s="37" t="s">
        <v>136</v>
      </c>
      <c r="C31" s="20"/>
      <c r="D31" s="20"/>
      <c r="E31" s="25"/>
      <c r="F31" s="25"/>
      <c r="G31" s="21"/>
      <c r="H31" s="21"/>
      <c r="I31" s="21"/>
      <c r="J31" s="21"/>
      <c r="K31" s="21"/>
      <c r="L31" s="41">
        <v>45141</v>
      </c>
      <c r="M31" s="18" t="s">
        <v>26</v>
      </c>
      <c r="N31" s="21"/>
      <c r="O31" s="21"/>
      <c r="P31" s="25"/>
      <c r="Q31" s="21"/>
      <c r="R31" s="26"/>
      <c r="S31" s="22">
        <v>11250</v>
      </c>
      <c r="T31" s="21"/>
      <c r="U31" s="36">
        <v>1</v>
      </c>
      <c r="V31" s="25"/>
      <c r="W31" s="21"/>
      <c r="X31" s="21"/>
      <c r="AA31" s="24"/>
      <c r="AB31" s="24"/>
      <c r="AC31" s="24"/>
      <c r="AD31" s="24"/>
      <c r="AE31" s="24"/>
      <c r="AF31" s="24"/>
    </row>
    <row r="32" spans="1:32" s="9" customFormat="1" x14ac:dyDescent="0.35">
      <c r="A32" s="40">
        <v>28</v>
      </c>
      <c r="B32" s="37" t="s">
        <v>137</v>
      </c>
      <c r="C32" s="20"/>
      <c r="D32" s="20"/>
      <c r="E32" s="25"/>
      <c r="F32" s="25"/>
      <c r="G32" s="21"/>
      <c r="H32" s="21"/>
      <c r="I32" s="21"/>
      <c r="J32" s="21"/>
      <c r="K32" s="21"/>
      <c r="L32" s="41">
        <v>45141</v>
      </c>
      <c r="M32" s="18" t="s">
        <v>26</v>
      </c>
      <c r="N32" s="21"/>
      <c r="O32" s="21"/>
      <c r="P32" s="25"/>
      <c r="Q32" s="21"/>
      <c r="R32" s="26"/>
      <c r="S32" s="22">
        <v>4000</v>
      </c>
      <c r="T32" s="21"/>
      <c r="U32" s="36">
        <v>1</v>
      </c>
      <c r="V32" s="25"/>
      <c r="W32" s="21"/>
      <c r="X32" s="21"/>
    </row>
    <row r="33" spans="1:32" ht="21" x14ac:dyDescent="0.35">
      <c r="A33" s="40">
        <v>29</v>
      </c>
      <c r="B33" s="37" t="s">
        <v>138</v>
      </c>
      <c r="C33" s="20"/>
      <c r="D33" s="20"/>
      <c r="E33" s="25"/>
      <c r="F33" s="25"/>
      <c r="G33" s="21"/>
      <c r="H33" s="21"/>
      <c r="I33" s="21"/>
      <c r="J33" s="21"/>
      <c r="K33" s="21"/>
      <c r="L33" s="41">
        <v>45141</v>
      </c>
      <c r="M33" s="18" t="s">
        <v>26</v>
      </c>
      <c r="N33" s="21"/>
      <c r="O33" s="21"/>
      <c r="P33" s="25"/>
      <c r="Q33" s="21"/>
      <c r="R33" s="26"/>
      <c r="S33" s="22">
        <v>800</v>
      </c>
      <c r="T33" s="21"/>
      <c r="U33" s="36">
        <v>1</v>
      </c>
      <c r="V33" s="25"/>
      <c r="W33" s="21"/>
      <c r="X33" s="21"/>
      <c r="AA33" s="24"/>
      <c r="AB33" s="24"/>
      <c r="AC33" s="24"/>
      <c r="AD33" s="24"/>
      <c r="AE33" s="24"/>
      <c r="AF33" s="24"/>
    </row>
    <row r="34" spans="1:32" x14ac:dyDescent="0.35">
      <c r="A34" s="39">
        <v>30</v>
      </c>
      <c r="B34" s="38" t="s">
        <v>139</v>
      </c>
      <c r="C34" s="28"/>
      <c r="D34" s="28"/>
      <c r="E34" s="28"/>
      <c r="F34" s="28"/>
      <c r="G34" s="28"/>
      <c r="H34" s="29"/>
      <c r="I34" s="28"/>
      <c r="J34" s="28"/>
      <c r="K34" s="29"/>
      <c r="L34" s="28"/>
      <c r="M34" s="28"/>
      <c r="N34" s="28"/>
      <c r="O34" s="28"/>
      <c r="P34" s="28"/>
      <c r="Q34" s="28"/>
      <c r="R34" s="31"/>
      <c r="S34" s="32"/>
      <c r="T34" s="33"/>
      <c r="U34" s="33"/>
      <c r="V34" s="27"/>
      <c r="W34" s="29"/>
      <c r="X34" s="29"/>
      <c r="AA34" s="24"/>
      <c r="AB34" s="24"/>
      <c r="AC34" s="24"/>
      <c r="AD34" s="24"/>
      <c r="AE34" s="24"/>
      <c r="AF34" s="24"/>
    </row>
    <row r="35" spans="1:32" ht="21" x14ac:dyDescent="0.35">
      <c r="A35" s="40">
        <v>31</v>
      </c>
      <c r="B35" s="37" t="s">
        <v>140</v>
      </c>
      <c r="C35" s="20"/>
      <c r="D35" s="20"/>
      <c r="E35" s="25"/>
      <c r="F35" s="25"/>
      <c r="G35" s="21"/>
      <c r="H35" s="21"/>
      <c r="I35" s="21"/>
      <c r="J35" s="21"/>
      <c r="K35" s="21"/>
      <c r="L35" s="41">
        <v>45153</v>
      </c>
      <c r="M35" s="18" t="s">
        <v>19</v>
      </c>
      <c r="N35" s="21"/>
      <c r="O35" s="21"/>
      <c r="P35" s="25"/>
      <c r="Q35" s="21"/>
      <c r="R35" s="26"/>
      <c r="S35" s="22">
        <v>4000</v>
      </c>
      <c r="T35" s="21"/>
      <c r="U35" s="36">
        <v>1</v>
      </c>
      <c r="V35" s="25"/>
      <c r="W35" s="21"/>
      <c r="X35" s="21"/>
      <c r="AA35" s="24"/>
      <c r="AB35" s="24"/>
      <c r="AC35" s="24"/>
      <c r="AD35" s="24"/>
      <c r="AE35" s="24"/>
      <c r="AF35" s="24"/>
    </row>
    <row r="36" spans="1:32" s="9" customFormat="1" x14ac:dyDescent="0.35">
      <c r="A36" s="40">
        <v>32</v>
      </c>
      <c r="B36" s="37" t="s">
        <v>141</v>
      </c>
      <c r="C36" s="20"/>
      <c r="D36" s="20"/>
      <c r="E36" s="25"/>
      <c r="F36" s="25"/>
      <c r="G36" s="21"/>
      <c r="H36" s="21"/>
      <c r="I36" s="21"/>
      <c r="J36" s="21"/>
      <c r="K36" s="21"/>
      <c r="L36" s="41">
        <v>45154</v>
      </c>
      <c r="M36" s="18" t="s">
        <v>19</v>
      </c>
      <c r="N36" s="21"/>
      <c r="O36" s="21"/>
      <c r="P36" s="25"/>
      <c r="Q36" s="21"/>
      <c r="R36" s="26"/>
      <c r="S36" s="22">
        <v>1500</v>
      </c>
      <c r="T36" s="21"/>
      <c r="U36" s="36">
        <v>1</v>
      </c>
      <c r="V36" s="25"/>
      <c r="W36" s="21"/>
      <c r="X36" s="21"/>
    </row>
    <row r="37" spans="1:32" s="9" customFormat="1" x14ac:dyDescent="0.35">
      <c r="A37" s="40">
        <v>33</v>
      </c>
      <c r="B37" s="37" t="s">
        <v>142</v>
      </c>
      <c r="C37" s="20"/>
      <c r="D37" s="20"/>
      <c r="E37" s="25"/>
      <c r="F37" s="25"/>
      <c r="G37" s="21"/>
      <c r="H37" s="21"/>
      <c r="I37" s="21"/>
      <c r="J37" s="21"/>
      <c r="K37" s="21"/>
      <c r="L37" s="41">
        <v>45154</v>
      </c>
      <c r="M37" s="18" t="s">
        <v>19</v>
      </c>
      <c r="N37" s="21"/>
      <c r="O37" s="21"/>
      <c r="P37" s="25"/>
      <c r="Q37" s="21"/>
      <c r="R37" s="26"/>
      <c r="S37" s="22">
        <v>7500</v>
      </c>
      <c r="T37" s="21"/>
      <c r="U37" s="36">
        <v>1</v>
      </c>
      <c r="V37" s="25"/>
      <c r="W37" s="21"/>
      <c r="X37" s="21"/>
    </row>
    <row r="38" spans="1:32" x14ac:dyDescent="0.35">
      <c r="AA38" s="24"/>
      <c r="AB38" s="24"/>
      <c r="AC38" s="24"/>
      <c r="AD38" s="24"/>
      <c r="AE38" s="24"/>
      <c r="AF38" s="24"/>
    </row>
    <row r="47" spans="1:32" x14ac:dyDescent="0.35">
      <c r="D47" s="42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I10" sqref="I10"/>
    </sheetView>
  </sheetViews>
  <sheetFormatPr defaultColWidth="8.83203125" defaultRowHeight="14.5" x14ac:dyDescent="0.35"/>
  <cols>
    <col min="1" max="1" width="9.83203125" style="10" customWidth="1"/>
    <col min="2" max="3" width="8.83203125" style="10"/>
    <col min="4" max="4" width="8.58203125" style="10" customWidth="1"/>
    <col min="5" max="6" width="8.83203125" style="10"/>
    <col min="7" max="7" width="13.33203125" style="10" customWidth="1"/>
    <col min="8" max="16384" width="8.83203125" style="10"/>
  </cols>
  <sheetData>
    <row r="1" spans="1:7" ht="14.15" customHeight="1" x14ac:dyDescent="0.35">
      <c r="A1" s="52" t="s">
        <v>59</v>
      </c>
      <c r="B1" s="53"/>
      <c r="C1" s="50"/>
      <c r="D1" s="54" t="s">
        <v>60</v>
      </c>
      <c r="E1" s="54"/>
      <c r="F1" s="50"/>
      <c r="G1" s="11" t="s">
        <v>61</v>
      </c>
    </row>
    <row r="2" spans="1:7" x14ac:dyDescent="0.35">
      <c r="A2" s="12" t="s">
        <v>62</v>
      </c>
      <c r="B2" s="13" t="s">
        <v>63</v>
      </c>
      <c r="C2" s="50"/>
      <c r="D2" s="12" t="s">
        <v>64</v>
      </c>
      <c r="E2" s="14" t="s">
        <v>65</v>
      </c>
      <c r="F2" s="50"/>
      <c r="G2" s="15">
        <v>44652</v>
      </c>
    </row>
    <row r="3" spans="1:7" x14ac:dyDescent="0.35">
      <c r="A3" s="12" t="s">
        <v>66</v>
      </c>
      <c r="B3" s="13" t="s">
        <v>63</v>
      </c>
      <c r="C3" s="50"/>
      <c r="D3" s="12" t="s">
        <v>67</v>
      </c>
      <c r="E3" s="14" t="s">
        <v>65</v>
      </c>
      <c r="F3" s="50"/>
      <c r="G3" s="50"/>
    </row>
    <row r="4" spans="1:7" x14ac:dyDescent="0.35">
      <c r="A4" s="12" t="s">
        <v>68</v>
      </c>
      <c r="B4" s="13" t="s">
        <v>63</v>
      </c>
      <c r="C4" s="50"/>
      <c r="D4" s="12" t="s">
        <v>69</v>
      </c>
      <c r="E4" s="14" t="s">
        <v>65</v>
      </c>
      <c r="F4" s="50"/>
      <c r="G4" s="16"/>
    </row>
    <row r="5" spans="1:7" x14ac:dyDescent="0.35">
      <c r="A5" s="12" t="s">
        <v>70</v>
      </c>
      <c r="B5" s="13" t="s">
        <v>63</v>
      </c>
      <c r="C5" s="50"/>
      <c r="D5" s="12" t="s">
        <v>71</v>
      </c>
      <c r="E5" s="14" t="s">
        <v>65</v>
      </c>
      <c r="F5" s="50"/>
      <c r="G5" s="16"/>
    </row>
    <row r="6" spans="1:7" x14ac:dyDescent="0.35">
      <c r="A6" s="12" t="s">
        <v>72</v>
      </c>
      <c r="B6" s="13" t="s">
        <v>63</v>
      </c>
      <c r="C6" s="50"/>
      <c r="D6" s="12" t="s">
        <v>73</v>
      </c>
      <c r="E6" s="14" t="s">
        <v>65</v>
      </c>
      <c r="F6" s="50"/>
      <c r="G6" s="16"/>
    </row>
    <row r="7" spans="1:7" x14ac:dyDescent="0.35">
      <c r="A7" s="12" t="s">
        <v>74</v>
      </c>
      <c r="B7" s="13" t="s">
        <v>63</v>
      </c>
      <c r="C7" s="50"/>
      <c r="D7" s="12" t="s">
        <v>75</v>
      </c>
      <c r="E7" s="14" t="s">
        <v>65</v>
      </c>
      <c r="F7" s="50"/>
      <c r="G7" s="16"/>
    </row>
    <row r="8" spans="1:7" x14ac:dyDescent="0.35">
      <c r="A8" s="12" t="s">
        <v>76</v>
      </c>
      <c r="B8" s="13" t="s">
        <v>63</v>
      </c>
      <c r="C8" s="50"/>
      <c r="D8" s="12" t="s">
        <v>77</v>
      </c>
      <c r="E8" s="14" t="s">
        <v>65</v>
      </c>
      <c r="F8" s="50"/>
      <c r="G8" s="16"/>
    </row>
    <row r="9" spans="1:7" x14ac:dyDescent="0.35">
      <c r="A9" s="12" t="s">
        <v>78</v>
      </c>
      <c r="B9" s="13" t="s">
        <v>63</v>
      </c>
      <c r="C9" s="50"/>
      <c r="D9" s="50"/>
      <c r="E9" s="50"/>
      <c r="F9" s="50"/>
      <c r="G9" s="16"/>
    </row>
    <row r="10" spans="1:7" x14ac:dyDescent="0.35">
      <c r="A10" s="12" t="s">
        <v>79</v>
      </c>
      <c r="B10" s="14" t="s">
        <v>65</v>
      </c>
      <c r="C10" s="50"/>
      <c r="D10" s="50"/>
      <c r="E10" s="50"/>
      <c r="F10" s="50"/>
      <c r="G10" s="16"/>
    </row>
    <row r="11" spans="1:7" x14ac:dyDescent="0.35">
      <c r="A11" s="12" t="s">
        <v>80</v>
      </c>
      <c r="B11" s="14" t="s">
        <v>65</v>
      </c>
      <c r="C11" s="50"/>
      <c r="D11" s="50"/>
      <c r="E11" s="50"/>
      <c r="F11" s="50"/>
      <c r="G11" s="16"/>
    </row>
    <row r="12" spans="1:7" x14ac:dyDescent="0.35">
      <c r="A12" s="12" t="s">
        <v>81</v>
      </c>
      <c r="B12" s="14" t="s">
        <v>65</v>
      </c>
      <c r="C12" s="50"/>
      <c r="D12" s="50"/>
      <c r="E12" s="50"/>
      <c r="F12" s="50"/>
      <c r="G12" s="16"/>
    </row>
    <row r="13" spans="1:7" x14ac:dyDescent="0.35">
      <c r="A13" s="12" t="s">
        <v>82</v>
      </c>
      <c r="B13" s="14" t="s">
        <v>65</v>
      </c>
      <c r="C13" s="50"/>
      <c r="D13" s="50"/>
      <c r="E13" s="50"/>
      <c r="F13" s="50"/>
      <c r="G13" s="16"/>
    </row>
    <row r="14" spans="1:7" x14ac:dyDescent="0.35">
      <c r="A14" s="12" t="s">
        <v>83</v>
      </c>
      <c r="B14" s="13" t="s">
        <v>63</v>
      </c>
      <c r="C14" s="50"/>
      <c r="D14" s="50"/>
      <c r="E14" s="50"/>
      <c r="F14" s="50"/>
      <c r="G14" s="16"/>
    </row>
    <row r="15" spans="1:7" x14ac:dyDescent="0.35">
      <c r="A15" s="12" t="s">
        <v>84</v>
      </c>
      <c r="B15" s="14" t="s">
        <v>65</v>
      </c>
      <c r="C15" s="50"/>
      <c r="D15" s="50"/>
      <c r="E15" s="50"/>
      <c r="F15" s="50"/>
      <c r="G15" s="16"/>
    </row>
    <row r="16" spans="1:7" x14ac:dyDescent="0.35">
      <c r="A16" s="12" t="s">
        <v>85</v>
      </c>
      <c r="B16" s="14" t="s">
        <v>65</v>
      </c>
      <c r="C16" s="50"/>
      <c r="D16" s="50"/>
      <c r="E16" s="50"/>
      <c r="F16" s="50"/>
      <c r="G16" s="16"/>
    </row>
    <row r="17" spans="1:7" x14ac:dyDescent="0.35">
      <c r="A17" s="12" t="s">
        <v>86</v>
      </c>
      <c r="B17" s="14" t="s">
        <v>65</v>
      </c>
      <c r="C17" s="50"/>
      <c r="D17" s="50"/>
      <c r="E17" s="50"/>
      <c r="F17" s="50"/>
      <c r="G17" s="16"/>
    </row>
    <row r="18" spans="1:7" x14ac:dyDescent="0.35">
      <c r="A18" s="12" t="s">
        <v>87</v>
      </c>
      <c r="B18" s="14" t="s">
        <v>65</v>
      </c>
      <c r="C18" s="50"/>
      <c r="D18" s="50"/>
      <c r="E18" s="50"/>
      <c r="F18" s="50"/>
      <c r="G18" s="16"/>
    </row>
    <row r="19" spans="1:7" x14ac:dyDescent="0.35">
      <c r="A19" s="12" t="s">
        <v>88</v>
      </c>
      <c r="B19" s="13" t="s">
        <v>63</v>
      </c>
      <c r="C19" s="50"/>
      <c r="D19" s="50"/>
      <c r="E19" s="50"/>
      <c r="F19" s="50"/>
      <c r="G19" s="16"/>
    </row>
    <row r="20" spans="1:7" x14ac:dyDescent="0.35">
      <c r="A20" s="12" t="s">
        <v>89</v>
      </c>
      <c r="B20" s="13" t="s">
        <v>63</v>
      </c>
      <c r="C20" s="50"/>
      <c r="D20" s="50"/>
      <c r="E20" s="50"/>
      <c r="F20" s="50"/>
      <c r="G20" s="16"/>
    </row>
    <row r="21" spans="1:7" x14ac:dyDescent="0.35">
      <c r="A21" s="12" t="s">
        <v>90</v>
      </c>
      <c r="B21" s="13" t="s">
        <v>63</v>
      </c>
      <c r="C21" s="50"/>
      <c r="D21" s="50"/>
      <c r="E21" s="50"/>
      <c r="F21" s="50"/>
      <c r="G21" s="16"/>
    </row>
    <row r="22" spans="1:7" x14ac:dyDescent="0.35">
      <c r="A22" s="12" t="s">
        <v>91</v>
      </c>
      <c r="B22" s="13" t="s">
        <v>63</v>
      </c>
      <c r="C22" s="50"/>
      <c r="D22" s="50"/>
      <c r="E22" s="50"/>
      <c r="F22" s="50"/>
      <c r="G22" s="16"/>
    </row>
    <row r="23" spans="1:7" x14ac:dyDescent="0.35">
      <c r="A23" s="12" t="s">
        <v>92</v>
      </c>
      <c r="B23" s="13" t="s">
        <v>63</v>
      </c>
      <c r="C23" s="50"/>
      <c r="D23" s="50"/>
      <c r="E23" s="50"/>
      <c r="F23" s="50"/>
      <c r="G23" s="16"/>
    </row>
    <row r="24" spans="1:7" x14ac:dyDescent="0.35">
      <c r="A24" s="12" t="s">
        <v>93</v>
      </c>
      <c r="B24" s="13" t="s">
        <v>63</v>
      </c>
      <c r="C24" s="50"/>
      <c r="D24" s="50"/>
      <c r="E24" s="50"/>
      <c r="F24" s="50"/>
      <c r="G24" s="16"/>
    </row>
    <row r="25" spans="1:7" x14ac:dyDescent="0.35">
      <c r="A25" s="12" t="s">
        <v>94</v>
      </c>
      <c r="B25" s="13" t="s">
        <v>63</v>
      </c>
      <c r="C25" s="50"/>
      <c r="D25" s="50"/>
      <c r="E25" s="50"/>
      <c r="F25" s="50"/>
      <c r="G25" s="16"/>
    </row>
    <row r="26" spans="1:7" x14ac:dyDescent="0.35">
      <c r="G26" s="16"/>
    </row>
    <row r="27" spans="1:7" x14ac:dyDescent="0.35">
      <c r="G27" s="16"/>
    </row>
    <row r="28" spans="1:7" x14ac:dyDescent="0.35">
      <c r="G28" s="16"/>
    </row>
    <row r="29" spans="1:7" x14ac:dyDescent="0.35">
      <c r="G29" s="16"/>
    </row>
    <row r="30" spans="1:7" x14ac:dyDescent="0.35">
      <c r="G30" s="16"/>
    </row>
    <row r="31" spans="1:7" x14ac:dyDescent="0.35">
      <c r="G31" s="16"/>
    </row>
    <row r="32" spans="1:7" x14ac:dyDescent="0.35">
      <c r="G32" s="16"/>
    </row>
    <row r="33" spans="7:7" x14ac:dyDescent="0.35">
      <c r="G33" s="16"/>
    </row>
    <row r="34" spans="7:7" x14ac:dyDescent="0.35">
      <c r="G34" s="16"/>
    </row>
    <row r="35" spans="7:7" x14ac:dyDescent="0.35">
      <c r="G35" s="16"/>
    </row>
    <row r="36" spans="7:7" x14ac:dyDescent="0.35">
      <c r="G36" s="16"/>
    </row>
    <row r="37" spans="7:7" x14ac:dyDescent="0.35">
      <c r="G37" s="16"/>
    </row>
    <row r="38" spans="7:7" x14ac:dyDescent="0.35">
      <c r="G38" s="16"/>
    </row>
    <row r="39" spans="7:7" x14ac:dyDescent="0.35">
      <c r="G39" s="16"/>
    </row>
    <row r="40" spans="7:7" x14ac:dyDescent="0.35">
      <c r="G40" s="16"/>
    </row>
    <row r="41" spans="7:7" x14ac:dyDescent="0.35">
      <c r="G41" s="16"/>
    </row>
    <row r="42" spans="7:7" x14ac:dyDescent="0.35">
      <c r="G42" s="16"/>
    </row>
    <row r="43" spans="7:7" x14ac:dyDescent="0.35">
      <c r="G43" s="16"/>
    </row>
    <row r="44" spans="7:7" x14ac:dyDescent="0.35">
      <c r="G44" s="16"/>
    </row>
    <row r="45" spans="7:7" x14ac:dyDescent="0.35">
      <c r="G45" s="16"/>
    </row>
    <row r="46" spans="7:7" x14ac:dyDescent="0.35">
      <c r="G46" s="16"/>
    </row>
    <row r="47" spans="7:7" x14ac:dyDescent="0.35">
      <c r="G47" s="16"/>
    </row>
    <row r="48" spans="7:7" x14ac:dyDescent="0.35">
      <c r="G48" s="16"/>
    </row>
    <row r="49" spans="7:7" x14ac:dyDescent="0.35">
      <c r="G49" s="16"/>
    </row>
    <row r="50" spans="7:7" x14ac:dyDescent="0.35">
      <c r="G50" s="16"/>
    </row>
    <row r="51" spans="7:7" x14ac:dyDescent="0.35">
      <c r="G51" s="16"/>
    </row>
    <row r="52" spans="7:7" x14ac:dyDescent="0.35">
      <c r="G52" s="16"/>
    </row>
    <row r="53" spans="7:7" x14ac:dyDescent="0.35">
      <c r="G53" s="16"/>
    </row>
    <row r="54" spans="7:7" x14ac:dyDescent="0.35">
      <c r="G54" s="16"/>
    </row>
    <row r="55" spans="7:7" x14ac:dyDescent="0.35">
      <c r="G55" s="16"/>
    </row>
    <row r="56" spans="7:7" x14ac:dyDescent="0.35">
      <c r="G56" s="16"/>
    </row>
    <row r="57" spans="7:7" x14ac:dyDescent="0.35">
      <c r="G57" s="16"/>
    </row>
    <row r="58" spans="7:7" x14ac:dyDescent="0.35">
      <c r="G58" s="16"/>
    </row>
    <row r="59" spans="7:7" x14ac:dyDescent="0.35">
      <c r="G59" s="16"/>
    </row>
    <row r="60" spans="7:7" x14ac:dyDescent="0.35">
      <c r="G60" s="16"/>
    </row>
    <row r="61" spans="7:7" x14ac:dyDescent="0.35">
      <c r="G61" s="16"/>
    </row>
    <row r="62" spans="7:7" x14ac:dyDescent="0.35">
      <c r="G62" s="16"/>
    </row>
    <row r="63" spans="7:7" x14ac:dyDescent="0.35">
      <c r="G63" s="16"/>
    </row>
    <row r="64" spans="7:7" x14ac:dyDescent="0.35">
      <c r="G64" s="16"/>
    </row>
    <row r="65" spans="7:7" x14ac:dyDescent="0.35">
      <c r="G65" s="16"/>
    </row>
    <row r="66" spans="7:7" x14ac:dyDescent="0.35">
      <c r="G66" s="16"/>
    </row>
    <row r="67" spans="7:7" x14ac:dyDescent="0.35">
      <c r="G67" s="16"/>
    </row>
    <row r="68" spans="7:7" x14ac:dyDescent="0.35">
      <c r="G68" s="16"/>
    </row>
    <row r="69" spans="7:7" x14ac:dyDescent="0.35">
      <c r="G69" s="16"/>
    </row>
    <row r="70" spans="7:7" x14ac:dyDescent="0.35">
      <c r="G70" s="16"/>
    </row>
    <row r="71" spans="7:7" x14ac:dyDescent="0.35">
      <c r="G71" s="16"/>
    </row>
    <row r="72" spans="7:7" x14ac:dyDescent="0.35">
      <c r="G72" s="16"/>
    </row>
    <row r="73" spans="7:7" x14ac:dyDescent="0.35">
      <c r="G73" s="16"/>
    </row>
    <row r="74" spans="7:7" x14ac:dyDescent="0.35">
      <c r="G74" s="16"/>
    </row>
    <row r="75" spans="7:7" x14ac:dyDescent="0.35">
      <c r="G75" s="16"/>
    </row>
    <row r="76" spans="7:7" x14ac:dyDescent="0.35">
      <c r="G76" s="16"/>
    </row>
    <row r="77" spans="7:7" x14ac:dyDescent="0.35">
      <c r="G77" s="16"/>
    </row>
    <row r="78" spans="7:7" x14ac:dyDescent="0.35">
      <c r="G78" s="16"/>
    </row>
    <row r="79" spans="7:7" x14ac:dyDescent="0.35">
      <c r="G79" s="16"/>
    </row>
    <row r="80" spans="7:7" x14ac:dyDescent="0.35">
      <c r="G80" s="16"/>
    </row>
    <row r="81" spans="7:7" x14ac:dyDescent="0.35">
      <c r="G81" s="16"/>
    </row>
    <row r="82" spans="7:7" x14ac:dyDescent="0.35">
      <c r="G82" s="16"/>
    </row>
    <row r="83" spans="7:7" x14ac:dyDescent="0.35">
      <c r="G83" s="16"/>
    </row>
    <row r="84" spans="7:7" x14ac:dyDescent="0.35">
      <c r="G84" s="16"/>
    </row>
    <row r="85" spans="7:7" x14ac:dyDescent="0.35">
      <c r="G85" s="16"/>
    </row>
    <row r="86" spans="7:7" x14ac:dyDescent="0.35">
      <c r="G86" s="16"/>
    </row>
    <row r="87" spans="7:7" x14ac:dyDescent="0.35">
      <c r="G87" s="16"/>
    </row>
    <row r="88" spans="7:7" x14ac:dyDescent="0.35">
      <c r="G88" s="16"/>
    </row>
    <row r="89" spans="7:7" x14ac:dyDescent="0.35">
      <c r="G89" s="16"/>
    </row>
    <row r="90" spans="7:7" x14ac:dyDescent="0.35">
      <c r="G90" s="16"/>
    </row>
    <row r="91" spans="7:7" x14ac:dyDescent="0.35">
      <c r="G91" s="16"/>
    </row>
    <row r="92" spans="7:7" x14ac:dyDescent="0.35">
      <c r="G92" s="16"/>
    </row>
    <row r="93" spans="7:7" x14ac:dyDescent="0.35">
      <c r="G93" s="16"/>
    </row>
    <row r="94" spans="7:7" x14ac:dyDescent="0.35">
      <c r="G94" s="16"/>
    </row>
    <row r="95" spans="7:7" x14ac:dyDescent="0.35">
      <c r="G95" s="16"/>
    </row>
    <row r="96" spans="7:7" x14ac:dyDescent="0.35">
      <c r="G96" s="16"/>
    </row>
    <row r="97" spans="7:7" x14ac:dyDescent="0.35">
      <c r="G97" s="16"/>
    </row>
    <row r="98" spans="7:7" x14ac:dyDescent="0.35">
      <c r="G98" s="16"/>
    </row>
    <row r="99" spans="7:7" x14ac:dyDescent="0.35">
      <c r="G99" s="16"/>
    </row>
    <row r="100" spans="7:7" x14ac:dyDescent="0.35">
      <c r="G100" s="16"/>
    </row>
    <row r="101" spans="7:7" x14ac:dyDescent="0.35">
      <c r="G101" s="16"/>
    </row>
    <row r="102" spans="7:7" x14ac:dyDescent="0.35">
      <c r="G102" s="16"/>
    </row>
    <row r="103" spans="7:7" x14ac:dyDescent="0.35">
      <c r="G103" s="16"/>
    </row>
    <row r="104" spans="7:7" x14ac:dyDescent="0.35">
      <c r="G104" s="16"/>
    </row>
    <row r="105" spans="7:7" x14ac:dyDescent="0.35">
      <c r="G105" s="16"/>
    </row>
    <row r="106" spans="7:7" x14ac:dyDescent="0.35">
      <c r="G106" s="16"/>
    </row>
    <row r="107" spans="7:7" x14ac:dyDescent="0.35">
      <c r="G107" s="16"/>
    </row>
    <row r="108" spans="7:7" x14ac:dyDescent="0.35">
      <c r="G108" s="16"/>
    </row>
    <row r="109" spans="7:7" x14ac:dyDescent="0.35">
      <c r="G109" s="16"/>
    </row>
    <row r="110" spans="7:7" x14ac:dyDescent="0.35">
      <c r="G110" s="16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cp:lastPrinted>2023-12-28T23:34:00Z</cp:lastPrinted>
  <dcterms:created xsi:type="dcterms:W3CDTF">2014-01-20T08:47:00Z</dcterms:created>
  <dcterms:modified xsi:type="dcterms:W3CDTF">2026-08-24T13:00:05Z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