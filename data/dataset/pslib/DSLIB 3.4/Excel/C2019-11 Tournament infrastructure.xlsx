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mina\Desktop\April data\Empirical dataset\Excel\"/>
    </mc:Choice>
  </mc:AlternateContent>
  <xr:revisionPtr revIDLastSave="0" documentId="13_ncr:1_{E3CB3A94-8617-49FE-8A3B-2BBADB100700}" xr6:coauthVersionLast="47" xr6:coauthVersionMax="47" xr10:uidLastSave="{00000000-0000-0000-0000-000000000000}"/>
  <bookViews>
    <workbookView xWindow="-120" yWindow="-120" windowWidth="29040" windowHeight="15720" firstSheet="11" activeTab="25" xr2:uid="{00000000-000D-0000-FFFF-FFFF00000000}"/>
  </bookViews>
  <sheets>
    <sheet name="Baseline Schedule" sheetId="1" r:id="rId1"/>
    <sheet name="Gantt chart" sheetId="29" r:id="rId2"/>
    <sheet name="Resources" sheetId="2" r:id="rId3"/>
    <sheet name="Risk Analysis" sheetId="3" r:id="rId4"/>
    <sheet name="Project Control - TP1" sheetId="4" r:id="rId5"/>
    <sheet name="TP2" sheetId="5" r:id="rId6"/>
    <sheet name="TP3" sheetId="6" r:id="rId7"/>
    <sheet name="TP4" sheetId="7" r:id="rId8"/>
    <sheet name="TP5" sheetId="8" r:id="rId9"/>
    <sheet name="TP6" sheetId="9" r:id="rId10"/>
    <sheet name="TP7" sheetId="10" r:id="rId11"/>
    <sheet name="TP8" sheetId="11" r:id="rId12"/>
    <sheet name="TP9" sheetId="12" r:id="rId13"/>
    <sheet name="TP10" sheetId="13" r:id="rId14"/>
    <sheet name="TP11" sheetId="14" r:id="rId15"/>
    <sheet name="TP12" sheetId="15" r:id="rId16"/>
    <sheet name="TP13" sheetId="16" r:id="rId17"/>
    <sheet name="TP14" sheetId="17" r:id="rId18"/>
    <sheet name="TP15" sheetId="18" r:id="rId19"/>
    <sheet name="TP16" sheetId="19" r:id="rId20"/>
    <sheet name="TP17" sheetId="20" r:id="rId21"/>
    <sheet name="TP18" sheetId="21" r:id="rId22"/>
    <sheet name="TP19" sheetId="22" r:id="rId23"/>
    <sheet name="TP20" sheetId="23" r:id="rId24"/>
    <sheet name="TP21" sheetId="24" r:id="rId25"/>
    <sheet name="TP22" sheetId="25" r:id="rId26"/>
    <sheet name="TP23" sheetId="26" r:id="rId27"/>
    <sheet name="Agenda" sheetId="27" r:id="rId28"/>
    <sheet name="Tracking Overview" sheetId="28" r:id="rId29"/>
    <sheet name="AC, EV, PV" sheetId="30" r:id="rId30"/>
    <sheet name="CPI, SPI(t)" sheetId="31" r:id="rId31"/>
    <sheet name="SPI, SPI(t), p-factor" sheetId="32" r:id="rId32"/>
    <sheet name="CV" sheetId="33" r:id="rId33"/>
    <sheet name="SV(t)" sheetId="34" r:id="rId34"/>
    <sheet name="CPI" sheetId="35" r:id="rId35"/>
    <sheet name="SPI(t)" sheetId="36" r:id="rId3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4" i="28" l="1"/>
  <c r="AH4" i="28"/>
  <c r="AI4" i="28"/>
  <c r="AK4" i="28"/>
  <c r="AM4" i="28"/>
  <c r="AG5" i="28"/>
  <c r="AH5" i="28"/>
  <c r="AI5" i="28"/>
  <c r="AK5" i="28"/>
  <c r="AM5" i="28"/>
  <c r="AG6" i="28"/>
  <c r="AH6" i="28"/>
  <c r="AI6" i="28"/>
  <c r="AK6" i="28"/>
  <c r="AM6" i="28"/>
  <c r="AG7" i="28"/>
  <c r="AH7" i="28"/>
  <c r="AI7" i="28"/>
  <c r="AK7" i="28"/>
  <c r="AM7" i="28"/>
  <c r="AG8" i="28"/>
  <c r="AH8" i="28"/>
  <c r="AI8" i="28"/>
  <c r="AK8" i="28"/>
  <c r="AM8" i="28"/>
  <c r="AG9" i="28"/>
  <c r="AH9" i="28"/>
  <c r="AI9" i="28"/>
  <c r="AK9" i="28"/>
  <c r="AM9" i="28"/>
  <c r="AG10" i="28"/>
  <c r="AH10" i="28"/>
  <c r="AI10" i="28"/>
  <c r="AK10" i="28"/>
  <c r="AM10" i="28"/>
  <c r="AG11" i="28"/>
  <c r="AH11" i="28"/>
  <c r="AI11" i="28"/>
  <c r="AK11" i="28"/>
  <c r="AM11" i="28"/>
  <c r="AG12" i="28"/>
  <c r="AH12" i="28"/>
  <c r="AI12" i="28"/>
  <c r="AK12" i="28"/>
  <c r="AM12" i="28"/>
  <c r="AG13" i="28"/>
  <c r="AH13" i="28"/>
  <c r="AI13" i="28"/>
  <c r="AK13" i="28"/>
  <c r="AM13" i="28"/>
  <c r="AG14" i="28"/>
  <c r="AH14" i="28"/>
  <c r="AI14" i="28"/>
  <c r="AK14" i="28"/>
  <c r="AM14" i="28"/>
  <c r="AG15" i="28"/>
  <c r="AH15" i="28"/>
  <c r="AI15" i="28"/>
  <c r="AK15" i="28"/>
  <c r="AM15" i="28"/>
  <c r="AG16" i="28"/>
  <c r="AH16" i="28"/>
  <c r="AI16" i="28"/>
  <c r="AK16" i="28"/>
  <c r="AM16" i="28"/>
  <c r="AG17" i="28"/>
  <c r="AH17" i="28"/>
  <c r="AI17" i="28"/>
  <c r="AK17" i="28"/>
  <c r="AM17" i="28"/>
  <c r="AG18" i="28"/>
  <c r="AH18" i="28"/>
  <c r="AI18" i="28"/>
  <c r="AK18" i="28"/>
  <c r="AM18" i="28"/>
  <c r="AG19" i="28"/>
  <c r="AH19" i="28"/>
  <c r="AI19" i="28"/>
  <c r="AK19" i="28"/>
  <c r="AM19" i="28"/>
  <c r="AG20" i="28"/>
  <c r="AH20" i="28"/>
  <c r="AI20" i="28"/>
  <c r="AK20" i="28"/>
  <c r="AM20" i="28"/>
  <c r="AG21" i="28"/>
  <c r="AH21" i="28"/>
  <c r="AI21" i="28"/>
  <c r="AK21" i="28"/>
  <c r="AM21" i="28"/>
  <c r="AG22" i="28"/>
  <c r="AH22" i="28"/>
  <c r="AI22" i="28"/>
  <c r="AK22" i="28"/>
  <c r="AM22" i="28"/>
  <c r="AG23" i="28"/>
  <c r="AH23" i="28"/>
  <c r="AI23" i="28"/>
  <c r="AK23" i="28"/>
  <c r="AM23" i="28"/>
  <c r="AG24" i="28"/>
  <c r="AH24" i="28"/>
  <c r="AI24" i="28"/>
  <c r="AK24" i="28"/>
  <c r="AM24" i="28"/>
  <c r="AG25" i="28"/>
  <c r="AH25" i="28"/>
  <c r="AI25" i="28"/>
  <c r="AK25" i="28"/>
  <c r="AM25" i="28"/>
  <c r="AF25" i="28"/>
  <c r="AF4" i="28"/>
  <c r="AF5" i="28"/>
  <c r="AF6" i="28"/>
  <c r="AF7" i="28"/>
  <c r="AF8" i="28"/>
  <c r="AF9" i="28"/>
  <c r="AF10" i="28"/>
  <c r="AF11" i="28"/>
  <c r="AF12" i="28"/>
  <c r="AF13" i="28"/>
  <c r="AF14" i="28"/>
  <c r="AF15" i="28"/>
  <c r="AF16" i="28"/>
  <c r="AF17" i="28"/>
  <c r="AF18" i="28"/>
  <c r="AF19" i="28"/>
  <c r="AF20" i="28"/>
  <c r="AF21" i="28"/>
  <c r="AF22" i="28"/>
  <c r="AF23" i="28"/>
  <c r="AF24" i="28"/>
  <c r="AM3" i="28"/>
  <c r="AK3" i="28"/>
  <c r="AI3" i="28"/>
  <c r="AH3" i="28"/>
  <c r="AG3" i="28"/>
  <c r="AF3" i="28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" i="1"/>
</calcChain>
</file>

<file path=xl/sharedStrings.xml><?xml version="1.0" encoding="utf-8"?>
<sst xmlns="http://schemas.openxmlformats.org/spreadsheetml/2006/main" count="5373" uniqueCount="332">
  <si>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</si>
  <si>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</si>
  <si>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</si>
  <si>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</si>
  <si>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</si>
  <si>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</si>
  <si>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</si>
  <si>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</si>
  <si>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</si>
  <si>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</si>
  <si>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</si>
  <si>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</si>
  <si>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</si>
  <si>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</si>
  <si>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</si>
  <si>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</si>
  <si>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</si>
  <si>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</si>
  <si>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Project</t>
  </si>
  <si>
    <t>1</t>
  </si>
  <si>
    <t>27d 3h</t>
  </si>
  <si>
    <t>Start</t>
  </si>
  <si>
    <t>1.1</t>
  </si>
  <si>
    <t>FS2</t>
  </si>
  <si>
    <t>0</t>
  </si>
  <si>
    <t>Mowing and cleaning up cuttings</t>
  </si>
  <si>
    <t>1.2</t>
  </si>
  <si>
    <t>1FS</t>
  </si>
  <si>
    <t>FS3;FS6;FS7;FS11;FS17;FS25;FS27</t>
  </si>
  <si>
    <t>3h</t>
  </si>
  <si>
    <t>Volunteers[3.00 #15]</t>
  </si>
  <si>
    <t>Drilling holes</t>
  </si>
  <si>
    <t>1.3</t>
  </si>
  <si>
    <t>2FS</t>
  </si>
  <si>
    <t>FS4</t>
  </si>
  <si>
    <t>5d</t>
  </si>
  <si>
    <t>Volunteers[6.00 #15]</t>
  </si>
  <si>
    <t>Placing poles</t>
  </si>
  <si>
    <t>1.4</t>
  </si>
  <si>
    <t>3FS</t>
  </si>
  <si>
    <t>FS5</t>
  </si>
  <si>
    <t>2d 2h</t>
  </si>
  <si>
    <t>Volunteers[10.00 #15]</t>
  </si>
  <si>
    <t>Attaching ropes and nets to poles</t>
  </si>
  <si>
    <t>1.5</t>
  </si>
  <si>
    <t>4FS</t>
  </si>
  <si>
    <t>FS8;FS9;FS10;FS15;FS18;FS26</t>
  </si>
  <si>
    <t>10d 2h</t>
  </si>
  <si>
    <t>Building material post</t>
  </si>
  <si>
    <t>1.6</t>
  </si>
  <si>
    <t>FS28</t>
  </si>
  <si>
    <t>2d</t>
  </si>
  <si>
    <t>Volunteers[8.00 #15]</t>
  </si>
  <si>
    <t>Building bridges and exits</t>
  </si>
  <si>
    <t>1.7</t>
  </si>
  <si>
    <t>FS30</t>
  </si>
  <si>
    <t>6d</t>
  </si>
  <si>
    <t>Volunteers[4.00 #15]</t>
  </si>
  <si>
    <t>Building plateau and staircase audience</t>
  </si>
  <si>
    <t>1.8</t>
  </si>
  <si>
    <t>5FS</t>
  </si>
  <si>
    <t>1d</t>
  </si>
  <si>
    <t>Building camera plateau</t>
  </si>
  <si>
    <t>1.9</t>
  </si>
  <si>
    <t>Creating starting sections and finish line</t>
  </si>
  <si>
    <t>1.10</t>
  </si>
  <si>
    <t>FS19</t>
  </si>
  <si>
    <t>Volunteers[2.00 #15]</t>
  </si>
  <si>
    <t>Installing bicycle storage</t>
  </si>
  <si>
    <t>1.11</t>
  </si>
  <si>
    <t>Placing poles for banners and flags</t>
  </si>
  <si>
    <t>1.12</t>
  </si>
  <si>
    <t>17FS</t>
  </si>
  <si>
    <t>FS14;FS16</t>
  </si>
  <si>
    <t>Hanging banners</t>
  </si>
  <si>
    <t>1.13</t>
  </si>
  <si>
    <t>13FS</t>
  </si>
  <si>
    <t>Volunteers[12.00 #15]</t>
  </si>
  <si>
    <t>Hanging track signs</t>
  </si>
  <si>
    <t>1.14</t>
  </si>
  <si>
    <t>Placing flagpoles for homage</t>
  </si>
  <si>
    <t>1.15</t>
  </si>
  <si>
    <t>Building podium</t>
  </si>
  <si>
    <t>1.16</t>
  </si>
  <si>
    <t>FS13</t>
  </si>
  <si>
    <t>Volunteers[5.00 #15]</t>
  </si>
  <si>
    <t>Placing traffic signs</t>
  </si>
  <si>
    <t>1.17</t>
  </si>
  <si>
    <t>Placing crush barriers and banners</t>
  </si>
  <si>
    <t>1.18</t>
  </si>
  <si>
    <t>10FS</t>
  </si>
  <si>
    <t>Constructing VIP tents</t>
  </si>
  <si>
    <t>1.19</t>
  </si>
  <si>
    <t>27FS</t>
  </si>
  <si>
    <t>FS21;FS22;FS23</t>
  </si>
  <si>
    <t>Placing building fences for VIP tents</t>
  </si>
  <si>
    <t>1.20</t>
  </si>
  <si>
    <t>20FS</t>
  </si>
  <si>
    <t>Installing drains for VIP tents</t>
  </si>
  <si>
    <t>1.21</t>
  </si>
  <si>
    <t>FS24</t>
  </si>
  <si>
    <t>Decorating VIP tents</t>
  </si>
  <si>
    <t>1.22</t>
  </si>
  <si>
    <t>Placing toilets for VIP tents</t>
  </si>
  <si>
    <t>1.23</t>
  </si>
  <si>
    <t>22FS</t>
  </si>
  <si>
    <t>Placing public toilets</t>
  </si>
  <si>
    <t>1.24</t>
  </si>
  <si>
    <t>Placing garbage bins</t>
  </si>
  <si>
    <t>1.25</t>
  </si>
  <si>
    <t>Placing and testing generator</t>
  </si>
  <si>
    <t>1.26</t>
  </si>
  <si>
    <t>FS20</t>
  </si>
  <si>
    <t>Equipping material post</t>
  </si>
  <si>
    <t>1.27</t>
  </si>
  <si>
    <t>6FS</t>
  </si>
  <si>
    <t>FS29</t>
  </si>
  <si>
    <t>Testing high pressure cleaners</t>
  </si>
  <si>
    <t>1.28</t>
  </si>
  <si>
    <t>28FS</t>
  </si>
  <si>
    <t>Final check up</t>
  </si>
  <si>
    <t>1.29</t>
  </si>
  <si>
    <t>29FS;8FS;9FS;15FS;19FS;18FS;26FS;7FS;11FS;14FS;16FS;21FS;24FS;23FS;25FS</t>
  </si>
  <si>
    <t>FS31</t>
  </si>
  <si>
    <t>6h</t>
  </si>
  <si>
    <t>Finish</t>
  </si>
  <si>
    <t>1.30</t>
  </si>
  <si>
    <t>30FS</t>
  </si>
  <si>
    <t>Type</t>
  </si>
  <si>
    <t>Availability</t>
  </si>
  <si>
    <t>Cost/Use</t>
  </si>
  <si>
    <t>Cost/Unit</t>
  </si>
  <si>
    <t>Assigned To</t>
  </si>
  <si>
    <t>Volunteers</t>
  </si>
  <si>
    <t>Renewable</t>
  </si>
  <si>
    <t>15 person</t>
  </si>
  <si>
    <t>2[3.00 Volunteers];3[6.00 Volunteers];4[10.00 Volunteers];5[10.00 Volunteers];6[8.00 Volunteers];7[4.00 Volunteers];8[4.00 Volunteers];9[4.00 Volunteers];10[2.00 Volunteers];11[2.00 Volunteers];13[2.00 Volunteers];14[12.00 Volunteers];15[4.00 Volunteers];16[4.00 Volunteers];17[5.00 Volunteers];18[4.00 Volunteers];19[12.00 Volunteers];20[2.00 Volunteers];21[6.00 Volunteers];22[2.00 Volunteers];23[8.00 Volunteers];24[2.00 Volunteers];25[2.00 Volunteers];26[4.00 Volunteers];27[2.00 Volunteers];28[2.00 Volunteers];29[2.00 Volunteers];30[2.00 Volunteers];</t>
  </si>
  <si>
    <t>Activity Duration Distribution Profiles</t>
  </si>
  <si>
    <t>Description</t>
  </si>
  <si>
    <t>Optimistic</t>
  </si>
  <si>
    <t>Most Probable</t>
  </si>
  <si>
    <t>Pessimistic</t>
  </si>
  <si>
    <t>192h</t>
  </si>
  <si>
    <t>standard - skewed right</t>
  </si>
  <si>
    <t>35h</t>
  </si>
  <si>
    <t>16h</t>
  </si>
  <si>
    <t>72h</t>
  </si>
  <si>
    <t>14h</t>
  </si>
  <si>
    <t>42h</t>
  </si>
  <si>
    <t>7h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</si>
  <si>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</si>
  <si>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</si>
  <si>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</si>
  <si>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</si>
  <si>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</si>
  <si>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</si>
  <si>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</si>
  <si>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</si>
  <si>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</si>
  <si>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</si>
  <si>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</si>
  <si>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</si>
  <si>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</si>
  <si>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</si>
  <si>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</si>
  <si>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9/12/2019 17:00</t>
  </si>
  <si>
    <t>Finished</t>
  </si>
  <si>
    <t>4h</t>
  </si>
  <si>
    <t>3d</t>
  </si>
  <si>
    <t>Started</t>
  </si>
  <si>
    <t>Not Started</t>
  </si>
  <si>
    <t>1d 5h</t>
  </si>
  <si>
    <t>10/12/2019 17:00</t>
  </si>
  <si>
    <t>1d 4h</t>
  </si>
  <si>
    <t>5h</t>
  </si>
  <si>
    <t>11/12/2019 17:00</t>
  </si>
  <si>
    <t>2d 4h</t>
  </si>
  <si>
    <t>2h</t>
  </si>
  <si>
    <t>1d 1h</t>
  </si>
  <si>
    <t>12/12/2019 17:00</t>
  </si>
  <si>
    <t>4d</t>
  </si>
  <si>
    <t>3d 4h</t>
  </si>
  <si>
    <t>1d 2h</t>
  </si>
  <si>
    <t>1h</t>
  </si>
  <si>
    <t>13/12/2019 17:00</t>
  </si>
  <si>
    <t>1d 3h</t>
  </si>
  <si>
    <t>14/12/2019 17:00</t>
  </si>
  <si>
    <t>8d 6h</t>
  </si>
  <si>
    <t>16/12/2019 17:00</t>
  </si>
  <si>
    <t>7d</t>
  </si>
  <si>
    <t>7d 6h</t>
  </si>
  <si>
    <t>7d 3h</t>
  </si>
  <si>
    <t>17/12/2019 17:00</t>
  </si>
  <si>
    <t>8d</t>
  </si>
  <si>
    <t>6d 6h</t>
  </si>
  <si>
    <t>6d 3h</t>
  </si>
  <si>
    <t>18/12/2019 17:00</t>
  </si>
  <si>
    <t>9d</t>
  </si>
  <si>
    <t>5d 6h</t>
  </si>
  <si>
    <t>5d 3h</t>
  </si>
  <si>
    <t>19/12/2019 17:00</t>
  </si>
  <si>
    <t>10d</t>
  </si>
  <si>
    <t>4d 4h</t>
  </si>
  <si>
    <t>4d 6h</t>
  </si>
  <si>
    <t>4d 3h</t>
  </si>
  <si>
    <t>20/12/2019 17:00</t>
  </si>
  <si>
    <t>11d</t>
  </si>
  <si>
    <t>5d 4h</t>
  </si>
  <si>
    <t>3d 6h</t>
  </si>
  <si>
    <t>3d 3h</t>
  </si>
  <si>
    <t>21/12/2019 17:00</t>
  </si>
  <si>
    <t>12d</t>
  </si>
  <si>
    <t>6d 4h</t>
  </si>
  <si>
    <t>2d 6h</t>
  </si>
  <si>
    <t>2d 3h</t>
  </si>
  <si>
    <t>23/12/2019 17:00</t>
  </si>
  <si>
    <t>13d</t>
  </si>
  <si>
    <t>7d 4h</t>
  </si>
  <si>
    <t>1d 6h</t>
  </si>
  <si>
    <t>24/12/2019 17:00</t>
  </si>
  <si>
    <t>14d</t>
  </si>
  <si>
    <t>8d 4h</t>
  </si>
  <si>
    <t>25/12/2019 17:00</t>
  </si>
  <si>
    <t>15d</t>
  </si>
  <si>
    <t>9d 3h</t>
  </si>
  <si>
    <t>26/12/2019 17:00</t>
  </si>
  <si>
    <t>16d</t>
  </si>
  <si>
    <t>27/12/2019 17:00</t>
  </si>
  <si>
    <t>17d</t>
  </si>
  <si>
    <t>28/12/2019 17:00</t>
  </si>
  <si>
    <t>18d</t>
  </si>
  <si>
    <t>30/12/2019 17:00</t>
  </si>
  <si>
    <t>19d</t>
  </si>
  <si>
    <t>31/12/2019 17:00</t>
  </si>
  <si>
    <t>20d</t>
  </si>
  <si>
    <t>1/01/2020 17:00</t>
  </si>
  <si>
    <t>21d</t>
  </si>
  <si>
    <t>2/01/2020 17:00</t>
  </si>
  <si>
    <t>22d</t>
  </si>
  <si>
    <t>3/01/2020 17:00</t>
  </si>
  <si>
    <t>22d 4h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</si>
  <si>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</si>
  <si>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</si>
  <si>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</si>
  <si>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</si>
  <si>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</si>
  <si>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</si>
  <si>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</si>
  <si>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</si>
  <si>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</si>
  <si>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</si>
  <si>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</si>
  <si>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</si>
  <si>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</si>
  <si>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9:00 - 10:00</t>
  </si>
  <si>
    <t>Yes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</si>
  <si>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</si>
  <si>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</si>
  <si>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</si>
  <si>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</si>
  <si>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</si>
  <si>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</si>
  <si>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</si>
  <si>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</si>
  <si>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</si>
  <si>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</si>
  <si>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</si>
  <si>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</si>
  <si>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</si>
  <si>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</si>
  <si>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</si>
  <si>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</si>
  <si>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</si>
  <si>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</si>
  <si>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</si>
  <si>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</si>
  <si>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</si>
  <si>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</si>
  <si>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EVM Performance Measures</t>
  </si>
  <si>
    <t>EVM Forecasting</t>
  </si>
  <si>
    <t>Start Tracking Period</t>
  </si>
  <si>
    <t>Status date</t>
  </si>
  <si>
    <t>Actual Cost (AC)</t>
  </si>
  <si>
    <t>Earned Schedule (ES)</t>
  </si>
  <si>
    <t>Schedule Variance (SV)</t>
  </si>
  <si>
    <t>Schedule Performance Index (SPI)</t>
  </si>
  <si>
    <t>Cost Variance (CV)</t>
  </si>
  <si>
    <t>Cost Performance Index (CPI)</t>
  </si>
  <si>
    <t>Schedule Variance (SV(t))</t>
  </si>
  <si>
    <t>Schedule Performance Index (SPI(t))</t>
  </si>
  <si>
    <t>p-factor</t>
  </si>
  <si>
    <t>EAC(t)-PV (PF=1)</t>
  </si>
  <si>
    <t>EAC(t)-PV (PF=SPI)</t>
  </si>
  <si>
    <t>EAC(t)-PV (PF=SCI)</t>
  </si>
  <si>
    <t>EAC(t)-ED (PF=1)</t>
  </si>
  <si>
    <t>EAC(t)-ED (PF=SPI)</t>
  </si>
  <si>
    <t>EAC(t)-ES (PF=1)</t>
  </si>
  <si>
    <t>EAC(t)-ES (PF=SPI(t))</t>
  </si>
  <si>
    <t>EAC(t)-ES (PF=SCI(t))</t>
  </si>
  <si>
    <t>EAC (PF=1)</t>
  </si>
  <si>
    <t>EAC (PF=CPI)</t>
  </si>
  <si>
    <t>EAC (PF=SPI)</t>
  </si>
  <si>
    <t>EAC (PF=SPI(t))</t>
  </si>
  <si>
    <t>EAC (PF=SCI)</t>
  </si>
  <si>
    <t>EAC (PF=SCI(t))</t>
  </si>
  <si>
    <t>EAC (PF=0.8*CPI+0.2*SPI)</t>
  </si>
  <si>
    <t>EAC (PF=0.8*CPI+0.2*SPI(t))</t>
  </si>
  <si>
    <t>4d 2h</t>
  </si>
  <si>
    <t>3d 2h</t>
  </si>
  <si>
    <t>9d 2h</t>
  </si>
  <si>
    <t>11d 5h</t>
  </si>
  <si>
    <t>10d 5h</t>
  </si>
  <si>
    <t>9d 5h</t>
  </si>
  <si>
    <t>8d 5h</t>
  </si>
  <si>
    <t>7d 5h</t>
  </si>
  <si>
    <t>6d 5h</t>
  </si>
  <si>
    <t>5d 5h</t>
  </si>
  <si>
    <t>4d 5h</t>
  </si>
  <si>
    <t>3d 5h</t>
  </si>
  <si>
    <t>2d 5h</t>
  </si>
  <si>
    <t>5d 2h</t>
  </si>
  <si>
    <t>5d 1h</t>
  </si>
  <si>
    <t>Baseline duration (in calendar days)</t>
  </si>
  <si>
    <t>Optimistic (%)</t>
  </si>
  <si>
    <t>Most probable (%)</t>
  </si>
  <si>
    <t>Pessimistic (%)</t>
  </si>
  <si>
    <t>SPI(t)</t>
  </si>
  <si>
    <t>CPI</t>
  </si>
  <si>
    <t>SPI</t>
  </si>
  <si>
    <t>SV(t)</t>
  </si>
  <si>
    <t>CPI threshold</t>
  </si>
  <si>
    <t>SPI(t)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</si>
</sst>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yy\ h:mm"/>
    <numFmt numFmtId="165" formatCode="#,##0.00\€"/>
    <numFmt numFmtId="166" formatCode="0.000"/>
    <numFmt numFmtId="167" formatCode="0.0000"/>
    <numFmt numFmtId="168" formatCode="0.00000"/>
  </numFmts>
  <fonts count="7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5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164" fontId="2" fillId="3" borderId="1" xfId="0" applyNumberFormat="1" applyFont="1" applyFill="1" applyBorder="1" applyAlignment="1">
      <alignment wrapText="1"/>
    </xf>
    <xf numFmtId="165" fontId="2" fillId="3" borderId="1" xfId="0" applyNumberFormat="1" applyFont="1" applyFill="1" applyBorder="1" applyAlignment="1">
      <alignment wrapText="1"/>
    </xf>
    <xf numFmtId="164" fontId="2" fillId="4" borderId="1" xfId="0" applyNumberFormat="1" applyFont="1" applyFill="1" applyBorder="1" applyAlignment="1">
      <alignment wrapText="1"/>
    </xf>
    <xf numFmtId="164" fontId="2" fillId="6" borderId="1" xfId="0" applyNumberFormat="1" applyFont="1" applyFill="1" applyBorder="1" applyAlignment="1">
      <alignment wrapText="1"/>
    </xf>
    <xf numFmtId="165" fontId="2" fillId="6" borderId="1" xfId="0" applyNumberFormat="1" applyFont="1" applyFill="1" applyBorder="1" applyAlignment="1">
      <alignment wrapText="1"/>
    </xf>
    <xf numFmtId="165" fontId="2" fillId="4" borderId="1" xfId="0" applyNumberFormat="1" applyFont="1" applyFill="1" applyBorder="1" applyAlignment="1">
      <alignment wrapText="1"/>
    </xf>
    <xf numFmtId="165" fontId="2" fillId="5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9" fontId="2" fillId="3" borderId="1" xfId="0" applyNumberFormat="1" applyFont="1" applyFill="1" applyBorder="1" applyAlignment="1">
      <alignment wrapText="1"/>
    </xf>
    <xf numFmtId="9" fontId="2" fillId="4" borderId="1" xfId="0" applyNumberFormat="1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0" fontId="5" fillId="0" borderId="0" xfId="0" applyFont="1"/>
    <xf numFmtId="9" fontId="2" fillId="6" borderId="1" xfId="0" applyNumberFormat="1" applyFont="1" applyFill="1" applyBorder="1" applyAlignment="1">
      <alignment wrapText="1"/>
    </xf>
    <xf numFmtId="0" fontId="2" fillId="9" borderId="1" xfId="0" applyFont="1" applyFill="1" applyBorder="1" applyAlignment="1">
      <alignment wrapText="1"/>
    </xf>
    <xf numFmtId="1" fontId="2" fillId="9" borderId="1" xfId="1" applyNumberFormat="1" applyFont="1" applyFill="1" applyBorder="1" applyAlignment="1">
      <alignment wrapText="1"/>
    </xf>
    <xf numFmtId="168" fontId="2" fillId="9" borderId="1" xfId="1" applyNumberFormat="1" applyFont="1" applyFill="1" applyBorder="1" applyAlignment="1">
      <alignment wrapText="1"/>
    </xf>
    <xf numFmtId="167" fontId="2" fillId="9" borderId="1" xfId="0" applyNumberFormat="1" applyFont="1" applyFill="1" applyBorder="1" applyAlignment="1">
      <alignment wrapText="1"/>
    </xf>
    <xf numFmtId="166" fontId="2" fillId="9" borderId="1" xfId="0" applyNumberFormat="1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</cellXfs>
  <cellStyles count="2">
    <cellStyle name="Normal" xfId="0" builtinId="0"/>
    <cellStyle name="Per cent" xfId="1" builtinId="5"/>
  </cellStyles>
  <dxfs count="4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l-BE"/>
              <a:t>Baseline schedule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</c:spPr>
          <c:invertIfNegative val="0"/>
          <c:cat>
            <c:strRef>
              <c:f>'Baseline Schedule'!$B$4:$B$33</c:f>
              <c:strCache>
                <c:ptCount val="30"/>
                <c:pt idx="0">
                  <c:v>Start</c:v>
                </c:pt>
                <c:pt idx="1">
                  <c:v>Mowing and cleaning up cuttings</c:v>
                </c:pt>
                <c:pt idx="2">
                  <c:v>Drilling holes</c:v>
                </c:pt>
                <c:pt idx="3">
                  <c:v>Placing poles</c:v>
                </c:pt>
                <c:pt idx="4">
                  <c:v>Attaching ropes and nets to poles</c:v>
                </c:pt>
                <c:pt idx="5">
                  <c:v>Building material post</c:v>
                </c:pt>
                <c:pt idx="6">
                  <c:v>Building bridges and exits</c:v>
                </c:pt>
                <c:pt idx="7">
                  <c:v>Building plateau and staircase audience</c:v>
                </c:pt>
                <c:pt idx="8">
                  <c:v>Building camera plateau</c:v>
                </c:pt>
                <c:pt idx="9">
                  <c:v>Creating starting sections and finish line</c:v>
                </c:pt>
                <c:pt idx="10">
                  <c:v>Installing bicycle storage</c:v>
                </c:pt>
                <c:pt idx="11">
                  <c:v>Placing poles for banners and flags</c:v>
                </c:pt>
                <c:pt idx="12">
                  <c:v>Hanging banners</c:v>
                </c:pt>
                <c:pt idx="13">
                  <c:v>Hanging track signs</c:v>
                </c:pt>
                <c:pt idx="14">
                  <c:v>Placing flagpoles for homage</c:v>
                </c:pt>
                <c:pt idx="15">
                  <c:v>Building podium</c:v>
                </c:pt>
                <c:pt idx="16">
                  <c:v>Placing traffic signs</c:v>
                </c:pt>
                <c:pt idx="17">
                  <c:v>Placing crush barriers and banners</c:v>
                </c:pt>
                <c:pt idx="18">
                  <c:v>Constructing VIP tents</c:v>
                </c:pt>
                <c:pt idx="19">
                  <c:v>Placing building fences for VIP tents</c:v>
                </c:pt>
                <c:pt idx="20">
                  <c:v>Installing drains for VIP tents</c:v>
                </c:pt>
                <c:pt idx="21">
                  <c:v>Decorating VIP tents</c:v>
                </c:pt>
                <c:pt idx="22">
                  <c:v>Placing toilets for VIP tents</c:v>
                </c:pt>
                <c:pt idx="23">
                  <c:v>Placing public toilets</c:v>
                </c:pt>
                <c:pt idx="24">
                  <c:v>Placing garbage bins</c:v>
                </c:pt>
                <c:pt idx="25">
                  <c:v>Placing and testing generator</c:v>
                </c:pt>
                <c:pt idx="26">
                  <c:v>Equipping material post</c:v>
                </c:pt>
                <c:pt idx="27">
                  <c:v>Testing high pressure cleaners</c:v>
                </c:pt>
                <c:pt idx="28">
                  <c:v>Final check up</c:v>
                </c:pt>
                <c:pt idx="29">
                  <c:v>Finish</c:v>
                </c:pt>
              </c:strCache>
            </c:strRef>
          </c:cat>
          <c:val>
            <c:numRef>
              <c:f>'Baseline Schedule'!$F$4:$F$33</c:f>
              <c:numCache>
                <c:formatCode>dd/mm/yyyy\ h:mm</c:formatCode>
                <c:ptCount val="30"/>
                <c:pt idx="0">
                  <c:v>43808.375</c:v>
                </c:pt>
                <c:pt idx="1">
                  <c:v>43808.375</c:v>
                </c:pt>
                <c:pt idx="2">
                  <c:v>43808.541666666701</c:v>
                </c:pt>
                <c:pt idx="3">
                  <c:v>43813.541666666701</c:v>
                </c:pt>
                <c:pt idx="4">
                  <c:v>43816.625</c:v>
                </c:pt>
                <c:pt idx="5">
                  <c:v>43830.583333333299</c:v>
                </c:pt>
                <c:pt idx="6">
                  <c:v>43815.416666666701</c:v>
                </c:pt>
                <c:pt idx="7">
                  <c:v>43831.583333333299</c:v>
                </c:pt>
                <c:pt idx="8">
                  <c:v>43829.583333333299</c:v>
                </c:pt>
                <c:pt idx="9">
                  <c:v>43829.375</c:v>
                </c:pt>
                <c:pt idx="10">
                  <c:v>43813.416666666701</c:v>
                </c:pt>
                <c:pt idx="11">
                  <c:v>43823.416666666701</c:v>
                </c:pt>
                <c:pt idx="12">
                  <c:v>43836.583333333299</c:v>
                </c:pt>
                <c:pt idx="13">
                  <c:v>43829.583333333299</c:v>
                </c:pt>
                <c:pt idx="14">
                  <c:v>43827.416666666701</c:v>
                </c:pt>
                <c:pt idx="15">
                  <c:v>43822.416666666701</c:v>
                </c:pt>
                <c:pt idx="16">
                  <c:v>43832.583333333299</c:v>
                </c:pt>
                <c:pt idx="17">
                  <c:v>43833.583333333299</c:v>
                </c:pt>
                <c:pt idx="18">
                  <c:v>43824.416666666701</c:v>
                </c:pt>
                <c:pt idx="19">
                  <c:v>43830.583333333299</c:v>
                </c:pt>
                <c:pt idx="20">
                  <c:v>43825.416666666701</c:v>
                </c:pt>
                <c:pt idx="21">
                  <c:v>43832.583333333299</c:v>
                </c:pt>
                <c:pt idx="22">
                  <c:v>43826.416666666701</c:v>
                </c:pt>
                <c:pt idx="23">
                  <c:v>43813.416666666701</c:v>
                </c:pt>
                <c:pt idx="24">
                  <c:v>43829.583333333299</c:v>
                </c:pt>
                <c:pt idx="25">
                  <c:v>43823.416666666701</c:v>
                </c:pt>
                <c:pt idx="26">
                  <c:v>43832.583333333299</c:v>
                </c:pt>
                <c:pt idx="27">
                  <c:v>43833.583333333299</c:v>
                </c:pt>
                <c:pt idx="28">
                  <c:v>43838.583333333299</c:v>
                </c:pt>
                <c:pt idx="29">
                  <c:v>43839.5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v>Baseline start</c:v>
                </c15:tx>
              </c15:filteredSeriesTitle>
            </c:ext>
            <c:ext xmlns:c16="http://schemas.microsoft.com/office/drawing/2014/chart" uri="{C3380CC4-5D6E-409C-BE32-E72D297353CC}">
              <c16:uniqueId val="{00000000-02B2-44A9-837B-E6297DC72405}"/>
            </c:ext>
          </c:extLst>
        </c:ser>
        <c:ser>
          <c:idx val="1"/>
          <c:order val="1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02B2-44A9-837B-E6297DC72405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02B2-44A9-837B-E6297DC72405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  <c:extLst>
              <c:ext xmlns:c16="http://schemas.microsoft.com/office/drawing/2014/chart" uri="{C3380CC4-5D6E-409C-BE32-E72D297353CC}">
                <c16:uniqueId val="{00000006-02B2-44A9-837B-E6297DC72405}"/>
              </c:ext>
            </c:extLst>
          </c:dPt>
          <c:dPt>
            <c:idx val="43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8-02B2-44A9-837B-E6297DC72405}"/>
              </c:ext>
            </c:extLst>
          </c:dPt>
          <c:cat>
            <c:strRef>
              <c:f>'Baseline Schedule'!$B$4:$B$33</c:f>
              <c:strCache>
                <c:ptCount val="30"/>
                <c:pt idx="0">
                  <c:v>Start</c:v>
                </c:pt>
                <c:pt idx="1">
                  <c:v>Mowing and cleaning up cuttings</c:v>
                </c:pt>
                <c:pt idx="2">
                  <c:v>Drilling holes</c:v>
                </c:pt>
                <c:pt idx="3">
                  <c:v>Placing poles</c:v>
                </c:pt>
                <c:pt idx="4">
                  <c:v>Attaching ropes and nets to poles</c:v>
                </c:pt>
                <c:pt idx="5">
                  <c:v>Building material post</c:v>
                </c:pt>
                <c:pt idx="6">
                  <c:v>Building bridges and exits</c:v>
                </c:pt>
                <c:pt idx="7">
                  <c:v>Building plateau and staircase audience</c:v>
                </c:pt>
                <c:pt idx="8">
                  <c:v>Building camera plateau</c:v>
                </c:pt>
                <c:pt idx="9">
                  <c:v>Creating starting sections and finish line</c:v>
                </c:pt>
                <c:pt idx="10">
                  <c:v>Installing bicycle storage</c:v>
                </c:pt>
                <c:pt idx="11">
                  <c:v>Placing poles for banners and flags</c:v>
                </c:pt>
                <c:pt idx="12">
                  <c:v>Hanging banners</c:v>
                </c:pt>
                <c:pt idx="13">
                  <c:v>Hanging track signs</c:v>
                </c:pt>
                <c:pt idx="14">
                  <c:v>Placing flagpoles for homage</c:v>
                </c:pt>
                <c:pt idx="15">
                  <c:v>Building podium</c:v>
                </c:pt>
                <c:pt idx="16">
                  <c:v>Placing traffic signs</c:v>
                </c:pt>
                <c:pt idx="17">
                  <c:v>Placing crush barriers and banners</c:v>
                </c:pt>
                <c:pt idx="18">
                  <c:v>Constructing VIP tents</c:v>
                </c:pt>
                <c:pt idx="19">
                  <c:v>Placing building fences for VIP tents</c:v>
                </c:pt>
                <c:pt idx="20">
                  <c:v>Installing drains for VIP tents</c:v>
                </c:pt>
                <c:pt idx="21">
                  <c:v>Decorating VIP tents</c:v>
                </c:pt>
                <c:pt idx="22">
                  <c:v>Placing toilets for VIP tents</c:v>
                </c:pt>
                <c:pt idx="23">
                  <c:v>Placing public toilets</c:v>
                </c:pt>
                <c:pt idx="24">
                  <c:v>Placing garbage bins</c:v>
                </c:pt>
                <c:pt idx="25">
                  <c:v>Placing and testing generator</c:v>
                </c:pt>
                <c:pt idx="26">
                  <c:v>Equipping material post</c:v>
                </c:pt>
                <c:pt idx="27">
                  <c:v>Testing high pressure cleaners</c:v>
                </c:pt>
                <c:pt idx="28">
                  <c:v>Final check up</c:v>
                </c:pt>
                <c:pt idx="29">
                  <c:v>Finish</c:v>
                </c:pt>
              </c:strCache>
            </c:strRef>
          </c:cat>
          <c:val>
            <c:numRef>
              <c:f>'Baseline Schedule'!$P$4:$P$33</c:f>
              <c:numCache>
                <c:formatCode>General</c:formatCode>
                <c:ptCount val="30"/>
                <c:pt idx="0">
                  <c:v>-1.6666666667006211</c:v>
                </c:pt>
                <c:pt idx="1">
                  <c:v>0.125</c:v>
                </c:pt>
                <c:pt idx="2">
                  <c:v>4.9583333332993789</c:v>
                </c:pt>
                <c:pt idx="3">
                  <c:v>3.0833333332993789</c:v>
                </c:pt>
                <c:pt idx="4">
                  <c:v>11.083333333299379</c:v>
                </c:pt>
                <c:pt idx="5">
                  <c:v>2</c:v>
                </c:pt>
                <c:pt idx="6">
                  <c:v>7</c:v>
                </c:pt>
                <c:pt idx="7">
                  <c:v>1</c:v>
                </c:pt>
                <c:pt idx="8">
                  <c:v>1</c:v>
                </c:pt>
                <c:pt idx="9">
                  <c:v>0.33333333329937886</c:v>
                </c:pt>
                <c:pt idx="10">
                  <c:v>2</c:v>
                </c:pt>
                <c:pt idx="11">
                  <c:v>0.16666666659875773</c:v>
                </c:pt>
                <c:pt idx="12">
                  <c:v>2</c:v>
                </c:pt>
                <c:pt idx="13">
                  <c:v>1</c:v>
                </c:pt>
                <c:pt idx="14">
                  <c:v>0.16666666659875773</c:v>
                </c:pt>
                <c:pt idx="15">
                  <c:v>1</c:v>
                </c:pt>
                <c:pt idx="16">
                  <c:v>1</c:v>
                </c:pt>
                <c:pt idx="17">
                  <c:v>3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0.125</c:v>
                </c:pt>
                <c:pt idx="28">
                  <c:v>0.91666666670062114</c:v>
                </c:pt>
                <c:pt idx="29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v>Actual duration</c:v>
                </c15:tx>
              </c15:filteredSeriesTitle>
            </c:ext>
            <c:ext xmlns:c16="http://schemas.microsoft.com/office/drawing/2014/chart" uri="{C3380CC4-5D6E-409C-BE32-E72D297353CC}">
              <c16:uniqueId val="{00000009-02B2-44A9-837B-E6297DC72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8634112"/>
        <c:axId val="198825472"/>
      </c:barChart>
      <c:catAx>
        <c:axId val="198634112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crossAx val="198825472"/>
        <c:crosses val="autoZero"/>
        <c:auto val="1"/>
        <c:lblAlgn val="ctr"/>
        <c:lblOffset val="100"/>
        <c:noMultiLvlLbl val="0"/>
      </c:catAx>
      <c:valAx>
        <c:axId val="198825472"/>
        <c:scaling>
          <c:orientation val="minMax"/>
          <c:max val="43840.380000000005"/>
          <c:min val="43808.380000000005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BE"/>
                  <a:t>Date</a:t>
                </a:r>
              </a:p>
            </c:rich>
          </c:tx>
          <c:overlay val="0"/>
        </c:title>
        <c:numFmt formatCode="dd/mm/yyyy" sourceLinked="0"/>
        <c:majorTickMark val="out"/>
        <c:minorTickMark val="none"/>
        <c:tickLblPos val="nextTo"/>
        <c:crossAx val="1986341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Resources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data</c:v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Resources!$B$3</c:f>
              <c:strCache>
                <c:ptCount val="1"/>
                <c:pt idx="0">
                  <c:v>Volunteers</c:v>
                </c:pt>
              </c:strCache>
            </c:strRef>
          </c:cat>
          <c:val>
            <c:numRef>
              <c:f>Resources!$H$3</c:f>
              <c:numCache>
                <c:formatCode>#,##0.00\€</c:formatCode>
                <c:ptCount val="1"/>
                <c:pt idx="0">
                  <c:v>8544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6A-456D-8A26-30B214B28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nl-BE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Risk analysis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Optimistic</c:v>
          </c:tx>
          <c:invertIfNegative val="0"/>
          <c:cat>
            <c:strRef>
              <c:f>'Risk Analysis'!$B$4:$B$33</c:f>
              <c:strCache>
                <c:ptCount val="30"/>
                <c:pt idx="0">
                  <c:v>Start</c:v>
                </c:pt>
                <c:pt idx="1">
                  <c:v>Mowing and cleaning up cuttings</c:v>
                </c:pt>
                <c:pt idx="2">
                  <c:v>Drilling holes</c:v>
                </c:pt>
                <c:pt idx="3">
                  <c:v>Placing poles</c:v>
                </c:pt>
                <c:pt idx="4">
                  <c:v>Attaching ropes and nets to poles</c:v>
                </c:pt>
                <c:pt idx="5">
                  <c:v>Building material post</c:v>
                </c:pt>
                <c:pt idx="6">
                  <c:v>Building bridges and exits</c:v>
                </c:pt>
                <c:pt idx="7">
                  <c:v>Building plateau and staircase audience</c:v>
                </c:pt>
                <c:pt idx="8">
                  <c:v>Building camera plateau</c:v>
                </c:pt>
                <c:pt idx="9">
                  <c:v>Creating starting sections and finish line</c:v>
                </c:pt>
                <c:pt idx="10">
                  <c:v>Installing bicycle storage</c:v>
                </c:pt>
                <c:pt idx="11">
                  <c:v>Placing poles for banners and flags</c:v>
                </c:pt>
                <c:pt idx="12">
                  <c:v>Hanging banners</c:v>
                </c:pt>
                <c:pt idx="13">
                  <c:v>Hanging track signs</c:v>
                </c:pt>
                <c:pt idx="14">
                  <c:v>Placing flagpoles for homage</c:v>
                </c:pt>
                <c:pt idx="15">
                  <c:v>Building podium</c:v>
                </c:pt>
                <c:pt idx="16">
                  <c:v>Placing traffic signs</c:v>
                </c:pt>
                <c:pt idx="17">
                  <c:v>Placing crush barriers and banners</c:v>
                </c:pt>
                <c:pt idx="18">
                  <c:v>Constructing VIP tents</c:v>
                </c:pt>
                <c:pt idx="19">
                  <c:v>Placing building fences for VIP tents</c:v>
                </c:pt>
                <c:pt idx="20">
                  <c:v>Installing drains for VIP tents</c:v>
                </c:pt>
                <c:pt idx="21">
                  <c:v>Decorating VIP tents</c:v>
                </c:pt>
                <c:pt idx="22">
                  <c:v>Placing toilets for VIP tents</c:v>
                </c:pt>
                <c:pt idx="23">
                  <c:v>Placing public toilets</c:v>
                </c:pt>
                <c:pt idx="24">
                  <c:v>Placing garbage bins</c:v>
                </c:pt>
                <c:pt idx="25">
                  <c:v>Placing and testing generator</c:v>
                </c:pt>
                <c:pt idx="26">
                  <c:v>Equipping material post</c:v>
                </c:pt>
                <c:pt idx="27">
                  <c:v>Testing high pressure cleaners</c:v>
                </c:pt>
                <c:pt idx="28">
                  <c:v>Final check up</c:v>
                </c:pt>
                <c:pt idx="29">
                  <c:v>Finish</c:v>
                </c:pt>
              </c:strCache>
            </c:strRef>
          </c:cat>
          <c:val>
            <c:numRef>
              <c:f>'Risk Analysis'!$W$4:$W$33</c:f>
              <c:numCache>
                <c:formatCode>General</c:formatCode>
                <c:ptCount val="30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  <c:pt idx="13">
                  <c:v>80</c:v>
                </c:pt>
                <c:pt idx="14">
                  <c:v>80</c:v>
                </c:pt>
                <c:pt idx="15">
                  <c:v>80</c:v>
                </c:pt>
                <c:pt idx="16">
                  <c:v>80</c:v>
                </c:pt>
                <c:pt idx="17">
                  <c:v>80</c:v>
                </c:pt>
                <c:pt idx="18">
                  <c:v>80</c:v>
                </c:pt>
                <c:pt idx="19">
                  <c:v>80</c:v>
                </c:pt>
                <c:pt idx="20">
                  <c:v>80</c:v>
                </c:pt>
                <c:pt idx="21">
                  <c:v>80</c:v>
                </c:pt>
                <c:pt idx="22">
                  <c:v>80</c:v>
                </c:pt>
                <c:pt idx="23">
                  <c:v>80</c:v>
                </c:pt>
                <c:pt idx="24">
                  <c:v>80</c:v>
                </c:pt>
                <c:pt idx="25">
                  <c:v>80</c:v>
                </c:pt>
                <c:pt idx="26">
                  <c:v>80</c:v>
                </c:pt>
                <c:pt idx="27">
                  <c:v>80</c:v>
                </c:pt>
                <c:pt idx="28">
                  <c:v>80</c:v>
                </c:pt>
                <c:pt idx="29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39-4252-9768-5CBE32DDDA63}"/>
            </c:ext>
          </c:extLst>
        </c:ser>
        <c:ser>
          <c:idx val="1"/>
          <c:order val="1"/>
          <c:tx>
            <c:v>Most probable</c:v>
          </c:tx>
          <c:invertIfNegative val="0"/>
          <c:cat>
            <c:strRef>
              <c:f>'Risk Analysis'!$B$4:$B$33</c:f>
              <c:strCache>
                <c:ptCount val="30"/>
                <c:pt idx="0">
                  <c:v>Start</c:v>
                </c:pt>
                <c:pt idx="1">
                  <c:v>Mowing and cleaning up cuttings</c:v>
                </c:pt>
                <c:pt idx="2">
                  <c:v>Drilling holes</c:v>
                </c:pt>
                <c:pt idx="3">
                  <c:v>Placing poles</c:v>
                </c:pt>
                <c:pt idx="4">
                  <c:v>Attaching ropes and nets to poles</c:v>
                </c:pt>
                <c:pt idx="5">
                  <c:v>Building material post</c:v>
                </c:pt>
                <c:pt idx="6">
                  <c:v>Building bridges and exits</c:v>
                </c:pt>
                <c:pt idx="7">
                  <c:v>Building plateau and staircase audience</c:v>
                </c:pt>
                <c:pt idx="8">
                  <c:v>Building camera plateau</c:v>
                </c:pt>
                <c:pt idx="9">
                  <c:v>Creating starting sections and finish line</c:v>
                </c:pt>
                <c:pt idx="10">
                  <c:v>Installing bicycle storage</c:v>
                </c:pt>
                <c:pt idx="11">
                  <c:v>Placing poles for banners and flags</c:v>
                </c:pt>
                <c:pt idx="12">
                  <c:v>Hanging banners</c:v>
                </c:pt>
                <c:pt idx="13">
                  <c:v>Hanging track signs</c:v>
                </c:pt>
                <c:pt idx="14">
                  <c:v>Placing flagpoles for homage</c:v>
                </c:pt>
                <c:pt idx="15">
                  <c:v>Building podium</c:v>
                </c:pt>
                <c:pt idx="16">
                  <c:v>Placing traffic signs</c:v>
                </c:pt>
                <c:pt idx="17">
                  <c:v>Placing crush barriers and banners</c:v>
                </c:pt>
                <c:pt idx="18">
                  <c:v>Constructing VIP tents</c:v>
                </c:pt>
                <c:pt idx="19">
                  <c:v>Placing building fences for VIP tents</c:v>
                </c:pt>
                <c:pt idx="20">
                  <c:v>Installing drains for VIP tents</c:v>
                </c:pt>
                <c:pt idx="21">
                  <c:v>Decorating VIP tents</c:v>
                </c:pt>
                <c:pt idx="22">
                  <c:v>Placing toilets for VIP tents</c:v>
                </c:pt>
                <c:pt idx="23">
                  <c:v>Placing public toilets</c:v>
                </c:pt>
                <c:pt idx="24">
                  <c:v>Placing garbage bins</c:v>
                </c:pt>
                <c:pt idx="25">
                  <c:v>Placing and testing generator</c:v>
                </c:pt>
                <c:pt idx="26">
                  <c:v>Equipping material post</c:v>
                </c:pt>
                <c:pt idx="27">
                  <c:v>Testing high pressure cleaners</c:v>
                </c:pt>
                <c:pt idx="28">
                  <c:v>Final check up</c:v>
                </c:pt>
                <c:pt idx="29">
                  <c:v>Finish</c:v>
                </c:pt>
              </c:strCache>
            </c:strRef>
          </c:cat>
          <c:val>
            <c:numRef>
              <c:f>'Risk Analysis'!$X$4:$X$33</c:f>
              <c:numCache>
                <c:formatCode>General</c:formatCode>
                <c:ptCount val="30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  <c:pt idx="12">
                  <c:v>90</c:v>
                </c:pt>
                <c:pt idx="13">
                  <c:v>90</c:v>
                </c:pt>
                <c:pt idx="14">
                  <c:v>90</c:v>
                </c:pt>
                <c:pt idx="15">
                  <c:v>90</c:v>
                </c:pt>
                <c:pt idx="16">
                  <c:v>90</c:v>
                </c:pt>
                <c:pt idx="17">
                  <c:v>90</c:v>
                </c:pt>
                <c:pt idx="18">
                  <c:v>90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90</c:v>
                </c:pt>
                <c:pt idx="23">
                  <c:v>90</c:v>
                </c:pt>
                <c:pt idx="24">
                  <c:v>90</c:v>
                </c:pt>
                <c:pt idx="25">
                  <c:v>90</c:v>
                </c:pt>
                <c:pt idx="26">
                  <c:v>90</c:v>
                </c:pt>
                <c:pt idx="27">
                  <c:v>90</c:v>
                </c:pt>
                <c:pt idx="28">
                  <c:v>90</c:v>
                </c:pt>
                <c:pt idx="29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39-4252-9768-5CBE32DDDA63}"/>
            </c:ext>
          </c:extLst>
        </c:ser>
        <c:ser>
          <c:idx val="2"/>
          <c:order val="2"/>
          <c:tx>
            <c:v>Pessimistic</c:v>
          </c:tx>
          <c:invertIfNegative val="0"/>
          <c:cat>
            <c:strRef>
              <c:f>'Risk Analysis'!$B$4:$B$33</c:f>
              <c:strCache>
                <c:ptCount val="30"/>
                <c:pt idx="0">
                  <c:v>Start</c:v>
                </c:pt>
                <c:pt idx="1">
                  <c:v>Mowing and cleaning up cuttings</c:v>
                </c:pt>
                <c:pt idx="2">
                  <c:v>Drilling holes</c:v>
                </c:pt>
                <c:pt idx="3">
                  <c:v>Placing poles</c:v>
                </c:pt>
                <c:pt idx="4">
                  <c:v>Attaching ropes and nets to poles</c:v>
                </c:pt>
                <c:pt idx="5">
                  <c:v>Building material post</c:v>
                </c:pt>
                <c:pt idx="6">
                  <c:v>Building bridges and exits</c:v>
                </c:pt>
                <c:pt idx="7">
                  <c:v>Building plateau and staircase audience</c:v>
                </c:pt>
                <c:pt idx="8">
                  <c:v>Building camera plateau</c:v>
                </c:pt>
                <c:pt idx="9">
                  <c:v>Creating starting sections and finish line</c:v>
                </c:pt>
                <c:pt idx="10">
                  <c:v>Installing bicycle storage</c:v>
                </c:pt>
                <c:pt idx="11">
                  <c:v>Placing poles for banners and flags</c:v>
                </c:pt>
                <c:pt idx="12">
                  <c:v>Hanging banners</c:v>
                </c:pt>
                <c:pt idx="13">
                  <c:v>Hanging track signs</c:v>
                </c:pt>
                <c:pt idx="14">
                  <c:v>Placing flagpoles for homage</c:v>
                </c:pt>
                <c:pt idx="15">
                  <c:v>Building podium</c:v>
                </c:pt>
                <c:pt idx="16">
                  <c:v>Placing traffic signs</c:v>
                </c:pt>
                <c:pt idx="17">
                  <c:v>Placing crush barriers and banners</c:v>
                </c:pt>
                <c:pt idx="18">
                  <c:v>Constructing VIP tents</c:v>
                </c:pt>
                <c:pt idx="19">
                  <c:v>Placing building fences for VIP tents</c:v>
                </c:pt>
                <c:pt idx="20">
                  <c:v>Installing drains for VIP tents</c:v>
                </c:pt>
                <c:pt idx="21">
                  <c:v>Decorating VIP tents</c:v>
                </c:pt>
                <c:pt idx="22">
                  <c:v>Placing toilets for VIP tents</c:v>
                </c:pt>
                <c:pt idx="23">
                  <c:v>Placing public toilets</c:v>
                </c:pt>
                <c:pt idx="24">
                  <c:v>Placing garbage bins</c:v>
                </c:pt>
                <c:pt idx="25">
                  <c:v>Placing and testing generator</c:v>
                </c:pt>
                <c:pt idx="26">
                  <c:v>Equipping material post</c:v>
                </c:pt>
                <c:pt idx="27">
                  <c:v>Testing high pressure cleaners</c:v>
                </c:pt>
                <c:pt idx="28">
                  <c:v>Final check up</c:v>
                </c:pt>
                <c:pt idx="29">
                  <c:v>Finish</c:v>
                </c:pt>
              </c:strCache>
            </c:strRef>
          </c:cat>
          <c:val>
            <c:numRef>
              <c:f>'Risk Analysis'!$Y$4:$Y$33</c:f>
              <c:numCache>
                <c:formatCode>General</c:formatCode>
                <c:ptCount val="30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120</c:v>
                </c:pt>
                <c:pt idx="7">
                  <c:v>120</c:v>
                </c:pt>
                <c:pt idx="8">
                  <c:v>120</c:v>
                </c:pt>
                <c:pt idx="9">
                  <c:v>120</c:v>
                </c:pt>
                <c:pt idx="10">
                  <c:v>120</c:v>
                </c:pt>
                <c:pt idx="11">
                  <c:v>120</c:v>
                </c:pt>
                <c:pt idx="12">
                  <c:v>120</c:v>
                </c:pt>
                <c:pt idx="13">
                  <c:v>120</c:v>
                </c:pt>
                <c:pt idx="14">
                  <c:v>120</c:v>
                </c:pt>
                <c:pt idx="15">
                  <c:v>120</c:v>
                </c:pt>
                <c:pt idx="16">
                  <c:v>120</c:v>
                </c:pt>
                <c:pt idx="17">
                  <c:v>120</c:v>
                </c:pt>
                <c:pt idx="18">
                  <c:v>120</c:v>
                </c:pt>
                <c:pt idx="19">
                  <c:v>120</c:v>
                </c:pt>
                <c:pt idx="20">
                  <c:v>120</c:v>
                </c:pt>
                <c:pt idx="21">
                  <c:v>120</c:v>
                </c:pt>
                <c:pt idx="22">
                  <c:v>120</c:v>
                </c:pt>
                <c:pt idx="23">
                  <c:v>120</c:v>
                </c:pt>
                <c:pt idx="24">
                  <c:v>120</c:v>
                </c:pt>
                <c:pt idx="25">
                  <c:v>120</c:v>
                </c:pt>
                <c:pt idx="26">
                  <c:v>120</c:v>
                </c:pt>
                <c:pt idx="27">
                  <c:v>120</c:v>
                </c:pt>
                <c:pt idx="28">
                  <c:v>120</c:v>
                </c:pt>
                <c:pt idx="29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39-4252-9768-5CBE32DDD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AC, EV, PV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</c:v>
          </c:tx>
          <c:marker>
            <c:symbol val="none"/>
          </c:marker>
          <c:cat>
            <c:strRef>
              <c:f>'Tracking Overview'!$A$3:$A$25</c:f>
              <c:strCache>
                <c:ptCount val="23"/>
                <c:pt idx="0">
                  <c:v>9/12/2019 17:00</c:v>
                </c:pt>
                <c:pt idx="1">
                  <c:v>10/12/2019 17:00</c:v>
                </c:pt>
                <c:pt idx="2">
                  <c:v>11/12/2019 17:00</c:v>
                </c:pt>
                <c:pt idx="3">
                  <c:v>12/12/2019 17:00</c:v>
                </c:pt>
                <c:pt idx="4">
                  <c:v>13/12/2019 17:00</c:v>
                </c:pt>
                <c:pt idx="5">
                  <c:v>14/12/2019 17:00</c:v>
                </c:pt>
                <c:pt idx="6">
                  <c:v>16/12/2019 17:00</c:v>
                </c:pt>
                <c:pt idx="7">
                  <c:v>17/12/2019 17:00</c:v>
                </c:pt>
                <c:pt idx="8">
                  <c:v>18/12/2019 17:00</c:v>
                </c:pt>
                <c:pt idx="9">
                  <c:v>19/12/2019 17:00</c:v>
                </c:pt>
                <c:pt idx="10">
                  <c:v>20/12/2019 17:00</c:v>
                </c:pt>
                <c:pt idx="11">
                  <c:v>21/12/2019 17:00</c:v>
                </c:pt>
                <c:pt idx="12">
                  <c:v>23/12/2019 17:00</c:v>
                </c:pt>
                <c:pt idx="13">
                  <c:v>24/12/2019 17:00</c:v>
                </c:pt>
                <c:pt idx="14">
                  <c:v>25/12/2019 17:00</c:v>
                </c:pt>
                <c:pt idx="15">
                  <c:v>26/12/2019 17:00</c:v>
                </c:pt>
                <c:pt idx="16">
                  <c:v>27/12/2019 17:00</c:v>
                </c:pt>
                <c:pt idx="17">
                  <c:v>28/12/2019 17:00</c:v>
                </c:pt>
                <c:pt idx="18">
                  <c:v>30/12/2019 17:00</c:v>
                </c:pt>
                <c:pt idx="19">
                  <c:v>31/12/2019 17:00</c:v>
                </c:pt>
                <c:pt idx="20">
                  <c:v>1/01/2020 17:00</c:v>
                </c:pt>
                <c:pt idx="21">
                  <c:v>2/01/2020 17:00</c:v>
                </c:pt>
                <c:pt idx="22">
                  <c:v>3/01/2020 17:00</c:v>
                </c:pt>
              </c:strCache>
            </c:strRef>
          </c:cat>
          <c:val>
            <c:numRef>
              <c:f>'Tracking Overview'!$F$3:$F$25</c:f>
              <c:numCache>
                <c:formatCode>#,##0.00\€</c:formatCode>
                <c:ptCount val="23"/>
                <c:pt idx="0">
                  <c:v>3944.5</c:v>
                </c:pt>
                <c:pt idx="1">
                  <c:v>4336.5</c:v>
                </c:pt>
                <c:pt idx="2">
                  <c:v>12598</c:v>
                </c:pt>
                <c:pt idx="3">
                  <c:v>42147</c:v>
                </c:pt>
                <c:pt idx="4">
                  <c:v>56665</c:v>
                </c:pt>
                <c:pt idx="5">
                  <c:v>60802</c:v>
                </c:pt>
                <c:pt idx="6">
                  <c:v>63164.5</c:v>
                </c:pt>
                <c:pt idx="7">
                  <c:v>63556.5</c:v>
                </c:pt>
                <c:pt idx="8">
                  <c:v>63948.5</c:v>
                </c:pt>
                <c:pt idx="9">
                  <c:v>64340.5</c:v>
                </c:pt>
                <c:pt idx="10">
                  <c:v>64732.5</c:v>
                </c:pt>
                <c:pt idx="11">
                  <c:v>65124.5</c:v>
                </c:pt>
                <c:pt idx="12">
                  <c:v>65516.5</c:v>
                </c:pt>
                <c:pt idx="13">
                  <c:v>65908.5</c:v>
                </c:pt>
                <c:pt idx="14">
                  <c:v>68662.5</c:v>
                </c:pt>
                <c:pt idx="15">
                  <c:v>69657</c:v>
                </c:pt>
                <c:pt idx="16">
                  <c:v>72285.5</c:v>
                </c:pt>
                <c:pt idx="17">
                  <c:v>80391.800048828096</c:v>
                </c:pt>
                <c:pt idx="18">
                  <c:v>124258.30004882799</c:v>
                </c:pt>
                <c:pt idx="19">
                  <c:v>125164.80004882799</c:v>
                </c:pt>
                <c:pt idx="20">
                  <c:v>125500.80004882799</c:v>
                </c:pt>
                <c:pt idx="21">
                  <c:v>126319.30004882799</c:v>
                </c:pt>
                <c:pt idx="22">
                  <c:v>126351.30004882799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AD-4683-8765-17E71271573C}"/>
            </c:ext>
          </c:extLst>
        </c:ser>
        <c:ser>
          <c:idx val="1"/>
          <c:order val="1"/>
          <c:tx>
            <c:v>EV</c:v>
          </c:tx>
          <c:marker>
            <c:symbol val="none"/>
          </c:marker>
          <c:cat>
            <c:strRef>
              <c:f>'Tracking Overview'!$A$3:$A$25</c:f>
              <c:strCache>
                <c:ptCount val="23"/>
                <c:pt idx="0">
                  <c:v>9/12/2019 17:00</c:v>
                </c:pt>
                <c:pt idx="1">
                  <c:v>10/12/2019 17:00</c:v>
                </c:pt>
                <c:pt idx="2">
                  <c:v>11/12/2019 17:00</c:v>
                </c:pt>
                <c:pt idx="3">
                  <c:v>12/12/2019 17:00</c:v>
                </c:pt>
                <c:pt idx="4">
                  <c:v>13/12/2019 17:00</c:v>
                </c:pt>
                <c:pt idx="5">
                  <c:v>14/12/2019 17:00</c:v>
                </c:pt>
                <c:pt idx="6">
                  <c:v>16/12/2019 17:00</c:v>
                </c:pt>
                <c:pt idx="7">
                  <c:v>17/12/2019 17:00</c:v>
                </c:pt>
                <c:pt idx="8">
                  <c:v>18/12/2019 17:00</c:v>
                </c:pt>
                <c:pt idx="9">
                  <c:v>19/12/2019 17:00</c:v>
                </c:pt>
                <c:pt idx="10">
                  <c:v>20/12/2019 17:00</c:v>
                </c:pt>
                <c:pt idx="11">
                  <c:v>21/12/2019 17:00</c:v>
                </c:pt>
                <c:pt idx="12">
                  <c:v>23/12/2019 17:00</c:v>
                </c:pt>
                <c:pt idx="13">
                  <c:v>24/12/2019 17:00</c:v>
                </c:pt>
                <c:pt idx="14">
                  <c:v>25/12/2019 17:00</c:v>
                </c:pt>
                <c:pt idx="15">
                  <c:v>26/12/2019 17:00</c:v>
                </c:pt>
                <c:pt idx="16">
                  <c:v>27/12/2019 17:00</c:v>
                </c:pt>
                <c:pt idx="17">
                  <c:v>28/12/2019 17:00</c:v>
                </c:pt>
                <c:pt idx="18">
                  <c:v>30/12/2019 17:00</c:v>
                </c:pt>
                <c:pt idx="19">
                  <c:v>31/12/2019 17:00</c:v>
                </c:pt>
                <c:pt idx="20">
                  <c:v>1/01/2020 17:00</c:v>
                </c:pt>
                <c:pt idx="21">
                  <c:v>2/01/2020 17:00</c:v>
                </c:pt>
                <c:pt idx="22">
                  <c:v>3/01/2020 17:00</c:v>
                </c:pt>
              </c:strCache>
            </c:strRef>
          </c:cat>
          <c:val>
            <c:numRef>
              <c:f>'Tracking Overview'!$E$3:$E$25</c:f>
              <c:numCache>
                <c:formatCode>#,##0.00\€</c:formatCode>
                <c:ptCount val="23"/>
                <c:pt idx="0">
                  <c:v>3966.89999699593</c:v>
                </c:pt>
                <c:pt idx="1">
                  <c:v>4398.0999979972803</c:v>
                </c:pt>
                <c:pt idx="2">
                  <c:v>12744.0000241995</c:v>
                </c:pt>
                <c:pt idx="3">
                  <c:v>42401.3999986649</c:v>
                </c:pt>
                <c:pt idx="4">
                  <c:v>57100.999994158701</c:v>
                </c:pt>
                <c:pt idx="5">
                  <c:v>61320.5454597473</c:v>
                </c:pt>
                <c:pt idx="6">
                  <c:v>63680.500016450897</c:v>
                </c:pt>
                <c:pt idx="7">
                  <c:v>64069.954566001899</c:v>
                </c:pt>
                <c:pt idx="8">
                  <c:v>64459.409077644297</c:v>
                </c:pt>
                <c:pt idx="9">
                  <c:v>64848.8636751175</c:v>
                </c:pt>
                <c:pt idx="10">
                  <c:v>65238.318120956399</c:v>
                </c:pt>
                <c:pt idx="11">
                  <c:v>65627.772718429595</c:v>
                </c:pt>
                <c:pt idx="12">
                  <c:v>66017.227315902695</c:v>
                </c:pt>
                <c:pt idx="13">
                  <c:v>66406.681913375898</c:v>
                </c:pt>
                <c:pt idx="14">
                  <c:v>69161.388889431997</c:v>
                </c:pt>
                <c:pt idx="15">
                  <c:v>70090.3333348632</c:v>
                </c:pt>
                <c:pt idx="16">
                  <c:v>72915.277778148695</c:v>
                </c:pt>
                <c:pt idx="17">
                  <c:v>81125.133378505707</c:v>
                </c:pt>
                <c:pt idx="18">
                  <c:v>124974.30004882799</c:v>
                </c:pt>
                <c:pt idx="19">
                  <c:v>125842.80004882799</c:v>
                </c:pt>
                <c:pt idx="20">
                  <c:v>126136.80004882799</c:v>
                </c:pt>
                <c:pt idx="21">
                  <c:v>126927.871477604</c:v>
                </c:pt>
                <c:pt idx="22">
                  <c:v>126955.30004882799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AD-4683-8765-17E71271573C}"/>
            </c:ext>
          </c:extLst>
        </c:ser>
        <c:ser>
          <c:idx val="2"/>
          <c:order val="2"/>
          <c:tx>
            <c:v>PV</c:v>
          </c:tx>
          <c:marker>
            <c:symbol val="none"/>
          </c:marker>
          <c:cat>
            <c:strRef>
              <c:f>'Tracking Overview'!$A$3:$A$25</c:f>
              <c:strCache>
                <c:ptCount val="23"/>
                <c:pt idx="0">
                  <c:v>9/12/2019 17:00</c:v>
                </c:pt>
                <c:pt idx="1">
                  <c:v>10/12/2019 17:00</c:v>
                </c:pt>
                <c:pt idx="2">
                  <c:v>11/12/2019 17:00</c:v>
                </c:pt>
                <c:pt idx="3">
                  <c:v>12/12/2019 17:00</c:v>
                </c:pt>
                <c:pt idx="4">
                  <c:v>13/12/2019 17:00</c:v>
                </c:pt>
                <c:pt idx="5">
                  <c:v>14/12/2019 17:00</c:v>
                </c:pt>
                <c:pt idx="6">
                  <c:v>16/12/2019 17:00</c:v>
                </c:pt>
                <c:pt idx="7">
                  <c:v>17/12/2019 17:00</c:v>
                </c:pt>
                <c:pt idx="8">
                  <c:v>18/12/2019 17:00</c:v>
                </c:pt>
                <c:pt idx="9">
                  <c:v>19/12/2019 17:00</c:v>
                </c:pt>
                <c:pt idx="10">
                  <c:v>20/12/2019 17:00</c:v>
                </c:pt>
                <c:pt idx="11">
                  <c:v>21/12/2019 17:00</c:v>
                </c:pt>
                <c:pt idx="12">
                  <c:v>23/12/2019 17:00</c:v>
                </c:pt>
                <c:pt idx="13">
                  <c:v>24/12/2019 17:00</c:v>
                </c:pt>
                <c:pt idx="14">
                  <c:v>25/12/2019 17:00</c:v>
                </c:pt>
                <c:pt idx="15">
                  <c:v>26/12/2019 17:00</c:v>
                </c:pt>
                <c:pt idx="16">
                  <c:v>27/12/2019 17:00</c:v>
                </c:pt>
                <c:pt idx="17">
                  <c:v>28/12/2019 17:00</c:v>
                </c:pt>
                <c:pt idx="18">
                  <c:v>30/12/2019 17:00</c:v>
                </c:pt>
                <c:pt idx="19">
                  <c:v>31/12/2019 17:00</c:v>
                </c:pt>
                <c:pt idx="20">
                  <c:v>1/01/2020 17:00</c:v>
                </c:pt>
                <c:pt idx="21">
                  <c:v>2/01/2020 17:00</c:v>
                </c:pt>
                <c:pt idx="22">
                  <c:v>3/01/2020 17:00</c:v>
                </c:pt>
              </c:strCache>
            </c:strRef>
          </c:cat>
          <c:val>
            <c:numRef>
              <c:f>'Tracking Overview'!$D$3:$D$25</c:f>
              <c:numCache>
                <c:formatCode>#,##0.00\€</c:formatCode>
                <c:ptCount val="23"/>
                <c:pt idx="0">
                  <c:v>2014</c:v>
                </c:pt>
                <c:pt idx="1">
                  <c:v>2182</c:v>
                </c:pt>
                <c:pt idx="2">
                  <c:v>2350</c:v>
                </c:pt>
                <c:pt idx="3">
                  <c:v>2518</c:v>
                </c:pt>
                <c:pt idx="4">
                  <c:v>2686</c:v>
                </c:pt>
                <c:pt idx="5">
                  <c:v>14960</c:v>
                </c:pt>
                <c:pt idx="6">
                  <c:v>17322.5</c:v>
                </c:pt>
                <c:pt idx="7">
                  <c:v>20881</c:v>
                </c:pt>
                <c:pt idx="8">
                  <c:v>21273</c:v>
                </c:pt>
                <c:pt idx="9">
                  <c:v>21665</c:v>
                </c:pt>
                <c:pt idx="10">
                  <c:v>22057</c:v>
                </c:pt>
                <c:pt idx="11">
                  <c:v>22449</c:v>
                </c:pt>
                <c:pt idx="12">
                  <c:v>26167.5</c:v>
                </c:pt>
                <c:pt idx="13">
                  <c:v>30114.5</c:v>
                </c:pt>
                <c:pt idx="14">
                  <c:v>59053</c:v>
                </c:pt>
                <c:pt idx="15">
                  <c:v>59991.5</c:v>
                </c:pt>
                <c:pt idx="16">
                  <c:v>61905</c:v>
                </c:pt>
                <c:pt idx="17">
                  <c:v>62843.5</c:v>
                </c:pt>
                <c:pt idx="18">
                  <c:v>68293.300048828096</c:v>
                </c:pt>
                <c:pt idx="19">
                  <c:v>74133.300048828096</c:v>
                </c:pt>
                <c:pt idx="20">
                  <c:v>75103.800048828096</c:v>
                </c:pt>
                <c:pt idx="21">
                  <c:v>121255.30004882799</c:v>
                </c:pt>
                <c:pt idx="22">
                  <c:v>124502.30004882799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AD-4683-8765-17E712715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865344"/>
        <c:axId val="168402944"/>
      </c:lineChart>
      <c:catAx>
        <c:axId val="165865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8402944"/>
        <c:crosses val="autoZero"/>
        <c:auto val="1"/>
        <c:lblAlgn val="ctr"/>
        <c:lblOffset val="100"/>
        <c:noMultiLvlLbl val="0"/>
      </c:catAx>
      <c:valAx>
        <c:axId val="1684029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#,##0.00\€" sourceLinked="1"/>
        <c:majorTickMark val="out"/>
        <c:minorTickMark val="none"/>
        <c:tickLblPos val="nextTo"/>
        <c:crossAx val="1658653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CPI, SPI(t)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CPI</c:v>
          </c:tx>
          <c:marker>
            <c:symbol val="none"/>
          </c:marker>
          <c:cat>
            <c:strRef>
              <c:f>'Tracking Overview'!$A$3:$A$25</c:f>
              <c:strCache>
                <c:ptCount val="23"/>
                <c:pt idx="0">
                  <c:v>9/12/2019 17:00</c:v>
                </c:pt>
                <c:pt idx="1">
                  <c:v>10/12/2019 17:00</c:v>
                </c:pt>
                <c:pt idx="2">
                  <c:v>11/12/2019 17:00</c:v>
                </c:pt>
                <c:pt idx="3">
                  <c:v>12/12/2019 17:00</c:v>
                </c:pt>
                <c:pt idx="4">
                  <c:v>13/12/2019 17:00</c:v>
                </c:pt>
                <c:pt idx="5">
                  <c:v>14/12/2019 17:00</c:v>
                </c:pt>
                <c:pt idx="6">
                  <c:v>16/12/2019 17:00</c:v>
                </c:pt>
                <c:pt idx="7">
                  <c:v>17/12/2019 17:00</c:v>
                </c:pt>
                <c:pt idx="8">
                  <c:v>18/12/2019 17:00</c:v>
                </c:pt>
                <c:pt idx="9">
                  <c:v>19/12/2019 17:00</c:v>
                </c:pt>
                <c:pt idx="10">
                  <c:v>20/12/2019 17:00</c:v>
                </c:pt>
                <c:pt idx="11">
                  <c:v>21/12/2019 17:00</c:v>
                </c:pt>
                <c:pt idx="12">
                  <c:v>23/12/2019 17:00</c:v>
                </c:pt>
                <c:pt idx="13">
                  <c:v>24/12/2019 17:00</c:v>
                </c:pt>
                <c:pt idx="14">
                  <c:v>25/12/2019 17:00</c:v>
                </c:pt>
                <c:pt idx="15">
                  <c:v>26/12/2019 17:00</c:v>
                </c:pt>
                <c:pt idx="16">
                  <c:v>27/12/2019 17:00</c:v>
                </c:pt>
                <c:pt idx="17">
                  <c:v>28/12/2019 17:00</c:v>
                </c:pt>
                <c:pt idx="18">
                  <c:v>30/12/2019 17:00</c:v>
                </c:pt>
                <c:pt idx="19">
                  <c:v>31/12/2019 17:00</c:v>
                </c:pt>
                <c:pt idx="20">
                  <c:v>1/01/2020 17:00</c:v>
                </c:pt>
                <c:pt idx="21">
                  <c:v>2/01/2020 17:00</c:v>
                </c:pt>
                <c:pt idx="22">
                  <c:v>3/01/2020 17:00</c:v>
                </c:pt>
              </c:strCache>
            </c:strRef>
          </c:cat>
          <c:val>
            <c:numRef>
              <c:f>'Tracking Overview'!$AG$3:$AG$25</c:f>
              <c:numCache>
                <c:formatCode>0.0000</c:formatCode>
                <c:ptCount val="23"/>
                <c:pt idx="0">
                  <c:v>1.00567879249485</c:v>
                </c:pt>
                <c:pt idx="1">
                  <c:v>1.01420500357368</c:v>
                </c:pt>
                <c:pt idx="2">
                  <c:v>1.0115891430544099</c:v>
                </c:pt>
                <c:pt idx="3">
                  <c:v>1.00603601676667</c:v>
                </c:pt>
                <c:pt idx="4">
                  <c:v>1.00769434384821</c:v>
                </c:pt>
                <c:pt idx="5">
                  <c:v>1.00852842767914</c:v>
                </c:pt>
                <c:pt idx="6">
                  <c:v>1.0081691459039599</c:v>
                </c:pt>
                <c:pt idx="7">
                  <c:v>1.0080787105331801</c:v>
                </c:pt>
                <c:pt idx="8">
                  <c:v>1.0079893832950599</c:v>
                </c:pt>
                <c:pt idx="9">
                  <c:v>1.00790114585863</c:v>
                </c:pt>
                <c:pt idx="10">
                  <c:v>1.0078139747569801</c:v>
                </c:pt>
                <c:pt idx="11">
                  <c:v>1.0077278553912801</c:v>
                </c:pt>
                <c:pt idx="12">
                  <c:v>1.0076427665687699</c:v>
                </c:pt>
                <c:pt idx="13">
                  <c:v>1.0075586899015401</c:v>
                </c:pt>
                <c:pt idx="14">
                  <c:v>1.00726581306291</c:v>
                </c:pt>
                <c:pt idx="15">
                  <c:v>1.0062209589110001</c:v>
                </c:pt>
                <c:pt idx="16">
                  <c:v>1.0087123666316</c:v>
                </c:pt>
                <c:pt idx="17">
                  <c:v>1.0091219916612399</c:v>
                </c:pt>
                <c:pt idx="18">
                  <c:v>1.00576219053149</c:v>
                </c:pt>
                <c:pt idx="19">
                  <c:v>1.00541685841175</c:v>
                </c:pt>
                <c:pt idx="20">
                  <c:v>1.00506769677765</c:v>
                </c:pt>
                <c:pt idx="21">
                  <c:v>1.0048177232500499</c:v>
                </c:pt>
                <c:pt idx="22">
                  <c:v>1.0047803227965699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0F-4AAC-A3B7-5B181B31B741}"/>
            </c:ext>
          </c:extLst>
        </c:ser>
        <c:ser>
          <c:idx val="1"/>
          <c:order val="1"/>
          <c:tx>
            <c:v>SPI(t)</c:v>
          </c:tx>
          <c:marker>
            <c:symbol val="none"/>
          </c:marker>
          <c:cat>
            <c:strRef>
              <c:f>'Tracking Overview'!$A$3:$A$25</c:f>
              <c:strCache>
                <c:ptCount val="23"/>
                <c:pt idx="0">
                  <c:v>9/12/2019 17:00</c:v>
                </c:pt>
                <c:pt idx="1">
                  <c:v>10/12/2019 17:00</c:v>
                </c:pt>
                <c:pt idx="2">
                  <c:v>11/12/2019 17:00</c:v>
                </c:pt>
                <c:pt idx="3">
                  <c:v>12/12/2019 17:00</c:v>
                </c:pt>
                <c:pt idx="4">
                  <c:v>13/12/2019 17:00</c:v>
                </c:pt>
                <c:pt idx="5">
                  <c:v>14/12/2019 17:00</c:v>
                </c:pt>
                <c:pt idx="6">
                  <c:v>16/12/2019 17:00</c:v>
                </c:pt>
                <c:pt idx="7">
                  <c:v>17/12/2019 17:00</c:v>
                </c:pt>
                <c:pt idx="8">
                  <c:v>18/12/2019 17:00</c:v>
                </c:pt>
                <c:pt idx="9">
                  <c:v>19/12/2019 17:00</c:v>
                </c:pt>
                <c:pt idx="10">
                  <c:v>20/12/2019 17:00</c:v>
                </c:pt>
                <c:pt idx="11">
                  <c:v>21/12/2019 17:00</c:v>
                </c:pt>
                <c:pt idx="12">
                  <c:v>23/12/2019 17:00</c:v>
                </c:pt>
                <c:pt idx="13">
                  <c:v>24/12/2019 17:00</c:v>
                </c:pt>
                <c:pt idx="14">
                  <c:v>25/12/2019 17:00</c:v>
                </c:pt>
                <c:pt idx="15">
                  <c:v>26/12/2019 17:00</c:v>
                </c:pt>
                <c:pt idx="16">
                  <c:v>27/12/2019 17:00</c:v>
                </c:pt>
                <c:pt idx="17">
                  <c:v>28/12/2019 17:00</c:v>
                </c:pt>
                <c:pt idx="18">
                  <c:v>30/12/2019 17:00</c:v>
                </c:pt>
                <c:pt idx="19">
                  <c:v>31/12/2019 17:00</c:v>
                </c:pt>
                <c:pt idx="20">
                  <c:v>1/01/2020 17:00</c:v>
                </c:pt>
                <c:pt idx="21">
                  <c:v>2/01/2020 17:00</c:v>
                </c:pt>
                <c:pt idx="22">
                  <c:v>3/01/2020 17:00</c:v>
                </c:pt>
              </c:strCache>
            </c:strRef>
          </c:cat>
          <c:val>
            <c:numRef>
              <c:f>'Tracking Overview'!$AF$3:$AF$25</c:f>
              <c:numCache>
                <c:formatCode>0.0000</c:formatCode>
                <c:ptCount val="23"/>
                <c:pt idx="0">
                  <c:v>5.28571428571429</c:v>
                </c:pt>
                <c:pt idx="1">
                  <c:v>2.6428571428571401</c:v>
                </c:pt>
                <c:pt idx="2">
                  <c:v>1.8571428571428601</c:v>
                </c:pt>
                <c:pt idx="3">
                  <c:v>3.5714285714285698</c:v>
                </c:pt>
                <c:pt idx="4">
                  <c:v>2.8571428571428599</c:v>
                </c:pt>
                <c:pt idx="5">
                  <c:v>2.71428571428571</c:v>
                </c:pt>
                <c:pt idx="6">
                  <c:v>2.6734693877550999</c:v>
                </c:pt>
                <c:pt idx="7">
                  <c:v>2.33928571428571</c:v>
                </c:pt>
                <c:pt idx="8">
                  <c:v>2.07936507936508</c:v>
                </c:pt>
                <c:pt idx="9">
                  <c:v>1.8714285714285701</c:v>
                </c:pt>
                <c:pt idx="10">
                  <c:v>1.7012987012987</c:v>
                </c:pt>
                <c:pt idx="11">
                  <c:v>1.55952380952381</c:v>
                </c:pt>
                <c:pt idx="12">
                  <c:v>1.43956043956044</c:v>
                </c:pt>
                <c:pt idx="13">
                  <c:v>1.33673469387755</c:v>
                </c:pt>
                <c:pt idx="14">
                  <c:v>1.3142857142857101</c:v>
                </c:pt>
                <c:pt idx="15">
                  <c:v>1.2321428571428601</c:v>
                </c:pt>
                <c:pt idx="16">
                  <c:v>1.1596638655462199</c:v>
                </c:pt>
                <c:pt idx="17">
                  <c:v>1.2063492063492101</c:v>
                </c:pt>
                <c:pt idx="18">
                  <c:v>1.28571428571429</c:v>
                </c:pt>
                <c:pt idx="19">
                  <c:v>1.26428571428571</c:v>
                </c:pt>
                <c:pt idx="20">
                  <c:v>1.24489795918367</c:v>
                </c:pt>
                <c:pt idx="21">
                  <c:v>1.22727272727273</c:v>
                </c:pt>
                <c:pt idx="22">
                  <c:v>1.1925465838509299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0F-4AAC-A3B7-5B181B31B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510001"/>
        <c:axId val="50510002"/>
      </c:lineChart>
      <c:catAx>
        <c:axId val="505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510002"/>
        <c:crosses val="autoZero"/>
        <c:auto val="1"/>
        <c:lblAlgn val="ctr"/>
        <c:lblOffset val="100"/>
        <c:noMultiLvlLbl val="0"/>
      </c:catAx>
      <c:valAx>
        <c:axId val="505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5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SPI, SPI(t), p-factor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SPI(t)</c:v>
          </c:tx>
          <c:marker>
            <c:symbol val="none"/>
          </c:marker>
          <c:cat>
            <c:strRef>
              <c:f>'Tracking Overview'!$A$3:$A$25</c:f>
              <c:strCache>
                <c:ptCount val="23"/>
                <c:pt idx="0">
                  <c:v>9/12/2019 17:00</c:v>
                </c:pt>
                <c:pt idx="1">
                  <c:v>10/12/2019 17:00</c:v>
                </c:pt>
                <c:pt idx="2">
                  <c:v>11/12/2019 17:00</c:v>
                </c:pt>
                <c:pt idx="3">
                  <c:v>12/12/2019 17:00</c:v>
                </c:pt>
                <c:pt idx="4">
                  <c:v>13/12/2019 17:00</c:v>
                </c:pt>
                <c:pt idx="5">
                  <c:v>14/12/2019 17:00</c:v>
                </c:pt>
                <c:pt idx="6">
                  <c:v>16/12/2019 17:00</c:v>
                </c:pt>
                <c:pt idx="7">
                  <c:v>17/12/2019 17:00</c:v>
                </c:pt>
                <c:pt idx="8">
                  <c:v>18/12/2019 17:00</c:v>
                </c:pt>
                <c:pt idx="9">
                  <c:v>19/12/2019 17:00</c:v>
                </c:pt>
                <c:pt idx="10">
                  <c:v>20/12/2019 17:00</c:v>
                </c:pt>
                <c:pt idx="11">
                  <c:v>21/12/2019 17:00</c:v>
                </c:pt>
                <c:pt idx="12">
                  <c:v>23/12/2019 17:00</c:v>
                </c:pt>
                <c:pt idx="13">
                  <c:v>24/12/2019 17:00</c:v>
                </c:pt>
                <c:pt idx="14">
                  <c:v>25/12/2019 17:00</c:v>
                </c:pt>
                <c:pt idx="15">
                  <c:v>26/12/2019 17:00</c:v>
                </c:pt>
                <c:pt idx="16">
                  <c:v>27/12/2019 17:00</c:v>
                </c:pt>
                <c:pt idx="17">
                  <c:v>28/12/2019 17:00</c:v>
                </c:pt>
                <c:pt idx="18">
                  <c:v>30/12/2019 17:00</c:v>
                </c:pt>
                <c:pt idx="19">
                  <c:v>31/12/2019 17:00</c:v>
                </c:pt>
                <c:pt idx="20">
                  <c:v>1/01/2020 17:00</c:v>
                </c:pt>
                <c:pt idx="21">
                  <c:v>2/01/2020 17:00</c:v>
                </c:pt>
                <c:pt idx="22">
                  <c:v>3/01/2020 17:00</c:v>
                </c:pt>
              </c:strCache>
            </c:strRef>
          </c:cat>
          <c:val>
            <c:numRef>
              <c:f>'Tracking Overview'!$AF$3:$AF$25</c:f>
              <c:numCache>
                <c:formatCode>0.0000</c:formatCode>
                <c:ptCount val="23"/>
                <c:pt idx="0">
                  <c:v>5.28571428571429</c:v>
                </c:pt>
                <c:pt idx="1">
                  <c:v>2.6428571428571401</c:v>
                </c:pt>
                <c:pt idx="2">
                  <c:v>1.8571428571428601</c:v>
                </c:pt>
                <c:pt idx="3">
                  <c:v>3.5714285714285698</c:v>
                </c:pt>
                <c:pt idx="4">
                  <c:v>2.8571428571428599</c:v>
                </c:pt>
                <c:pt idx="5">
                  <c:v>2.71428571428571</c:v>
                </c:pt>
                <c:pt idx="6">
                  <c:v>2.6734693877550999</c:v>
                </c:pt>
                <c:pt idx="7">
                  <c:v>2.33928571428571</c:v>
                </c:pt>
                <c:pt idx="8">
                  <c:v>2.07936507936508</c:v>
                </c:pt>
                <c:pt idx="9">
                  <c:v>1.8714285714285701</c:v>
                </c:pt>
                <c:pt idx="10">
                  <c:v>1.7012987012987</c:v>
                </c:pt>
                <c:pt idx="11">
                  <c:v>1.55952380952381</c:v>
                </c:pt>
                <c:pt idx="12">
                  <c:v>1.43956043956044</c:v>
                </c:pt>
                <c:pt idx="13">
                  <c:v>1.33673469387755</c:v>
                </c:pt>
                <c:pt idx="14">
                  <c:v>1.3142857142857101</c:v>
                </c:pt>
                <c:pt idx="15">
                  <c:v>1.2321428571428601</c:v>
                </c:pt>
                <c:pt idx="16">
                  <c:v>1.1596638655462199</c:v>
                </c:pt>
                <c:pt idx="17">
                  <c:v>1.2063492063492101</c:v>
                </c:pt>
                <c:pt idx="18">
                  <c:v>1.28571428571429</c:v>
                </c:pt>
                <c:pt idx="19">
                  <c:v>1.26428571428571</c:v>
                </c:pt>
                <c:pt idx="20">
                  <c:v>1.24489795918367</c:v>
                </c:pt>
                <c:pt idx="21">
                  <c:v>1.22727272727273</c:v>
                </c:pt>
                <c:pt idx="22">
                  <c:v>1.1925465838509299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90-4AA6-938E-0402358D092F}"/>
            </c:ext>
          </c:extLst>
        </c:ser>
        <c:ser>
          <c:idx val="1"/>
          <c:order val="1"/>
          <c:tx>
            <c:v>SPI</c:v>
          </c:tx>
          <c:marker>
            <c:symbol val="none"/>
          </c:marker>
          <c:cat>
            <c:strRef>
              <c:f>'Tracking Overview'!$A$3:$A$25</c:f>
              <c:strCache>
                <c:ptCount val="23"/>
                <c:pt idx="0">
                  <c:v>9/12/2019 17:00</c:v>
                </c:pt>
                <c:pt idx="1">
                  <c:v>10/12/2019 17:00</c:v>
                </c:pt>
                <c:pt idx="2">
                  <c:v>11/12/2019 17:00</c:v>
                </c:pt>
                <c:pt idx="3">
                  <c:v>12/12/2019 17:00</c:v>
                </c:pt>
                <c:pt idx="4">
                  <c:v>13/12/2019 17:00</c:v>
                </c:pt>
                <c:pt idx="5">
                  <c:v>14/12/2019 17:00</c:v>
                </c:pt>
                <c:pt idx="6">
                  <c:v>16/12/2019 17:00</c:v>
                </c:pt>
                <c:pt idx="7">
                  <c:v>17/12/2019 17:00</c:v>
                </c:pt>
                <c:pt idx="8">
                  <c:v>18/12/2019 17:00</c:v>
                </c:pt>
                <c:pt idx="9">
                  <c:v>19/12/2019 17:00</c:v>
                </c:pt>
                <c:pt idx="10">
                  <c:v>20/12/2019 17:00</c:v>
                </c:pt>
                <c:pt idx="11">
                  <c:v>21/12/2019 17:00</c:v>
                </c:pt>
                <c:pt idx="12">
                  <c:v>23/12/2019 17:00</c:v>
                </c:pt>
                <c:pt idx="13">
                  <c:v>24/12/2019 17:00</c:v>
                </c:pt>
                <c:pt idx="14">
                  <c:v>25/12/2019 17:00</c:v>
                </c:pt>
                <c:pt idx="15">
                  <c:v>26/12/2019 17:00</c:v>
                </c:pt>
                <c:pt idx="16">
                  <c:v>27/12/2019 17:00</c:v>
                </c:pt>
                <c:pt idx="17">
                  <c:v>28/12/2019 17:00</c:v>
                </c:pt>
                <c:pt idx="18">
                  <c:v>30/12/2019 17:00</c:v>
                </c:pt>
                <c:pt idx="19">
                  <c:v>31/12/2019 17:00</c:v>
                </c:pt>
                <c:pt idx="20">
                  <c:v>1/01/2020 17:00</c:v>
                </c:pt>
                <c:pt idx="21">
                  <c:v>2/01/2020 17:00</c:v>
                </c:pt>
                <c:pt idx="22">
                  <c:v>3/01/2020 17:00</c:v>
                </c:pt>
              </c:strCache>
            </c:strRef>
          </c:cat>
          <c:val>
            <c:numRef>
              <c:f>'Tracking Overview'!$AH$3:$AH$25</c:f>
              <c:numCache>
                <c:formatCode>0.0000</c:formatCode>
                <c:ptCount val="23"/>
                <c:pt idx="0">
                  <c:v>1.96966236196421</c:v>
                </c:pt>
                <c:pt idx="1">
                  <c:v>2.0156278634268001</c:v>
                </c:pt>
                <c:pt idx="2">
                  <c:v>5.4229787337019104</c:v>
                </c:pt>
                <c:pt idx="3">
                  <c:v>16.839316917658799</c:v>
                </c:pt>
                <c:pt idx="4">
                  <c:v>21.2587490670732</c:v>
                </c:pt>
                <c:pt idx="5">
                  <c:v>4.0989669424964799</c:v>
                </c:pt>
                <c:pt idx="6">
                  <c:v>3.6761726088296101</c:v>
                </c:pt>
                <c:pt idx="7">
                  <c:v>3.0683374630526301</c:v>
                </c:pt>
                <c:pt idx="8">
                  <c:v>3.0301043142783999</c:v>
                </c:pt>
                <c:pt idx="9">
                  <c:v>2.99325472767678</c:v>
                </c:pt>
                <c:pt idx="10">
                  <c:v>2.9577149259172302</c:v>
                </c:pt>
                <c:pt idx="11">
                  <c:v>2.92341630889704</c:v>
                </c:pt>
                <c:pt idx="12">
                  <c:v>2.5228710161804799</c:v>
                </c:pt>
                <c:pt idx="13">
                  <c:v>2.2051397802844401</c:v>
                </c:pt>
                <c:pt idx="14">
                  <c:v>1.17117485799929</c:v>
                </c:pt>
                <c:pt idx="15">
                  <c:v>1.16833773676043</c:v>
                </c:pt>
                <c:pt idx="16">
                  <c:v>1.1778576492714401</c:v>
                </c:pt>
                <c:pt idx="17">
                  <c:v>1.2909073074941</c:v>
                </c:pt>
                <c:pt idx="18">
                  <c:v>1.8299642858007199</c:v>
                </c:pt>
                <c:pt idx="19">
                  <c:v>1.6975205469868699</c:v>
                </c:pt>
                <c:pt idx="20">
                  <c:v>1.6794995721497601</c:v>
                </c:pt>
                <c:pt idx="21">
                  <c:v>1.04678204933303</c:v>
                </c:pt>
                <c:pt idx="22">
                  <c:v>1.0197024472563001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90-4AA6-938E-0402358D092F}"/>
            </c:ext>
          </c:extLst>
        </c:ser>
        <c:ser>
          <c:idx val="2"/>
          <c:order val="2"/>
          <c:tx>
            <c:v>p-factor</c:v>
          </c:tx>
          <c:marker>
            <c:symbol val="none"/>
          </c:marker>
          <c:cat>
            <c:strRef>
              <c:f>'Tracking Overview'!$A$3:$A$25</c:f>
              <c:strCache>
                <c:ptCount val="23"/>
                <c:pt idx="0">
                  <c:v>9/12/2019 17:00</c:v>
                </c:pt>
                <c:pt idx="1">
                  <c:v>10/12/2019 17:00</c:v>
                </c:pt>
                <c:pt idx="2">
                  <c:v>11/12/2019 17:00</c:v>
                </c:pt>
                <c:pt idx="3">
                  <c:v>12/12/2019 17:00</c:v>
                </c:pt>
                <c:pt idx="4">
                  <c:v>13/12/2019 17:00</c:v>
                </c:pt>
                <c:pt idx="5">
                  <c:v>14/12/2019 17:00</c:v>
                </c:pt>
                <c:pt idx="6">
                  <c:v>16/12/2019 17:00</c:v>
                </c:pt>
                <c:pt idx="7">
                  <c:v>17/12/2019 17:00</c:v>
                </c:pt>
                <c:pt idx="8">
                  <c:v>18/12/2019 17:00</c:v>
                </c:pt>
                <c:pt idx="9">
                  <c:v>19/12/2019 17:00</c:v>
                </c:pt>
                <c:pt idx="10">
                  <c:v>20/12/2019 17:00</c:v>
                </c:pt>
                <c:pt idx="11">
                  <c:v>21/12/2019 17:00</c:v>
                </c:pt>
                <c:pt idx="12">
                  <c:v>23/12/2019 17:00</c:v>
                </c:pt>
                <c:pt idx="13">
                  <c:v>24/12/2019 17:00</c:v>
                </c:pt>
                <c:pt idx="14">
                  <c:v>25/12/2019 17:00</c:v>
                </c:pt>
                <c:pt idx="15">
                  <c:v>26/12/2019 17:00</c:v>
                </c:pt>
                <c:pt idx="16">
                  <c:v>27/12/2019 17:00</c:v>
                </c:pt>
                <c:pt idx="17">
                  <c:v>28/12/2019 17:00</c:v>
                </c:pt>
                <c:pt idx="18">
                  <c:v>30/12/2019 17:00</c:v>
                </c:pt>
                <c:pt idx="19">
                  <c:v>31/12/2019 17:00</c:v>
                </c:pt>
                <c:pt idx="20">
                  <c:v>1/01/2020 17:00</c:v>
                </c:pt>
                <c:pt idx="21">
                  <c:v>2/01/2020 17:00</c:v>
                </c:pt>
                <c:pt idx="22">
                  <c:v>3/01/2020 17:00</c:v>
                </c:pt>
              </c:strCache>
            </c:strRef>
          </c:cat>
          <c:val>
            <c:numRef>
              <c:f>'Tracking Overview'!$AI$3:$AI$25</c:f>
              <c:numCache>
                <c:formatCode>0.0000</c:formatCode>
                <c:ptCount val="23"/>
                <c:pt idx="0">
                  <c:v>0.34922579496272299</c:v>
                </c:pt>
                <c:pt idx="1">
                  <c:v>0.38924621371401802</c:v>
                </c:pt>
                <c:pt idx="2">
                  <c:v>0.17055165116499399</c:v>
                </c:pt>
                <c:pt idx="3">
                  <c:v>0.65403907299406605</c:v>
                </c:pt>
                <c:pt idx="4">
                  <c:v>0.85507455824054401</c:v>
                </c:pt>
                <c:pt idx="5">
                  <c:v>0.91037939608768903</c:v>
                </c:pt>
                <c:pt idx="6">
                  <c:v>0.86770126081612797</c:v>
                </c:pt>
                <c:pt idx="7">
                  <c:v>0.87341330428364905</c:v>
                </c:pt>
                <c:pt idx="8">
                  <c:v>0.87912534719517399</c:v>
                </c:pt>
                <c:pt idx="9">
                  <c:v>0.88483739136555795</c:v>
                </c:pt>
                <c:pt idx="10">
                  <c:v>0.89054943331195702</c:v>
                </c:pt>
                <c:pt idx="11">
                  <c:v>0.89626147748234197</c:v>
                </c:pt>
                <c:pt idx="12">
                  <c:v>0.90197352165272604</c:v>
                </c:pt>
                <c:pt idx="13">
                  <c:v>0.907685565823111</c:v>
                </c:pt>
                <c:pt idx="14">
                  <c:v>0.88143472759673203</c:v>
                </c:pt>
                <c:pt idx="15">
                  <c:v>0.89148363694013</c:v>
                </c:pt>
                <c:pt idx="16">
                  <c:v>0.892240175930202</c:v>
                </c:pt>
                <c:pt idx="17">
                  <c:v>0.63916150003588001</c:v>
                </c:pt>
                <c:pt idx="18">
                  <c:v>0.99955193655439101</c:v>
                </c:pt>
                <c:pt idx="19">
                  <c:v>0.99976166415628798</c:v>
                </c:pt>
                <c:pt idx="20">
                  <c:v>0.99980976658367204</c:v>
                </c:pt>
                <c:pt idx="21">
                  <c:v>0.99997298876460805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90-4AA6-938E-0402358D0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520001"/>
        <c:axId val="50520002"/>
      </c:lineChart>
      <c:catAx>
        <c:axId val="505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520002"/>
        <c:crosses val="autoZero"/>
        <c:auto val="1"/>
        <c:lblAlgn val="ctr"/>
        <c:lblOffset val="100"/>
        <c:noMultiLvlLbl val="0"/>
      </c:catAx>
      <c:valAx>
        <c:axId val="505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5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Cost Variance (CV)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CV</c:v>
          </c:tx>
          <c:marker>
            <c:symbol val="none"/>
          </c:marker>
          <c:cat>
            <c:strRef>
              <c:f>'Tracking Overview'!$A$3:$A$25</c:f>
              <c:strCache>
                <c:ptCount val="23"/>
                <c:pt idx="0">
                  <c:v>9/12/2019 17:00</c:v>
                </c:pt>
                <c:pt idx="1">
                  <c:v>10/12/2019 17:00</c:v>
                </c:pt>
                <c:pt idx="2">
                  <c:v>11/12/2019 17:00</c:v>
                </c:pt>
                <c:pt idx="3">
                  <c:v>12/12/2019 17:00</c:v>
                </c:pt>
                <c:pt idx="4">
                  <c:v>13/12/2019 17:00</c:v>
                </c:pt>
                <c:pt idx="5">
                  <c:v>14/12/2019 17:00</c:v>
                </c:pt>
                <c:pt idx="6">
                  <c:v>16/12/2019 17:00</c:v>
                </c:pt>
                <c:pt idx="7">
                  <c:v>17/12/2019 17:00</c:v>
                </c:pt>
                <c:pt idx="8">
                  <c:v>18/12/2019 17:00</c:v>
                </c:pt>
                <c:pt idx="9">
                  <c:v>19/12/2019 17:00</c:v>
                </c:pt>
                <c:pt idx="10">
                  <c:v>20/12/2019 17:00</c:v>
                </c:pt>
                <c:pt idx="11">
                  <c:v>21/12/2019 17:00</c:v>
                </c:pt>
                <c:pt idx="12">
                  <c:v>23/12/2019 17:00</c:v>
                </c:pt>
                <c:pt idx="13">
                  <c:v>24/12/2019 17:00</c:v>
                </c:pt>
                <c:pt idx="14">
                  <c:v>25/12/2019 17:00</c:v>
                </c:pt>
                <c:pt idx="15">
                  <c:v>26/12/2019 17:00</c:v>
                </c:pt>
                <c:pt idx="16">
                  <c:v>27/12/2019 17:00</c:v>
                </c:pt>
                <c:pt idx="17">
                  <c:v>28/12/2019 17:00</c:v>
                </c:pt>
                <c:pt idx="18">
                  <c:v>30/12/2019 17:00</c:v>
                </c:pt>
                <c:pt idx="19">
                  <c:v>31/12/2019 17:00</c:v>
                </c:pt>
                <c:pt idx="20">
                  <c:v>1/01/2020 17:00</c:v>
                </c:pt>
                <c:pt idx="21">
                  <c:v>2/01/2020 17:00</c:v>
                </c:pt>
                <c:pt idx="22">
                  <c:v>3/01/2020 17:00</c:v>
                </c:pt>
              </c:strCache>
            </c:strRef>
          </c:cat>
          <c:val>
            <c:numRef>
              <c:f>'Tracking Overview'!$J$3:$J$25</c:f>
              <c:numCache>
                <c:formatCode>#,##0.00\€</c:formatCode>
                <c:ptCount val="23"/>
                <c:pt idx="0">
                  <c:v>22.3999969959259</c:v>
                </c:pt>
                <c:pt idx="1">
                  <c:v>61.5999979972839</c:v>
                </c:pt>
                <c:pt idx="2">
                  <c:v>146.00002419948601</c:v>
                </c:pt>
                <c:pt idx="3">
                  <c:v>254.39999866485601</c:v>
                </c:pt>
                <c:pt idx="4">
                  <c:v>435.99999415874498</c:v>
                </c:pt>
                <c:pt idx="5">
                  <c:v>518.545459747314</c:v>
                </c:pt>
                <c:pt idx="6">
                  <c:v>516.00001645088196</c:v>
                </c:pt>
                <c:pt idx="7">
                  <c:v>513.45456600189198</c:v>
                </c:pt>
                <c:pt idx="8">
                  <c:v>510.90907764434797</c:v>
                </c:pt>
                <c:pt idx="9">
                  <c:v>508.36367511749302</c:v>
                </c:pt>
                <c:pt idx="10">
                  <c:v>505.81812095642101</c:v>
                </c:pt>
                <c:pt idx="11">
                  <c:v>503.27271842956497</c:v>
                </c:pt>
                <c:pt idx="12">
                  <c:v>500.72731590271002</c:v>
                </c:pt>
                <c:pt idx="13">
                  <c:v>498.18191337585398</c:v>
                </c:pt>
                <c:pt idx="14">
                  <c:v>498.88888943195298</c:v>
                </c:pt>
                <c:pt idx="15">
                  <c:v>433.333334863186</c:v>
                </c:pt>
                <c:pt idx="16">
                  <c:v>629.77777814865101</c:v>
                </c:pt>
                <c:pt idx="17">
                  <c:v>733.33332967758201</c:v>
                </c:pt>
                <c:pt idx="18">
                  <c:v>716</c:v>
                </c:pt>
                <c:pt idx="19">
                  <c:v>678</c:v>
                </c:pt>
                <c:pt idx="20">
                  <c:v>636</c:v>
                </c:pt>
                <c:pt idx="21">
                  <c:v>608.57142877578701</c:v>
                </c:pt>
                <c:pt idx="22">
                  <c:v>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8C-4126-ADE9-522F802A2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530001"/>
        <c:axId val="50530002"/>
      </c:lineChart>
      <c:catAx>
        <c:axId val="505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530002"/>
        <c:crosses val="autoZero"/>
        <c:auto val="1"/>
        <c:lblAlgn val="ctr"/>
        <c:lblOffset val="100"/>
        <c:noMultiLvlLbl val="0"/>
      </c:catAx>
      <c:valAx>
        <c:axId val="505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#,##0.00\€" sourceLinked="1"/>
        <c:majorTickMark val="out"/>
        <c:minorTickMark val="none"/>
        <c:tickLblPos val="nextTo"/>
        <c:crossAx val="505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SV(t)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SV(t)</c:v>
          </c:tx>
          <c:marker>
            <c:symbol val="none"/>
          </c:marker>
          <c:cat>
            <c:strRef>
              <c:f>'Tracking Overview'!$A$3:$A$25</c:f>
              <c:strCache>
                <c:ptCount val="23"/>
                <c:pt idx="0">
                  <c:v>9/12/2019 17:00</c:v>
                </c:pt>
                <c:pt idx="1">
                  <c:v>10/12/2019 17:00</c:v>
                </c:pt>
                <c:pt idx="2">
                  <c:v>11/12/2019 17:00</c:v>
                </c:pt>
                <c:pt idx="3">
                  <c:v>12/12/2019 17:00</c:v>
                </c:pt>
                <c:pt idx="4">
                  <c:v>13/12/2019 17:00</c:v>
                </c:pt>
                <c:pt idx="5">
                  <c:v>14/12/2019 17:00</c:v>
                </c:pt>
                <c:pt idx="6">
                  <c:v>16/12/2019 17:00</c:v>
                </c:pt>
                <c:pt idx="7">
                  <c:v>17/12/2019 17:00</c:v>
                </c:pt>
                <c:pt idx="8">
                  <c:v>18/12/2019 17:00</c:v>
                </c:pt>
                <c:pt idx="9">
                  <c:v>19/12/2019 17:00</c:v>
                </c:pt>
                <c:pt idx="10">
                  <c:v>20/12/2019 17:00</c:v>
                </c:pt>
                <c:pt idx="11">
                  <c:v>21/12/2019 17:00</c:v>
                </c:pt>
                <c:pt idx="12">
                  <c:v>23/12/2019 17:00</c:v>
                </c:pt>
                <c:pt idx="13">
                  <c:v>24/12/2019 17:00</c:v>
                </c:pt>
                <c:pt idx="14">
                  <c:v>25/12/2019 17:00</c:v>
                </c:pt>
                <c:pt idx="15">
                  <c:v>26/12/2019 17:00</c:v>
                </c:pt>
                <c:pt idx="16">
                  <c:v>27/12/2019 17:00</c:v>
                </c:pt>
                <c:pt idx="17">
                  <c:v>28/12/2019 17:00</c:v>
                </c:pt>
                <c:pt idx="18">
                  <c:v>30/12/2019 17:00</c:v>
                </c:pt>
                <c:pt idx="19">
                  <c:v>31/12/2019 17:00</c:v>
                </c:pt>
                <c:pt idx="20">
                  <c:v>1/01/2020 17:00</c:v>
                </c:pt>
                <c:pt idx="21">
                  <c:v>2/01/2020 17:00</c:v>
                </c:pt>
                <c:pt idx="22">
                  <c:v>3/01/2020 17:00</c:v>
                </c:pt>
              </c:strCache>
            </c:strRef>
          </c:cat>
          <c:val>
            <c:numRef>
              <c:f>'Tracking Overview'!$AJ$3:$AJ$25</c:f>
              <c:numCache>
                <c:formatCode>0.000</c:formatCode>
                <c:ptCount val="23"/>
                <c:pt idx="0">
                  <c:v>4.25</c:v>
                </c:pt>
                <c:pt idx="1">
                  <c:v>3.25</c:v>
                </c:pt>
                <c:pt idx="2">
                  <c:v>2.5</c:v>
                </c:pt>
                <c:pt idx="3">
                  <c:v>10.25</c:v>
                </c:pt>
                <c:pt idx="4">
                  <c:v>9.25</c:v>
                </c:pt>
                <c:pt idx="5">
                  <c:v>10.25</c:v>
                </c:pt>
                <c:pt idx="6">
                  <c:v>11.625</c:v>
                </c:pt>
                <c:pt idx="7">
                  <c:v>10.625</c:v>
                </c:pt>
                <c:pt idx="8">
                  <c:v>9.625</c:v>
                </c:pt>
                <c:pt idx="9">
                  <c:v>8.625</c:v>
                </c:pt>
                <c:pt idx="10">
                  <c:v>7.625</c:v>
                </c:pt>
                <c:pt idx="11">
                  <c:v>6.625</c:v>
                </c:pt>
                <c:pt idx="12">
                  <c:v>5.625</c:v>
                </c:pt>
                <c:pt idx="13">
                  <c:v>4.625</c:v>
                </c:pt>
                <c:pt idx="14">
                  <c:v>4.625</c:v>
                </c:pt>
                <c:pt idx="15">
                  <c:v>3.625</c:v>
                </c:pt>
                <c:pt idx="16">
                  <c:v>2.625</c:v>
                </c:pt>
                <c:pt idx="17">
                  <c:v>3.625</c:v>
                </c:pt>
                <c:pt idx="18">
                  <c:v>5.375</c:v>
                </c:pt>
                <c:pt idx="19">
                  <c:v>5.25</c:v>
                </c:pt>
                <c:pt idx="20">
                  <c:v>5.125</c:v>
                </c:pt>
                <c:pt idx="21">
                  <c:v>5</c:v>
                </c:pt>
                <c:pt idx="22">
                  <c:v>4.375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98-4F55-A114-91E1E09FC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540001"/>
        <c:axId val="50540002"/>
      </c:lineChart>
      <c:catAx>
        <c:axId val="505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540002"/>
        <c:crosses val="autoZero"/>
        <c:auto val="1"/>
        <c:lblAlgn val="ctr"/>
        <c:lblOffset val="100"/>
        <c:noMultiLvlLbl val="0"/>
      </c:catAx>
      <c:valAx>
        <c:axId val="5054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Schedule variance (working days)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505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CPI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CPI</c:v>
          </c:tx>
          <c:marker>
            <c:symbol val="none"/>
          </c:marker>
          <c:cat>
            <c:strRef>
              <c:f>'Tracking Overview'!$A$3:$A$25</c:f>
              <c:strCache>
                <c:ptCount val="23"/>
                <c:pt idx="0">
                  <c:v>9/12/2019 17:00</c:v>
                </c:pt>
                <c:pt idx="1">
                  <c:v>10/12/2019 17:00</c:v>
                </c:pt>
                <c:pt idx="2">
                  <c:v>11/12/2019 17:00</c:v>
                </c:pt>
                <c:pt idx="3">
                  <c:v>12/12/2019 17:00</c:v>
                </c:pt>
                <c:pt idx="4">
                  <c:v>13/12/2019 17:00</c:v>
                </c:pt>
                <c:pt idx="5">
                  <c:v>14/12/2019 17:00</c:v>
                </c:pt>
                <c:pt idx="6">
                  <c:v>16/12/2019 17:00</c:v>
                </c:pt>
                <c:pt idx="7">
                  <c:v>17/12/2019 17:00</c:v>
                </c:pt>
                <c:pt idx="8">
                  <c:v>18/12/2019 17:00</c:v>
                </c:pt>
                <c:pt idx="9">
                  <c:v>19/12/2019 17:00</c:v>
                </c:pt>
                <c:pt idx="10">
                  <c:v>20/12/2019 17:00</c:v>
                </c:pt>
                <c:pt idx="11">
                  <c:v>21/12/2019 17:00</c:v>
                </c:pt>
                <c:pt idx="12">
                  <c:v>23/12/2019 17:00</c:v>
                </c:pt>
                <c:pt idx="13">
                  <c:v>24/12/2019 17:00</c:v>
                </c:pt>
                <c:pt idx="14">
                  <c:v>25/12/2019 17:00</c:v>
                </c:pt>
                <c:pt idx="15">
                  <c:v>26/12/2019 17:00</c:v>
                </c:pt>
                <c:pt idx="16">
                  <c:v>27/12/2019 17:00</c:v>
                </c:pt>
                <c:pt idx="17">
                  <c:v>28/12/2019 17:00</c:v>
                </c:pt>
                <c:pt idx="18">
                  <c:v>30/12/2019 17:00</c:v>
                </c:pt>
                <c:pt idx="19">
                  <c:v>31/12/2019 17:00</c:v>
                </c:pt>
                <c:pt idx="20">
                  <c:v>1/01/2020 17:00</c:v>
                </c:pt>
                <c:pt idx="21">
                  <c:v>2/01/2020 17:00</c:v>
                </c:pt>
                <c:pt idx="22">
                  <c:v>3/01/2020 17:00</c:v>
                </c:pt>
              </c:strCache>
            </c:strRef>
          </c:cat>
          <c:val>
            <c:numRef>
              <c:f>'Tracking Overview'!$AG$3:$AG$25</c:f>
              <c:numCache>
                <c:formatCode>0.0000</c:formatCode>
                <c:ptCount val="23"/>
                <c:pt idx="0">
                  <c:v>1.00567879249485</c:v>
                </c:pt>
                <c:pt idx="1">
                  <c:v>1.01420500357368</c:v>
                </c:pt>
                <c:pt idx="2">
                  <c:v>1.0115891430544099</c:v>
                </c:pt>
                <c:pt idx="3">
                  <c:v>1.00603601676667</c:v>
                </c:pt>
                <c:pt idx="4">
                  <c:v>1.00769434384821</c:v>
                </c:pt>
                <c:pt idx="5">
                  <c:v>1.00852842767914</c:v>
                </c:pt>
                <c:pt idx="6">
                  <c:v>1.0081691459039599</c:v>
                </c:pt>
                <c:pt idx="7">
                  <c:v>1.0080787105331801</c:v>
                </c:pt>
                <c:pt idx="8">
                  <c:v>1.0079893832950599</c:v>
                </c:pt>
                <c:pt idx="9">
                  <c:v>1.00790114585863</c:v>
                </c:pt>
                <c:pt idx="10">
                  <c:v>1.0078139747569801</c:v>
                </c:pt>
                <c:pt idx="11">
                  <c:v>1.0077278553912801</c:v>
                </c:pt>
                <c:pt idx="12">
                  <c:v>1.0076427665687699</c:v>
                </c:pt>
                <c:pt idx="13">
                  <c:v>1.0075586899015401</c:v>
                </c:pt>
                <c:pt idx="14">
                  <c:v>1.00726581306291</c:v>
                </c:pt>
                <c:pt idx="15">
                  <c:v>1.0062209589110001</c:v>
                </c:pt>
                <c:pt idx="16">
                  <c:v>1.0087123666316</c:v>
                </c:pt>
                <c:pt idx="17">
                  <c:v>1.0091219916612399</c:v>
                </c:pt>
                <c:pt idx="18">
                  <c:v>1.00576219053149</c:v>
                </c:pt>
                <c:pt idx="19">
                  <c:v>1.00541685841175</c:v>
                </c:pt>
                <c:pt idx="20">
                  <c:v>1.00506769677765</c:v>
                </c:pt>
                <c:pt idx="21">
                  <c:v>1.0048177232500499</c:v>
                </c:pt>
                <c:pt idx="22">
                  <c:v>1.0047803227965699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66-4079-9ABB-C2BCEFE314D6}"/>
            </c:ext>
          </c:extLst>
        </c:ser>
        <c:ser>
          <c:idx val="1"/>
          <c:order val="1"/>
          <c:tx>
            <c:v>threshold (1.0, 1.0)</c:v>
          </c:tx>
          <c:marker>
            <c:symbol val="none"/>
          </c:marker>
          <c:cat>
            <c:strRef>
              <c:f>'Tracking Overview'!$A$3:$A$25</c:f>
              <c:strCache>
                <c:ptCount val="23"/>
                <c:pt idx="0">
                  <c:v>9/12/2019 17:00</c:v>
                </c:pt>
                <c:pt idx="1">
                  <c:v>10/12/2019 17:00</c:v>
                </c:pt>
                <c:pt idx="2">
                  <c:v>11/12/2019 17:00</c:v>
                </c:pt>
                <c:pt idx="3">
                  <c:v>12/12/2019 17:00</c:v>
                </c:pt>
                <c:pt idx="4">
                  <c:v>13/12/2019 17:00</c:v>
                </c:pt>
                <c:pt idx="5">
                  <c:v>14/12/2019 17:00</c:v>
                </c:pt>
                <c:pt idx="6">
                  <c:v>16/12/2019 17:00</c:v>
                </c:pt>
                <c:pt idx="7">
                  <c:v>17/12/2019 17:00</c:v>
                </c:pt>
                <c:pt idx="8">
                  <c:v>18/12/2019 17:00</c:v>
                </c:pt>
                <c:pt idx="9">
                  <c:v>19/12/2019 17:00</c:v>
                </c:pt>
                <c:pt idx="10">
                  <c:v>20/12/2019 17:00</c:v>
                </c:pt>
                <c:pt idx="11">
                  <c:v>21/12/2019 17:00</c:v>
                </c:pt>
                <c:pt idx="12">
                  <c:v>23/12/2019 17:00</c:v>
                </c:pt>
                <c:pt idx="13">
                  <c:v>24/12/2019 17:00</c:v>
                </c:pt>
                <c:pt idx="14">
                  <c:v>25/12/2019 17:00</c:v>
                </c:pt>
                <c:pt idx="15">
                  <c:v>26/12/2019 17:00</c:v>
                </c:pt>
                <c:pt idx="16">
                  <c:v>27/12/2019 17:00</c:v>
                </c:pt>
                <c:pt idx="17">
                  <c:v>28/12/2019 17:00</c:v>
                </c:pt>
                <c:pt idx="18">
                  <c:v>30/12/2019 17:00</c:v>
                </c:pt>
                <c:pt idx="19">
                  <c:v>31/12/2019 17:00</c:v>
                </c:pt>
                <c:pt idx="20">
                  <c:v>1/01/2020 17:00</c:v>
                </c:pt>
                <c:pt idx="21">
                  <c:v>2/01/2020 17:00</c:v>
                </c:pt>
                <c:pt idx="22">
                  <c:v>3/01/2020 17:00</c:v>
                </c:pt>
              </c:strCache>
            </c:strRef>
          </c:cat>
          <c:val>
            <c:numRef>
              <c:f>'Tracking Overview'!$AL$3:$AL$25</c:f>
              <c:numCache>
                <c:formatCode>0</c:formatCode>
                <c:ptCount val="2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66-4079-9ABB-C2BCEFE31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550001"/>
        <c:axId val="50550002"/>
      </c:lineChart>
      <c:catAx>
        <c:axId val="505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550002"/>
        <c:crosses val="autoZero"/>
        <c:auto val="1"/>
        <c:lblAlgn val="ctr"/>
        <c:lblOffset val="100"/>
        <c:noMultiLvlLbl val="0"/>
      </c:catAx>
      <c:valAx>
        <c:axId val="5055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55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SPI(t)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SPI(t)</c:v>
          </c:tx>
          <c:marker>
            <c:symbol val="none"/>
          </c:marker>
          <c:cat>
            <c:strRef>
              <c:f>'Tracking Overview'!$A$3:$A$25</c:f>
              <c:strCache>
                <c:ptCount val="23"/>
                <c:pt idx="0">
                  <c:v>9/12/2019 17:00</c:v>
                </c:pt>
                <c:pt idx="1">
                  <c:v>10/12/2019 17:00</c:v>
                </c:pt>
                <c:pt idx="2">
                  <c:v>11/12/2019 17:00</c:v>
                </c:pt>
                <c:pt idx="3">
                  <c:v>12/12/2019 17:00</c:v>
                </c:pt>
                <c:pt idx="4">
                  <c:v>13/12/2019 17:00</c:v>
                </c:pt>
                <c:pt idx="5">
                  <c:v>14/12/2019 17:00</c:v>
                </c:pt>
                <c:pt idx="6">
                  <c:v>16/12/2019 17:00</c:v>
                </c:pt>
                <c:pt idx="7">
                  <c:v>17/12/2019 17:00</c:v>
                </c:pt>
                <c:pt idx="8">
                  <c:v>18/12/2019 17:00</c:v>
                </c:pt>
                <c:pt idx="9">
                  <c:v>19/12/2019 17:00</c:v>
                </c:pt>
                <c:pt idx="10">
                  <c:v>20/12/2019 17:00</c:v>
                </c:pt>
                <c:pt idx="11">
                  <c:v>21/12/2019 17:00</c:v>
                </c:pt>
                <c:pt idx="12">
                  <c:v>23/12/2019 17:00</c:v>
                </c:pt>
                <c:pt idx="13">
                  <c:v>24/12/2019 17:00</c:v>
                </c:pt>
                <c:pt idx="14">
                  <c:v>25/12/2019 17:00</c:v>
                </c:pt>
                <c:pt idx="15">
                  <c:v>26/12/2019 17:00</c:v>
                </c:pt>
                <c:pt idx="16">
                  <c:v>27/12/2019 17:00</c:v>
                </c:pt>
                <c:pt idx="17">
                  <c:v>28/12/2019 17:00</c:v>
                </c:pt>
                <c:pt idx="18">
                  <c:v>30/12/2019 17:00</c:v>
                </c:pt>
                <c:pt idx="19">
                  <c:v>31/12/2019 17:00</c:v>
                </c:pt>
                <c:pt idx="20">
                  <c:v>1/01/2020 17:00</c:v>
                </c:pt>
                <c:pt idx="21">
                  <c:v>2/01/2020 17:00</c:v>
                </c:pt>
                <c:pt idx="22">
                  <c:v>3/01/2020 17:00</c:v>
                </c:pt>
              </c:strCache>
            </c:strRef>
          </c:cat>
          <c:val>
            <c:numRef>
              <c:f>'Tracking Overview'!$AF$3:$AF$25</c:f>
              <c:numCache>
                <c:formatCode>0.0000</c:formatCode>
                <c:ptCount val="23"/>
                <c:pt idx="0">
                  <c:v>5.28571428571429</c:v>
                </c:pt>
                <c:pt idx="1">
                  <c:v>2.6428571428571401</c:v>
                </c:pt>
                <c:pt idx="2">
                  <c:v>1.8571428571428601</c:v>
                </c:pt>
                <c:pt idx="3">
                  <c:v>3.5714285714285698</c:v>
                </c:pt>
                <c:pt idx="4">
                  <c:v>2.8571428571428599</c:v>
                </c:pt>
                <c:pt idx="5">
                  <c:v>2.71428571428571</c:v>
                </c:pt>
                <c:pt idx="6">
                  <c:v>2.6734693877550999</c:v>
                </c:pt>
                <c:pt idx="7">
                  <c:v>2.33928571428571</c:v>
                </c:pt>
                <c:pt idx="8">
                  <c:v>2.07936507936508</c:v>
                </c:pt>
                <c:pt idx="9">
                  <c:v>1.8714285714285701</c:v>
                </c:pt>
                <c:pt idx="10">
                  <c:v>1.7012987012987</c:v>
                </c:pt>
                <c:pt idx="11">
                  <c:v>1.55952380952381</c:v>
                </c:pt>
                <c:pt idx="12">
                  <c:v>1.43956043956044</c:v>
                </c:pt>
                <c:pt idx="13">
                  <c:v>1.33673469387755</c:v>
                </c:pt>
                <c:pt idx="14">
                  <c:v>1.3142857142857101</c:v>
                </c:pt>
                <c:pt idx="15">
                  <c:v>1.2321428571428601</c:v>
                </c:pt>
                <c:pt idx="16">
                  <c:v>1.1596638655462199</c:v>
                </c:pt>
                <c:pt idx="17">
                  <c:v>1.2063492063492101</c:v>
                </c:pt>
                <c:pt idx="18">
                  <c:v>1.28571428571429</c:v>
                </c:pt>
                <c:pt idx="19">
                  <c:v>1.26428571428571</c:v>
                </c:pt>
                <c:pt idx="20">
                  <c:v>1.24489795918367</c:v>
                </c:pt>
                <c:pt idx="21">
                  <c:v>1.22727272727273</c:v>
                </c:pt>
                <c:pt idx="22">
                  <c:v>1.1925465838509299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46-4A06-A860-27E546CEB667}"/>
            </c:ext>
          </c:extLst>
        </c:ser>
        <c:ser>
          <c:idx val="1"/>
          <c:order val="1"/>
          <c:tx>
            <c:v>threshold (1.0, 1.0)</c:v>
          </c:tx>
          <c:marker>
            <c:symbol val="none"/>
          </c:marker>
          <c:cat>
            <c:strRef>
              <c:f>'Tracking Overview'!$A$3:$A$25</c:f>
              <c:strCache>
                <c:ptCount val="23"/>
                <c:pt idx="0">
                  <c:v>9/12/2019 17:00</c:v>
                </c:pt>
                <c:pt idx="1">
                  <c:v>10/12/2019 17:00</c:v>
                </c:pt>
                <c:pt idx="2">
                  <c:v>11/12/2019 17:00</c:v>
                </c:pt>
                <c:pt idx="3">
                  <c:v>12/12/2019 17:00</c:v>
                </c:pt>
                <c:pt idx="4">
                  <c:v>13/12/2019 17:00</c:v>
                </c:pt>
                <c:pt idx="5">
                  <c:v>14/12/2019 17:00</c:v>
                </c:pt>
                <c:pt idx="6">
                  <c:v>16/12/2019 17:00</c:v>
                </c:pt>
                <c:pt idx="7">
                  <c:v>17/12/2019 17:00</c:v>
                </c:pt>
                <c:pt idx="8">
                  <c:v>18/12/2019 17:00</c:v>
                </c:pt>
                <c:pt idx="9">
                  <c:v>19/12/2019 17:00</c:v>
                </c:pt>
                <c:pt idx="10">
                  <c:v>20/12/2019 17:00</c:v>
                </c:pt>
                <c:pt idx="11">
                  <c:v>21/12/2019 17:00</c:v>
                </c:pt>
                <c:pt idx="12">
                  <c:v>23/12/2019 17:00</c:v>
                </c:pt>
                <c:pt idx="13">
                  <c:v>24/12/2019 17:00</c:v>
                </c:pt>
                <c:pt idx="14">
                  <c:v>25/12/2019 17:00</c:v>
                </c:pt>
                <c:pt idx="15">
                  <c:v>26/12/2019 17:00</c:v>
                </c:pt>
                <c:pt idx="16">
                  <c:v>27/12/2019 17:00</c:v>
                </c:pt>
                <c:pt idx="17">
                  <c:v>28/12/2019 17:00</c:v>
                </c:pt>
                <c:pt idx="18">
                  <c:v>30/12/2019 17:00</c:v>
                </c:pt>
                <c:pt idx="19">
                  <c:v>31/12/2019 17:00</c:v>
                </c:pt>
                <c:pt idx="20">
                  <c:v>1/01/2020 17:00</c:v>
                </c:pt>
                <c:pt idx="21">
                  <c:v>2/01/2020 17:00</c:v>
                </c:pt>
                <c:pt idx="22">
                  <c:v>3/01/2020 17:00</c:v>
                </c:pt>
              </c:strCache>
            </c:strRef>
          </c:cat>
          <c:val>
            <c:numRef>
              <c:f>'Tracking Overview'!$AN$3:$AN$25</c:f>
              <c:numCache>
                <c:formatCode>0</c:formatCode>
                <c:ptCount val="2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46-4A06-A860-27E546CEB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560001"/>
        <c:axId val="50560002"/>
      </c:lineChart>
      <c:catAx>
        <c:axId val="5056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560002"/>
        <c:crosses val="autoZero"/>
        <c:auto val="1"/>
        <c:lblAlgn val="ctr"/>
        <c:lblOffset val="100"/>
        <c:noMultiLvlLbl val="0"/>
      </c:catAx>
      <c:valAx>
        <c:axId val="5056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56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581025</xdr:colOff>
      <xdr:row>45</xdr:row>
      <xdr:rowOff>104774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07661496-B9A6-4A6D-ACE1-33F0B4095E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95250</xdr:colOff>
      <xdr:row>0</xdr:row>
      <xdr:rowOff>0</xdr:rowOff>
    </xdr:from>
    <xdr:to>
      <xdr:col>16</xdr:col>
      <xdr:colOff>400050</xdr:colOff>
      <xdr:row>25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40AA5F-7EF4-47CC-AE0F-14104382F8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1</xdr:rowOff>
    </xdr:from>
    <xdr:to>
      <xdr:col>20</xdr:col>
      <xdr:colOff>304800</xdr:colOff>
      <xdr:row>33</xdr:row>
      <xdr:rowOff>1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54B37576-CB3A-4588-A639-B98445A42D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0</xdr:row>
      <xdr:rowOff>0</xdr:rowOff>
    </xdr:from>
    <xdr:to>
      <xdr:col>13</xdr:col>
      <xdr:colOff>523874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793EC5-AEFF-44FC-81F4-3291CB46F0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8006C6-513C-4A20-B0AA-ED9FF95C10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4BCFF3-54D1-477E-8DB6-B4D682A263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53F607-D1BF-43F9-A663-888E831EF7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A81F07-CA66-446D-AE1B-57F6027410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5F807D-D559-4C54-BB63-986329C8AD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4FD9D7-DBCB-460C-82F9-DDB160DE87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lad1"/>
  <dimension ref="A1:P33"/>
  <sheetViews>
    <sheetView topLeftCell="C1" workbookViewId="0">
      <selection activeCell="N3" sqref="N3"/>
    </sheetView>
  </sheetViews>
  <sheetFormatPr defaultRowHeight="14.5" x14ac:dyDescent="0.35"/>
  <cols>
    <col min="1" max="1" width="3.7265625" customWidth="1"/>
    <col min="2" max="2" width="25.7265625" customWidth="1"/>
    <col min="3" max="3" width="5.7265625" customWidth="1"/>
    <col min="4" max="5" width="16.7265625" customWidth="1"/>
    <col min="6" max="7" width="13.7265625" customWidth="1"/>
    <col min="8" max="8" width="8.7265625" customWidth="1"/>
    <col min="9" max="9" width="25.7265625" customWidth="1"/>
    <col min="10" max="12" width="10.7265625" customWidth="1"/>
    <col min="14" max="14" width="12.7265625" customWidth="1"/>
  </cols>
  <sheetData>
    <row r="1" spans="1:16" x14ac:dyDescent="0.35">
      <c r="A1" s="24" t="s">
        <v>0</v>
      </c>
      <c r="B1" s="24"/>
      <c r="C1" s="24"/>
      <c r="D1" s="24" t="s">
        <v>1</v>
      </c>
      <c r="E1" s="24"/>
      <c r="F1" s="24" t="s">
        <v>2</v>
      </c>
      <c r="G1" s="24"/>
      <c r="H1" s="24"/>
      <c r="I1" s="24" t="s">
        <v>3</v>
      </c>
      <c r="J1" s="24"/>
      <c r="K1" s="24" t="s">
        <v>4</v>
      </c>
      <c r="L1" s="24"/>
      <c r="M1" s="24"/>
      <c r="N1" s="24"/>
    </row>
    <row r="2" spans="1:16" ht="43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P2" s="1" t="s">
        <v>322</v>
      </c>
    </row>
    <row r="3" spans="1:16" x14ac:dyDescent="0.35">
      <c r="A3" s="2">
        <v>0</v>
      </c>
      <c r="B3" s="3" t="s">
        <v>18</v>
      </c>
      <c r="C3" s="4" t="s">
        <v>19</v>
      </c>
      <c r="D3" s="2"/>
      <c r="E3" s="2"/>
      <c r="F3" s="5">
        <v>43808.375</v>
      </c>
      <c r="G3" s="5">
        <v>43839.5</v>
      </c>
      <c r="H3" s="2" t="s">
        <v>20</v>
      </c>
      <c r="I3" s="2"/>
      <c r="J3" s="6"/>
      <c r="K3" s="6">
        <v>118411.30004882799</v>
      </c>
      <c r="L3" s="6"/>
      <c r="M3" s="6"/>
      <c r="N3" s="6">
        <v>126955.30004882799</v>
      </c>
      <c r="P3" s="19">
        <f>G3-F3</f>
        <v>31.125</v>
      </c>
    </row>
    <row r="4" spans="1:16" x14ac:dyDescent="0.35">
      <c r="A4" s="3">
        <v>1</v>
      </c>
      <c r="B4" s="3" t="s">
        <v>21</v>
      </c>
      <c r="C4" s="4" t="s">
        <v>22</v>
      </c>
      <c r="D4" s="3"/>
      <c r="E4" s="3" t="s">
        <v>23</v>
      </c>
      <c r="F4" s="7">
        <v>43808.375</v>
      </c>
      <c r="G4" s="8">
        <v>43806.708333333299</v>
      </c>
      <c r="H4" s="3" t="s">
        <v>24</v>
      </c>
      <c r="I4" s="4"/>
      <c r="J4" s="9">
        <v>0</v>
      </c>
      <c r="K4" s="10">
        <v>0</v>
      </c>
      <c r="L4" s="9">
        <v>0</v>
      </c>
      <c r="M4" s="10">
        <v>0</v>
      </c>
      <c r="N4" s="9">
        <v>0</v>
      </c>
      <c r="P4" s="19">
        <f t="shared" ref="P4:P33" si="0">G4-F4</f>
        <v>-1.6666666667006211</v>
      </c>
    </row>
    <row r="5" spans="1:16" ht="22" x14ac:dyDescent="0.35">
      <c r="A5" s="3">
        <v>2</v>
      </c>
      <c r="B5" s="3" t="s">
        <v>25</v>
      </c>
      <c r="C5" s="4" t="s">
        <v>26</v>
      </c>
      <c r="D5" s="3" t="s">
        <v>27</v>
      </c>
      <c r="E5" s="3" t="s">
        <v>28</v>
      </c>
      <c r="F5" s="7">
        <v>43808.375</v>
      </c>
      <c r="G5" s="8">
        <v>43808.5</v>
      </c>
      <c r="H5" s="3" t="s">
        <v>29</v>
      </c>
      <c r="I5" s="4" t="s">
        <v>30</v>
      </c>
      <c r="J5" s="9">
        <v>36</v>
      </c>
      <c r="K5" s="10">
        <v>931.5</v>
      </c>
      <c r="L5" s="9">
        <v>0</v>
      </c>
      <c r="M5" s="10">
        <v>0</v>
      </c>
      <c r="N5" s="9">
        <v>967.5</v>
      </c>
      <c r="P5" s="19">
        <f t="shared" si="0"/>
        <v>0.125</v>
      </c>
    </row>
    <row r="6" spans="1:16" x14ac:dyDescent="0.35">
      <c r="A6" s="3">
        <v>3</v>
      </c>
      <c r="B6" s="3" t="s">
        <v>31</v>
      </c>
      <c r="C6" s="4" t="s">
        <v>32</v>
      </c>
      <c r="D6" s="3" t="s">
        <v>33</v>
      </c>
      <c r="E6" s="3" t="s">
        <v>34</v>
      </c>
      <c r="F6" s="7">
        <v>43808.541666666701</v>
      </c>
      <c r="G6" s="8">
        <v>43813.5</v>
      </c>
      <c r="H6" s="3" t="s">
        <v>35</v>
      </c>
      <c r="I6" s="4" t="s">
        <v>36</v>
      </c>
      <c r="J6" s="9">
        <v>840</v>
      </c>
      <c r="K6" s="10">
        <v>950.5</v>
      </c>
      <c r="L6" s="9">
        <v>0</v>
      </c>
      <c r="M6" s="10">
        <v>0</v>
      </c>
      <c r="N6" s="9">
        <v>1790.5</v>
      </c>
      <c r="P6" s="19">
        <f t="shared" si="0"/>
        <v>4.9583333332993789</v>
      </c>
    </row>
    <row r="7" spans="1:16" x14ac:dyDescent="0.35">
      <c r="A7" s="3">
        <v>4</v>
      </c>
      <c r="B7" s="3" t="s">
        <v>37</v>
      </c>
      <c r="C7" s="4" t="s">
        <v>38</v>
      </c>
      <c r="D7" s="3" t="s">
        <v>39</v>
      </c>
      <c r="E7" s="3" t="s">
        <v>40</v>
      </c>
      <c r="F7" s="7">
        <v>43813.541666666701</v>
      </c>
      <c r="G7" s="8">
        <v>43816.625</v>
      </c>
      <c r="H7" s="3" t="s">
        <v>41</v>
      </c>
      <c r="I7" s="4" t="s">
        <v>42</v>
      </c>
      <c r="J7" s="9">
        <v>640</v>
      </c>
      <c r="K7" s="10">
        <v>8819</v>
      </c>
      <c r="L7" s="9">
        <v>0</v>
      </c>
      <c r="M7" s="10">
        <v>0</v>
      </c>
      <c r="N7" s="9">
        <v>9459</v>
      </c>
      <c r="P7" s="19">
        <f t="shared" si="0"/>
        <v>3.0833333332993789</v>
      </c>
    </row>
    <row r="8" spans="1:16" ht="22" x14ac:dyDescent="0.35">
      <c r="A8" s="3">
        <v>5</v>
      </c>
      <c r="B8" s="3" t="s">
        <v>43</v>
      </c>
      <c r="C8" s="4" t="s">
        <v>44</v>
      </c>
      <c r="D8" s="3" t="s">
        <v>45</v>
      </c>
      <c r="E8" s="3" t="s">
        <v>46</v>
      </c>
      <c r="F8" s="7">
        <v>43816.625</v>
      </c>
      <c r="G8" s="8">
        <v>43827.708333333299</v>
      </c>
      <c r="H8" s="3" t="s">
        <v>47</v>
      </c>
      <c r="I8" s="4" t="s">
        <v>42</v>
      </c>
      <c r="J8" s="9">
        <v>2880</v>
      </c>
      <c r="K8" s="10">
        <v>3166.5</v>
      </c>
      <c r="L8" s="9">
        <v>0</v>
      </c>
      <c r="M8" s="10">
        <v>0</v>
      </c>
      <c r="N8" s="9">
        <v>6046.5</v>
      </c>
      <c r="P8" s="19">
        <f t="shared" si="0"/>
        <v>11.083333333299379</v>
      </c>
    </row>
    <row r="9" spans="1:16" x14ac:dyDescent="0.35">
      <c r="A9" s="3">
        <v>6</v>
      </c>
      <c r="B9" s="3" t="s">
        <v>48</v>
      </c>
      <c r="C9" s="4" t="s">
        <v>49</v>
      </c>
      <c r="D9" s="3" t="s">
        <v>33</v>
      </c>
      <c r="E9" s="3" t="s">
        <v>50</v>
      </c>
      <c r="F9" s="7">
        <v>43830.583333333299</v>
      </c>
      <c r="G9" s="8">
        <v>43832.583333333299</v>
      </c>
      <c r="H9" s="3" t="s">
        <v>51</v>
      </c>
      <c r="I9" s="4" t="s">
        <v>52</v>
      </c>
      <c r="J9" s="9">
        <v>448</v>
      </c>
      <c r="K9" s="10">
        <v>1802.5</v>
      </c>
      <c r="L9" s="9">
        <v>0</v>
      </c>
      <c r="M9" s="10">
        <v>0</v>
      </c>
      <c r="N9" s="9">
        <v>2250.5</v>
      </c>
      <c r="P9" s="19">
        <f t="shared" si="0"/>
        <v>2</v>
      </c>
    </row>
    <row r="10" spans="1:16" x14ac:dyDescent="0.35">
      <c r="A10" s="3">
        <v>7</v>
      </c>
      <c r="B10" s="3" t="s">
        <v>53</v>
      </c>
      <c r="C10" s="4" t="s">
        <v>54</v>
      </c>
      <c r="D10" s="3" t="s">
        <v>33</v>
      </c>
      <c r="E10" s="3" t="s">
        <v>55</v>
      </c>
      <c r="F10" s="7">
        <v>43815.416666666701</v>
      </c>
      <c r="G10" s="8">
        <v>43822.416666666701</v>
      </c>
      <c r="H10" s="3" t="s">
        <v>56</v>
      </c>
      <c r="I10" s="4" t="s">
        <v>57</v>
      </c>
      <c r="J10" s="9">
        <v>672</v>
      </c>
      <c r="K10" s="10">
        <v>1970.5</v>
      </c>
      <c r="L10" s="9">
        <v>0</v>
      </c>
      <c r="M10" s="10">
        <v>0</v>
      </c>
      <c r="N10" s="9">
        <v>2642.5</v>
      </c>
      <c r="P10" s="19">
        <f t="shared" si="0"/>
        <v>7</v>
      </c>
    </row>
    <row r="11" spans="1:16" x14ac:dyDescent="0.35">
      <c r="A11" s="3">
        <v>8</v>
      </c>
      <c r="B11" s="3" t="s">
        <v>58</v>
      </c>
      <c r="C11" s="4" t="s">
        <v>59</v>
      </c>
      <c r="D11" s="3" t="s">
        <v>60</v>
      </c>
      <c r="E11" s="3" t="s">
        <v>55</v>
      </c>
      <c r="F11" s="7">
        <v>43831.583333333299</v>
      </c>
      <c r="G11" s="8">
        <v>43832.583333333299</v>
      </c>
      <c r="H11" s="3" t="s">
        <v>61</v>
      </c>
      <c r="I11" s="4" t="s">
        <v>57</v>
      </c>
      <c r="J11" s="9">
        <v>112</v>
      </c>
      <c r="K11" s="10">
        <v>602.5</v>
      </c>
      <c r="L11" s="9">
        <v>0</v>
      </c>
      <c r="M11" s="10">
        <v>0</v>
      </c>
      <c r="N11" s="9">
        <v>714.5</v>
      </c>
      <c r="P11" s="19">
        <f t="shared" si="0"/>
        <v>1</v>
      </c>
    </row>
    <row r="12" spans="1:16" x14ac:dyDescent="0.35">
      <c r="A12" s="3">
        <v>9</v>
      </c>
      <c r="B12" s="3" t="s">
        <v>62</v>
      </c>
      <c r="C12" s="4" t="s">
        <v>63</v>
      </c>
      <c r="D12" s="3" t="s">
        <v>60</v>
      </c>
      <c r="E12" s="3" t="s">
        <v>55</v>
      </c>
      <c r="F12" s="7">
        <v>43829.583333333299</v>
      </c>
      <c r="G12" s="8">
        <v>43830.583333333299</v>
      </c>
      <c r="H12" s="3" t="s">
        <v>61</v>
      </c>
      <c r="I12" s="4" t="s">
        <v>57</v>
      </c>
      <c r="J12" s="9">
        <v>112</v>
      </c>
      <c r="K12" s="10">
        <v>602.5</v>
      </c>
      <c r="L12" s="9">
        <v>0</v>
      </c>
      <c r="M12" s="10">
        <v>0</v>
      </c>
      <c r="N12" s="9">
        <v>714.5</v>
      </c>
      <c r="P12" s="19">
        <f t="shared" si="0"/>
        <v>1</v>
      </c>
    </row>
    <row r="13" spans="1:16" x14ac:dyDescent="0.35">
      <c r="A13" s="3">
        <v>10</v>
      </c>
      <c r="B13" s="3" t="s">
        <v>64</v>
      </c>
      <c r="C13" s="4" t="s">
        <v>65</v>
      </c>
      <c r="D13" s="3" t="s">
        <v>60</v>
      </c>
      <c r="E13" s="3" t="s">
        <v>66</v>
      </c>
      <c r="F13" s="7">
        <v>43829.375</v>
      </c>
      <c r="G13" s="8">
        <v>43829.708333333299</v>
      </c>
      <c r="H13" s="3" t="s">
        <v>61</v>
      </c>
      <c r="I13" s="4" t="s">
        <v>67</v>
      </c>
      <c r="J13" s="9">
        <v>56</v>
      </c>
      <c r="K13" s="10">
        <v>602.5</v>
      </c>
      <c r="L13" s="9">
        <v>0</v>
      </c>
      <c r="M13" s="10">
        <v>0</v>
      </c>
      <c r="N13" s="9">
        <v>658.5</v>
      </c>
      <c r="P13" s="19">
        <f t="shared" si="0"/>
        <v>0.33333333329937886</v>
      </c>
    </row>
    <row r="14" spans="1:16" x14ac:dyDescent="0.35">
      <c r="A14" s="3">
        <v>11</v>
      </c>
      <c r="B14" s="3" t="s">
        <v>68</v>
      </c>
      <c r="C14" s="4" t="s">
        <v>69</v>
      </c>
      <c r="D14" s="3" t="s">
        <v>33</v>
      </c>
      <c r="E14" s="3" t="s">
        <v>55</v>
      </c>
      <c r="F14" s="7">
        <v>43813.416666666701</v>
      </c>
      <c r="G14" s="8">
        <v>43815.416666666701</v>
      </c>
      <c r="H14" s="3" t="s">
        <v>61</v>
      </c>
      <c r="I14" s="4" t="s">
        <v>67</v>
      </c>
      <c r="J14" s="9">
        <v>56</v>
      </c>
      <c r="K14" s="10">
        <v>602.5</v>
      </c>
      <c r="L14" s="9">
        <v>0</v>
      </c>
      <c r="M14" s="10">
        <v>0</v>
      </c>
      <c r="N14" s="9">
        <v>658.5</v>
      </c>
      <c r="P14" s="19">
        <f t="shared" si="0"/>
        <v>2</v>
      </c>
    </row>
    <row r="15" spans="1:16" x14ac:dyDescent="0.35">
      <c r="A15" s="3">
        <v>13</v>
      </c>
      <c r="B15" s="3" t="s">
        <v>70</v>
      </c>
      <c r="C15" s="4" t="s">
        <v>71</v>
      </c>
      <c r="D15" s="3" t="s">
        <v>72</v>
      </c>
      <c r="E15" s="3" t="s">
        <v>73</v>
      </c>
      <c r="F15" s="7">
        <v>43823.416666666701</v>
      </c>
      <c r="G15" s="8">
        <v>43823.583333333299</v>
      </c>
      <c r="H15" s="3" t="s">
        <v>29</v>
      </c>
      <c r="I15" s="4" t="s">
        <v>67</v>
      </c>
      <c r="J15" s="9">
        <v>24</v>
      </c>
      <c r="K15" s="10">
        <v>602.5</v>
      </c>
      <c r="L15" s="9">
        <v>0</v>
      </c>
      <c r="M15" s="10">
        <v>0</v>
      </c>
      <c r="N15" s="9">
        <v>626.5</v>
      </c>
      <c r="P15" s="19">
        <f t="shared" si="0"/>
        <v>0.16666666659875773</v>
      </c>
    </row>
    <row r="16" spans="1:16" x14ac:dyDescent="0.35">
      <c r="A16" s="3">
        <v>14</v>
      </c>
      <c r="B16" s="3" t="s">
        <v>74</v>
      </c>
      <c r="C16" s="4" t="s">
        <v>75</v>
      </c>
      <c r="D16" s="3" t="s">
        <v>76</v>
      </c>
      <c r="E16" s="3" t="s">
        <v>55</v>
      </c>
      <c r="F16" s="7">
        <v>43836.583333333299</v>
      </c>
      <c r="G16" s="8">
        <v>43838.583333333299</v>
      </c>
      <c r="H16" s="3" t="s">
        <v>51</v>
      </c>
      <c r="I16" s="4" t="s">
        <v>77</v>
      </c>
      <c r="J16" s="9">
        <v>672</v>
      </c>
      <c r="K16" s="10">
        <v>602.5</v>
      </c>
      <c r="L16" s="9">
        <v>0</v>
      </c>
      <c r="M16" s="10">
        <v>0</v>
      </c>
      <c r="N16" s="9">
        <v>1274.5</v>
      </c>
      <c r="P16" s="19">
        <f t="shared" si="0"/>
        <v>2</v>
      </c>
    </row>
    <row r="17" spans="1:16" x14ac:dyDescent="0.35">
      <c r="A17" s="3">
        <v>15</v>
      </c>
      <c r="B17" s="3" t="s">
        <v>78</v>
      </c>
      <c r="C17" s="4" t="s">
        <v>79</v>
      </c>
      <c r="D17" s="3" t="s">
        <v>60</v>
      </c>
      <c r="E17" s="3" t="s">
        <v>55</v>
      </c>
      <c r="F17" s="7">
        <v>43829.583333333299</v>
      </c>
      <c r="G17" s="8">
        <v>43830.583333333299</v>
      </c>
      <c r="H17" s="3" t="s">
        <v>61</v>
      </c>
      <c r="I17" s="4" t="s">
        <v>57</v>
      </c>
      <c r="J17" s="9">
        <v>112</v>
      </c>
      <c r="K17" s="10">
        <v>602.5</v>
      </c>
      <c r="L17" s="9">
        <v>0</v>
      </c>
      <c r="M17" s="10">
        <v>0</v>
      </c>
      <c r="N17" s="9">
        <v>714.5</v>
      </c>
      <c r="P17" s="19">
        <f t="shared" si="0"/>
        <v>1</v>
      </c>
    </row>
    <row r="18" spans="1:16" x14ac:dyDescent="0.35">
      <c r="A18" s="3">
        <v>16</v>
      </c>
      <c r="B18" s="3" t="s">
        <v>80</v>
      </c>
      <c r="C18" s="4" t="s">
        <v>81</v>
      </c>
      <c r="D18" s="3" t="s">
        <v>76</v>
      </c>
      <c r="E18" s="3" t="s">
        <v>55</v>
      </c>
      <c r="F18" s="7">
        <v>43827.416666666701</v>
      </c>
      <c r="G18" s="8">
        <v>43827.583333333299</v>
      </c>
      <c r="H18" s="3" t="s">
        <v>29</v>
      </c>
      <c r="I18" s="4" t="s">
        <v>57</v>
      </c>
      <c r="J18" s="9">
        <v>48</v>
      </c>
      <c r="K18" s="10">
        <v>602.5</v>
      </c>
      <c r="L18" s="9">
        <v>0</v>
      </c>
      <c r="M18" s="10">
        <v>0</v>
      </c>
      <c r="N18" s="9">
        <v>650.5</v>
      </c>
      <c r="P18" s="19">
        <f t="shared" si="0"/>
        <v>0.16666666659875773</v>
      </c>
    </row>
    <row r="19" spans="1:16" x14ac:dyDescent="0.35">
      <c r="A19" s="3">
        <v>17</v>
      </c>
      <c r="B19" s="3" t="s">
        <v>82</v>
      </c>
      <c r="C19" s="4" t="s">
        <v>83</v>
      </c>
      <c r="D19" s="3" t="s">
        <v>33</v>
      </c>
      <c r="E19" s="3" t="s">
        <v>84</v>
      </c>
      <c r="F19" s="7">
        <v>43822.416666666701</v>
      </c>
      <c r="G19" s="8">
        <v>43823.416666666701</v>
      </c>
      <c r="H19" s="3" t="s">
        <v>61</v>
      </c>
      <c r="I19" s="4" t="s">
        <v>85</v>
      </c>
      <c r="J19" s="9">
        <v>140</v>
      </c>
      <c r="K19" s="10">
        <v>3302.5</v>
      </c>
      <c r="L19" s="9">
        <v>0</v>
      </c>
      <c r="M19" s="10">
        <v>0</v>
      </c>
      <c r="N19" s="9">
        <v>3442.5</v>
      </c>
      <c r="P19" s="19">
        <f t="shared" si="0"/>
        <v>1</v>
      </c>
    </row>
    <row r="20" spans="1:16" x14ac:dyDescent="0.35">
      <c r="A20" s="3">
        <v>18</v>
      </c>
      <c r="B20" s="3" t="s">
        <v>86</v>
      </c>
      <c r="C20" s="4" t="s">
        <v>87</v>
      </c>
      <c r="D20" s="3" t="s">
        <v>60</v>
      </c>
      <c r="E20" s="3" t="s">
        <v>55</v>
      </c>
      <c r="F20" s="7">
        <v>43832.583333333299</v>
      </c>
      <c r="G20" s="8">
        <v>43833.583333333299</v>
      </c>
      <c r="H20" s="3" t="s">
        <v>61</v>
      </c>
      <c r="I20" s="4" t="s">
        <v>57</v>
      </c>
      <c r="J20" s="9">
        <v>112</v>
      </c>
      <c r="K20" s="10">
        <v>602.5</v>
      </c>
      <c r="L20" s="9">
        <v>0</v>
      </c>
      <c r="M20" s="10">
        <v>0</v>
      </c>
      <c r="N20" s="9">
        <v>714.5</v>
      </c>
      <c r="P20" s="19">
        <f t="shared" si="0"/>
        <v>1</v>
      </c>
    </row>
    <row r="21" spans="1:16" x14ac:dyDescent="0.35">
      <c r="A21" s="3">
        <v>19</v>
      </c>
      <c r="B21" s="3" t="s">
        <v>88</v>
      </c>
      <c r="C21" s="4" t="s">
        <v>89</v>
      </c>
      <c r="D21" s="3" t="s">
        <v>90</v>
      </c>
      <c r="E21" s="3" t="s">
        <v>55</v>
      </c>
      <c r="F21" s="7">
        <v>43833.583333333299</v>
      </c>
      <c r="G21" s="8">
        <v>43836.583333333299</v>
      </c>
      <c r="H21" s="3" t="s">
        <v>51</v>
      </c>
      <c r="I21" s="4" t="s">
        <v>77</v>
      </c>
      <c r="J21" s="9">
        <v>672</v>
      </c>
      <c r="K21" s="10">
        <v>2252.5</v>
      </c>
      <c r="L21" s="9">
        <v>0</v>
      </c>
      <c r="M21" s="10">
        <v>0</v>
      </c>
      <c r="N21" s="9">
        <v>2924.5</v>
      </c>
      <c r="P21" s="19">
        <f t="shared" si="0"/>
        <v>3</v>
      </c>
    </row>
    <row r="22" spans="1:16" x14ac:dyDescent="0.35">
      <c r="A22" s="3">
        <v>20</v>
      </c>
      <c r="B22" s="3" t="s">
        <v>91</v>
      </c>
      <c r="C22" s="4" t="s">
        <v>92</v>
      </c>
      <c r="D22" s="3" t="s">
        <v>93</v>
      </c>
      <c r="E22" s="3" t="s">
        <v>94</v>
      </c>
      <c r="F22" s="7">
        <v>43824.416666666701</v>
      </c>
      <c r="G22" s="8">
        <v>43825.416666666701</v>
      </c>
      <c r="H22" s="3" t="s">
        <v>61</v>
      </c>
      <c r="I22" s="4" t="s">
        <v>67</v>
      </c>
      <c r="J22" s="9">
        <v>56</v>
      </c>
      <c r="K22" s="10">
        <v>28602.5</v>
      </c>
      <c r="L22" s="9">
        <v>0</v>
      </c>
      <c r="M22" s="10">
        <v>0</v>
      </c>
      <c r="N22" s="9">
        <v>28658.5</v>
      </c>
      <c r="P22" s="19">
        <f t="shared" si="0"/>
        <v>1</v>
      </c>
    </row>
    <row r="23" spans="1:16" x14ac:dyDescent="0.35">
      <c r="A23" s="3">
        <v>21</v>
      </c>
      <c r="B23" s="3" t="s">
        <v>95</v>
      </c>
      <c r="C23" s="4" t="s">
        <v>96</v>
      </c>
      <c r="D23" s="3" t="s">
        <v>97</v>
      </c>
      <c r="E23" s="3" t="s">
        <v>55</v>
      </c>
      <c r="F23" s="7">
        <v>43830.583333333299</v>
      </c>
      <c r="G23" s="8">
        <v>43831.583333333299</v>
      </c>
      <c r="H23" s="3" t="s">
        <v>61</v>
      </c>
      <c r="I23" s="4" t="s">
        <v>36</v>
      </c>
      <c r="J23" s="9">
        <v>168</v>
      </c>
      <c r="K23" s="10">
        <v>3677.5</v>
      </c>
      <c r="L23" s="9">
        <v>0</v>
      </c>
      <c r="M23" s="10">
        <v>0</v>
      </c>
      <c r="N23" s="9">
        <v>3845.5</v>
      </c>
      <c r="P23" s="19">
        <f t="shared" si="0"/>
        <v>1</v>
      </c>
    </row>
    <row r="24" spans="1:16" x14ac:dyDescent="0.35">
      <c r="A24" s="3">
        <v>22</v>
      </c>
      <c r="B24" s="3" t="s">
        <v>98</v>
      </c>
      <c r="C24" s="4" t="s">
        <v>99</v>
      </c>
      <c r="D24" s="3" t="s">
        <v>97</v>
      </c>
      <c r="E24" s="3" t="s">
        <v>100</v>
      </c>
      <c r="F24" s="7">
        <v>43825.416666666701</v>
      </c>
      <c r="G24" s="8">
        <v>43826.416666666701</v>
      </c>
      <c r="H24" s="3" t="s">
        <v>61</v>
      </c>
      <c r="I24" s="4" t="s">
        <v>67</v>
      </c>
      <c r="J24" s="9">
        <v>56</v>
      </c>
      <c r="K24" s="10">
        <v>602.5</v>
      </c>
      <c r="L24" s="9">
        <v>0</v>
      </c>
      <c r="M24" s="10">
        <v>0</v>
      </c>
      <c r="N24" s="9">
        <v>658.5</v>
      </c>
      <c r="P24" s="19">
        <f t="shared" si="0"/>
        <v>1</v>
      </c>
    </row>
    <row r="25" spans="1:16" x14ac:dyDescent="0.35">
      <c r="A25" s="3">
        <v>23</v>
      </c>
      <c r="B25" s="3" t="s">
        <v>101</v>
      </c>
      <c r="C25" s="4" t="s">
        <v>102</v>
      </c>
      <c r="D25" s="3" t="s">
        <v>97</v>
      </c>
      <c r="E25" s="3" t="s">
        <v>55</v>
      </c>
      <c r="F25" s="7">
        <v>43832.583333333299</v>
      </c>
      <c r="G25" s="8">
        <v>43833.583333333299</v>
      </c>
      <c r="H25" s="3" t="s">
        <v>61</v>
      </c>
      <c r="I25" s="4" t="s">
        <v>52</v>
      </c>
      <c r="J25" s="9">
        <v>224</v>
      </c>
      <c r="K25" s="10">
        <v>43602.5</v>
      </c>
      <c r="L25" s="9">
        <v>0</v>
      </c>
      <c r="M25" s="10">
        <v>0</v>
      </c>
      <c r="N25" s="9">
        <v>43826.5</v>
      </c>
      <c r="P25" s="19">
        <f t="shared" si="0"/>
        <v>1</v>
      </c>
    </row>
    <row r="26" spans="1:16" x14ac:dyDescent="0.35">
      <c r="A26" s="3">
        <v>24</v>
      </c>
      <c r="B26" s="3" t="s">
        <v>103</v>
      </c>
      <c r="C26" s="4" t="s">
        <v>104</v>
      </c>
      <c r="D26" s="3" t="s">
        <v>105</v>
      </c>
      <c r="E26" s="3" t="s">
        <v>55</v>
      </c>
      <c r="F26" s="7">
        <v>43826.416666666701</v>
      </c>
      <c r="G26" s="8">
        <v>43827.416666666701</v>
      </c>
      <c r="H26" s="3" t="s">
        <v>61</v>
      </c>
      <c r="I26" s="4" t="s">
        <v>67</v>
      </c>
      <c r="J26" s="9">
        <v>56</v>
      </c>
      <c r="K26" s="10">
        <v>1577.5</v>
      </c>
      <c r="L26" s="9">
        <v>0</v>
      </c>
      <c r="M26" s="10">
        <v>0</v>
      </c>
      <c r="N26" s="9">
        <v>1633.5</v>
      </c>
      <c r="P26" s="19">
        <f t="shared" si="0"/>
        <v>1</v>
      </c>
    </row>
    <row r="27" spans="1:16" x14ac:dyDescent="0.35">
      <c r="A27" s="3">
        <v>25</v>
      </c>
      <c r="B27" s="3" t="s">
        <v>106</v>
      </c>
      <c r="C27" s="4" t="s">
        <v>107</v>
      </c>
      <c r="D27" s="3" t="s">
        <v>33</v>
      </c>
      <c r="E27" s="3" t="s">
        <v>55</v>
      </c>
      <c r="F27" s="7">
        <v>43813.416666666701</v>
      </c>
      <c r="G27" s="8">
        <v>43815.416666666701</v>
      </c>
      <c r="H27" s="3" t="s">
        <v>61</v>
      </c>
      <c r="I27" s="4" t="s">
        <v>67</v>
      </c>
      <c r="J27" s="9">
        <v>56</v>
      </c>
      <c r="K27" s="10">
        <v>2524.5</v>
      </c>
      <c r="L27" s="9">
        <v>0</v>
      </c>
      <c r="M27" s="10">
        <v>0</v>
      </c>
      <c r="N27" s="9">
        <v>2580.5</v>
      </c>
      <c r="P27" s="19">
        <f t="shared" si="0"/>
        <v>2</v>
      </c>
    </row>
    <row r="28" spans="1:16" x14ac:dyDescent="0.35">
      <c r="A28" s="3">
        <v>26</v>
      </c>
      <c r="B28" s="3" t="s">
        <v>108</v>
      </c>
      <c r="C28" s="4" t="s">
        <v>109</v>
      </c>
      <c r="D28" s="3" t="s">
        <v>60</v>
      </c>
      <c r="E28" s="3" t="s">
        <v>55</v>
      </c>
      <c r="F28" s="7">
        <v>43829.583333333299</v>
      </c>
      <c r="G28" s="8">
        <v>43830.583333333299</v>
      </c>
      <c r="H28" s="3" t="s">
        <v>61</v>
      </c>
      <c r="I28" s="4" t="s">
        <v>57</v>
      </c>
      <c r="J28" s="9">
        <v>112</v>
      </c>
      <c r="K28" s="10">
        <v>3442.30004882813</v>
      </c>
      <c r="L28" s="9">
        <v>0</v>
      </c>
      <c r="M28" s="10">
        <v>0</v>
      </c>
      <c r="N28" s="9">
        <v>3554.30004882813</v>
      </c>
      <c r="P28" s="19">
        <f t="shared" si="0"/>
        <v>1</v>
      </c>
    </row>
    <row r="29" spans="1:16" x14ac:dyDescent="0.35">
      <c r="A29" s="3">
        <v>27</v>
      </c>
      <c r="B29" s="3" t="s">
        <v>110</v>
      </c>
      <c r="C29" s="4" t="s">
        <v>111</v>
      </c>
      <c r="D29" s="3" t="s">
        <v>33</v>
      </c>
      <c r="E29" s="3" t="s">
        <v>112</v>
      </c>
      <c r="F29" s="7">
        <v>43823.416666666701</v>
      </c>
      <c r="G29" s="8">
        <v>43824.416666666701</v>
      </c>
      <c r="H29" s="3" t="s">
        <v>61</v>
      </c>
      <c r="I29" s="4" t="s">
        <v>67</v>
      </c>
      <c r="J29" s="9">
        <v>56</v>
      </c>
      <c r="K29" s="10">
        <v>2972.5</v>
      </c>
      <c r="L29" s="9">
        <v>0</v>
      </c>
      <c r="M29" s="10">
        <v>0</v>
      </c>
      <c r="N29" s="9">
        <v>3028.5</v>
      </c>
      <c r="P29" s="19">
        <f t="shared" si="0"/>
        <v>1</v>
      </c>
    </row>
    <row r="30" spans="1:16" x14ac:dyDescent="0.35">
      <c r="A30" s="3">
        <v>28</v>
      </c>
      <c r="B30" s="3" t="s">
        <v>113</v>
      </c>
      <c r="C30" s="4" t="s">
        <v>114</v>
      </c>
      <c r="D30" s="3" t="s">
        <v>115</v>
      </c>
      <c r="E30" s="3" t="s">
        <v>116</v>
      </c>
      <c r="F30" s="7">
        <v>43832.583333333299</v>
      </c>
      <c r="G30" s="8">
        <v>43833.583333333299</v>
      </c>
      <c r="H30" s="3" t="s">
        <v>61</v>
      </c>
      <c r="I30" s="4" t="s">
        <v>67</v>
      </c>
      <c r="J30" s="9">
        <v>56</v>
      </c>
      <c r="K30" s="10">
        <v>1586.5</v>
      </c>
      <c r="L30" s="9">
        <v>0</v>
      </c>
      <c r="M30" s="10">
        <v>0</v>
      </c>
      <c r="N30" s="9">
        <v>1642.5</v>
      </c>
      <c r="P30" s="19">
        <f t="shared" si="0"/>
        <v>1</v>
      </c>
    </row>
    <row r="31" spans="1:16" x14ac:dyDescent="0.35">
      <c r="A31" s="3">
        <v>29</v>
      </c>
      <c r="B31" s="3" t="s">
        <v>117</v>
      </c>
      <c r="C31" s="4" t="s">
        <v>118</v>
      </c>
      <c r="D31" s="3" t="s">
        <v>119</v>
      </c>
      <c r="E31" s="3" t="s">
        <v>55</v>
      </c>
      <c r="F31" s="7">
        <v>43833.583333333299</v>
      </c>
      <c r="G31" s="8">
        <v>43833.708333333299</v>
      </c>
      <c r="H31" s="3" t="s">
        <v>29</v>
      </c>
      <c r="I31" s="4" t="s">
        <v>67</v>
      </c>
      <c r="J31" s="9">
        <v>24</v>
      </c>
      <c r="K31" s="10">
        <v>602.5</v>
      </c>
      <c r="L31" s="9">
        <v>0</v>
      </c>
      <c r="M31" s="10">
        <v>0</v>
      </c>
      <c r="N31" s="9">
        <v>626.5</v>
      </c>
      <c r="P31" s="19">
        <f t="shared" si="0"/>
        <v>0.125</v>
      </c>
    </row>
    <row r="32" spans="1:16" ht="32.5" x14ac:dyDescent="0.35">
      <c r="A32" s="3">
        <v>30</v>
      </c>
      <c r="B32" s="3" t="s">
        <v>120</v>
      </c>
      <c r="C32" s="4" t="s">
        <v>121</v>
      </c>
      <c r="D32" s="3" t="s">
        <v>122</v>
      </c>
      <c r="E32" s="3" t="s">
        <v>123</v>
      </c>
      <c r="F32" s="7">
        <v>43838.583333333299</v>
      </c>
      <c r="G32" s="8">
        <v>43839.5</v>
      </c>
      <c r="H32" s="3" t="s">
        <v>124</v>
      </c>
      <c r="I32" s="4" t="s">
        <v>67</v>
      </c>
      <c r="J32" s="9">
        <v>48</v>
      </c>
      <c r="K32" s="10">
        <v>602.5</v>
      </c>
      <c r="L32" s="9">
        <v>0</v>
      </c>
      <c r="M32" s="10">
        <v>0</v>
      </c>
      <c r="N32" s="9">
        <v>650.5</v>
      </c>
      <c r="P32" s="19">
        <f t="shared" si="0"/>
        <v>0.91666666670062114</v>
      </c>
    </row>
    <row r="33" spans="1:16" x14ac:dyDescent="0.35">
      <c r="A33" s="3">
        <v>31</v>
      </c>
      <c r="B33" s="3" t="s">
        <v>125</v>
      </c>
      <c r="C33" s="4" t="s">
        <v>126</v>
      </c>
      <c r="D33" s="3" t="s">
        <v>127</v>
      </c>
      <c r="E33" s="3"/>
      <c r="F33" s="7">
        <v>43839.5</v>
      </c>
      <c r="G33" s="8">
        <v>43839.5</v>
      </c>
      <c r="H33" s="3" t="s">
        <v>24</v>
      </c>
      <c r="I33" s="4"/>
      <c r="J33" s="9">
        <v>0</v>
      </c>
      <c r="K33" s="10">
        <v>0</v>
      </c>
      <c r="L33" s="9">
        <v>0</v>
      </c>
      <c r="M33" s="10">
        <v>0</v>
      </c>
      <c r="N33" s="9">
        <v>0</v>
      </c>
      <c r="P33" s="19">
        <f t="shared" si="0"/>
        <v>0</v>
      </c>
    </row>
  </sheetData>
  <mergeCells count="5">
    <mergeCell ref="A1:C1"/>
    <mergeCell ref="D1:E1"/>
    <mergeCell ref="F1:H1"/>
    <mergeCell ref="I1:J1"/>
    <mergeCell ref="K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4700C-ED1D-4164-B28B-EB2F4459EF6F}">
  <sheetPr codeName="Blad2"/>
  <dimension ref="A1"/>
  <sheetViews>
    <sheetView workbookViewId="0">
      <selection activeCell="T12" sqref="T1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Blad3"/>
  <dimension ref="A1:H3"/>
  <sheetViews>
    <sheetView workbookViewId="0">
      <selection activeCell="G23" sqref="G23"/>
    </sheetView>
  </sheetViews>
  <sheetFormatPr defaultRowHeight="14.5" x14ac:dyDescent="0.35"/>
  <cols>
    <col min="2" max="2" width="15.7265625" customWidth="1"/>
    <col min="7" max="7" width="40.7265625" customWidth="1"/>
    <col min="8" max="8" width="10.7265625" customWidth="1"/>
  </cols>
  <sheetData>
    <row r="1" spans="1:8" x14ac:dyDescent="0.35">
      <c r="A1" s="24" t="s">
        <v>0</v>
      </c>
      <c r="B1" s="24"/>
      <c r="C1" s="24"/>
      <c r="D1" s="24"/>
      <c r="E1" s="24" t="s">
        <v>13</v>
      </c>
      <c r="F1" s="24"/>
      <c r="G1" s="24" t="s">
        <v>3</v>
      </c>
      <c r="H1" s="24"/>
    </row>
    <row r="2" spans="1:8" ht="25" customHeight="1" x14ac:dyDescent="0.35">
      <c r="A2" s="1" t="s">
        <v>5</v>
      </c>
      <c r="B2" s="1" t="s">
        <v>6</v>
      </c>
      <c r="C2" s="1" t="s">
        <v>128</v>
      </c>
      <c r="D2" s="1" t="s">
        <v>129</v>
      </c>
      <c r="E2" s="1" t="s">
        <v>130</v>
      </c>
      <c r="F2" s="1" t="s">
        <v>131</v>
      </c>
      <c r="G2" s="1" t="s">
        <v>132</v>
      </c>
      <c r="H2" s="1" t="s">
        <v>17</v>
      </c>
    </row>
    <row r="3" spans="1:8" ht="106" x14ac:dyDescent="0.35">
      <c r="A3" s="4">
        <v>1</v>
      </c>
      <c r="B3" s="4" t="s">
        <v>133</v>
      </c>
      <c r="C3" s="4" t="s">
        <v>134</v>
      </c>
      <c r="D3" s="4" t="s">
        <v>135</v>
      </c>
      <c r="E3" s="11">
        <v>0</v>
      </c>
      <c r="F3" s="11">
        <v>4</v>
      </c>
      <c r="G3" s="12" t="s">
        <v>136</v>
      </c>
      <c r="H3" s="9">
        <v>8544</v>
      </c>
    </row>
  </sheetData>
  <mergeCells count="3">
    <mergeCell ref="A1:D1"/>
    <mergeCell ref="E1:F1"/>
    <mergeCell ref="G1:H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Blad4"/>
  <dimension ref="A1:Y33"/>
  <sheetViews>
    <sheetView topLeftCell="D22" workbookViewId="0">
      <selection activeCell="I1" sqref="I1"/>
    </sheetView>
  </sheetViews>
  <sheetFormatPr defaultRowHeight="14.5" x14ac:dyDescent="0.35"/>
  <cols>
    <col min="1" max="1" width="5.7265625" customWidth="1"/>
    <col min="2" max="2" width="18.7265625" customWidth="1"/>
    <col min="4" max="4" width="15.7265625" customWidth="1"/>
    <col min="5" max="7" width="12.7265625" customWidth="1"/>
  </cols>
  <sheetData>
    <row r="1" spans="1:25" x14ac:dyDescent="0.35">
      <c r="A1" s="24" t="s">
        <v>0</v>
      </c>
      <c r="B1" s="24"/>
      <c r="C1" s="1" t="s">
        <v>2</v>
      </c>
      <c r="D1" s="24" t="s">
        <v>137</v>
      </c>
      <c r="E1" s="24"/>
      <c r="F1" s="24"/>
      <c r="G1" s="24"/>
    </row>
    <row r="2" spans="1:25" ht="22" x14ac:dyDescent="0.35">
      <c r="A2" s="1" t="s">
        <v>5</v>
      </c>
      <c r="B2" s="1" t="s">
        <v>6</v>
      </c>
      <c r="C2" s="1" t="s">
        <v>12</v>
      </c>
      <c r="D2" s="1" t="s">
        <v>138</v>
      </c>
      <c r="E2" s="1" t="s">
        <v>139</v>
      </c>
      <c r="F2" s="1" t="s">
        <v>140</v>
      </c>
      <c r="G2" s="1" t="s">
        <v>141</v>
      </c>
      <c r="W2" s="1" t="s">
        <v>323</v>
      </c>
      <c r="X2" s="1" t="s">
        <v>324</v>
      </c>
      <c r="Y2" s="1" t="s">
        <v>325</v>
      </c>
    </row>
    <row r="3" spans="1:25" x14ac:dyDescent="0.35">
      <c r="A3" s="2">
        <v>0</v>
      </c>
      <c r="B3" s="3" t="s">
        <v>18</v>
      </c>
      <c r="C3" s="2" t="s">
        <v>142</v>
      </c>
      <c r="D3" s="2"/>
      <c r="E3" s="2"/>
      <c r="F3" s="2"/>
      <c r="G3" s="2"/>
      <c r="W3" s="19">
        <v>99</v>
      </c>
      <c r="X3" s="19">
        <v>100</v>
      </c>
      <c r="Y3" s="19">
        <v>101</v>
      </c>
    </row>
    <row r="4" spans="1:25" x14ac:dyDescent="0.35">
      <c r="A4" s="3">
        <v>1</v>
      </c>
      <c r="B4" s="3" t="s">
        <v>21</v>
      </c>
      <c r="C4" s="12" t="s">
        <v>24</v>
      </c>
      <c r="D4" s="4" t="s">
        <v>143</v>
      </c>
      <c r="E4" s="4">
        <v>80</v>
      </c>
      <c r="F4" s="4">
        <v>90</v>
      </c>
      <c r="G4" s="4">
        <v>120</v>
      </c>
      <c r="W4" s="19">
        <v>80</v>
      </c>
      <c r="X4" s="19">
        <v>90</v>
      </c>
      <c r="Y4" s="19">
        <v>120</v>
      </c>
    </row>
    <row r="5" spans="1:25" ht="22" x14ac:dyDescent="0.35">
      <c r="A5" s="3">
        <v>2</v>
      </c>
      <c r="B5" s="3" t="s">
        <v>25</v>
      </c>
      <c r="C5" s="12" t="s">
        <v>29</v>
      </c>
      <c r="D5" s="4" t="s">
        <v>143</v>
      </c>
      <c r="E5" s="4">
        <v>80</v>
      </c>
      <c r="F5" s="4">
        <v>90</v>
      </c>
      <c r="G5" s="4">
        <v>120</v>
      </c>
      <c r="W5" s="19">
        <v>80</v>
      </c>
      <c r="X5" s="19">
        <v>90</v>
      </c>
      <c r="Y5" s="19">
        <v>120</v>
      </c>
    </row>
    <row r="6" spans="1:25" x14ac:dyDescent="0.35">
      <c r="A6" s="3">
        <v>3</v>
      </c>
      <c r="B6" s="3" t="s">
        <v>31</v>
      </c>
      <c r="C6" s="12" t="s">
        <v>144</v>
      </c>
      <c r="D6" s="4" t="s">
        <v>143</v>
      </c>
      <c r="E6" s="4">
        <v>80</v>
      </c>
      <c r="F6" s="4">
        <v>90</v>
      </c>
      <c r="G6" s="4">
        <v>120</v>
      </c>
      <c r="W6" s="19">
        <v>80</v>
      </c>
      <c r="X6" s="19">
        <v>90</v>
      </c>
      <c r="Y6" s="19">
        <v>120</v>
      </c>
    </row>
    <row r="7" spans="1:25" x14ac:dyDescent="0.35">
      <c r="A7" s="3">
        <v>4</v>
      </c>
      <c r="B7" s="3" t="s">
        <v>37</v>
      </c>
      <c r="C7" s="12" t="s">
        <v>145</v>
      </c>
      <c r="D7" s="4" t="s">
        <v>143</v>
      </c>
      <c r="E7" s="4">
        <v>80</v>
      </c>
      <c r="F7" s="4">
        <v>90</v>
      </c>
      <c r="G7" s="4">
        <v>120</v>
      </c>
      <c r="W7" s="19">
        <v>80</v>
      </c>
      <c r="X7" s="19">
        <v>90</v>
      </c>
      <c r="Y7" s="19">
        <v>120</v>
      </c>
    </row>
    <row r="8" spans="1:25" ht="22" x14ac:dyDescent="0.35">
      <c r="A8" s="3">
        <v>5</v>
      </c>
      <c r="B8" s="3" t="s">
        <v>43</v>
      </c>
      <c r="C8" s="12" t="s">
        <v>146</v>
      </c>
      <c r="D8" s="4" t="s">
        <v>143</v>
      </c>
      <c r="E8" s="4">
        <v>80</v>
      </c>
      <c r="F8" s="4">
        <v>90</v>
      </c>
      <c r="G8" s="4">
        <v>120</v>
      </c>
      <c r="W8" s="19">
        <v>80</v>
      </c>
      <c r="X8" s="19">
        <v>90</v>
      </c>
      <c r="Y8" s="19">
        <v>120</v>
      </c>
    </row>
    <row r="9" spans="1:25" x14ac:dyDescent="0.35">
      <c r="A9" s="3">
        <v>6</v>
      </c>
      <c r="B9" s="3" t="s">
        <v>48</v>
      </c>
      <c r="C9" s="12" t="s">
        <v>147</v>
      </c>
      <c r="D9" s="4" t="s">
        <v>143</v>
      </c>
      <c r="E9" s="4">
        <v>80</v>
      </c>
      <c r="F9" s="4">
        <v>90</v>
      </c>
      <c r="G9" s="4">
        <v>120</v>
      </c>
      <c r="W9" s="19">
        <v>80</v>
      </c>
      <c r="X9" s="19">
        <v>90</v>
      </c>
      <c r="Y9" s="19">
        <v>120</v>
      </c>
    </row>
    <row r="10" spans="1:25" x14ac:dyDescent="0.35">
      <c r="A10" s="3">
        <v>7</v>
      </c>
      <c r="B10" s="3" t="s">
        <v>53</v>
      </c>
      <c r="C10" s="12" t="s">
        <v>148</v>
      </c>
      <c r="D10" s="4" t="s">
        <v>143</v>
      </c>
      <c r="E10" s="4">
        <v>80</v>
      </c>
      <c r="F10" s="4">
        <v>90</v>
      </c>
      <c r="G10" s="4">
        <v>120</v>
      </c>
      <c r="W10" s="19">
        <v>80</v>
      </c>
      <c r="X10" s="19">
        <v>90</v>
      </c>
      <c r="Y10" s="19">
        <v>120</v>
      </c>
    </row>
    <row r="11" spans="1:25" ht="22" x14ac:dyDescent="0.35">
      <c r="A11" s="3">
        <v>8</v>
      </c>
      <c r="B11" s="3" t="s">
        <v>58</v>
      </c>
      <c r="C11" s="12" t="s">
        <v>149</v>
      </c>
      <c r="D11" s="4" t="s">
        <v>143</v>
      </c>
      <c r="E11" s="4">
        <v>80</v>
      </c>
      <c r="F11" s="4">
        <v>90</v>
      </c>
      <c r="G11" s="4">
        <v>120</v>
      </c>
      <c r="W11" s="19">
        <v>80</v>
      </c>
      <c r="X11" s="19">
        <v>90</v>
      </c>
      <c r="Y11" s="19">
        <v>120</v>
      </c>
    </row>
    <row r="12" spans="1:25" x14ac:dyDescent="0.35">
      <c r="A12" s="3">
        <v>9</v>
      </c>
      <c r="B12" s="3" t="s">
        <v>62</v>
      </c>
      <c r="C12" s="12" t="s">
        <v>149</v>
      </c>
      <c r="D12" s="4" t="s">
        <v>143</v>
      </c>
      <c r="E12" s="4">
        <v>80</v>
      </c>
      <c r="F12" s="4">
        <v>90</v>
      </c>
      <c r="G12" s="4">
        <v>120</v>
      </c>
      <c r="W12" s="19">
        <v>80</v>
      </c>
      <c r="X12" s="19">
        <v>90</v>
      </c>
      <c r="Y12" s="19">
        <v>120</v>
      </c>
    </row>
    <row r="13" spans="1:25" ht="22" x14ac:dyDescent="0.35">
      <c r="A13" s="3">
        <v>10</v>
      </c>
      <c r="B13" s="3" t="s">
        <v>64</v>
      </c>
      <c r="C13" s="12" t="s">
        <v>149</v>
      </c>
      <c r="D13" s="4" t="s">
        <v>143</v>
      </c>
      <c r="E13" s="4">
        <v>80</v>
      </c>
      <c r="F13" s="4">
        <v>90</v>
      </c>
      <c r="G13" s="4">
        <v>120</v>
      </c>
      <c r="W13" s="19">
        <v>80</v>
      </c>
      <c r="X13" s="19">
        <v>90</v>
      </c>
      <c r="Y13" s="19">
        <v>120</v>
      </c>
    </row>
    <row r="14" spans="1:25" x14ac:dyDescent="0.35">
      <c r="A14" s="3">
        <v>11</v>
      </c>
      <c r="B14" s="3" t="s">
        <v>68</v>
      </c>
      <c r="C14" s="12" t="s">
        <v>149</v>
      </c>
      <c r="D14" s="4" t="s">
        <v>143</v>
      </c>
      <c r="E14" s="4">
        <v>80</v>
      </c>
      <c r="F14" s="4">
        <v>90</v>
      </c>
      <c r="G14" s="4">
        <v>120</v>
      </c>
      <c r="W14" s="19">
        <v>80</v>
      </c>
      <c r="X14" s="19">
        <v>90</v>
      </c>
      <c r="Y14" s="19">
        <v>120</v>
      </c>
    </row>
    <row r="15" spans="1:25" ht="22" x14ac:dyDescent="0.35">
      <c r="A15" s="3">
        <v>13</v>
      </c>
      <c r="B15" s="3" t="s">
        <v>70</v>
      </c>
      <c r="C15" s="12" t="s">
        <v>29</v>
      </c>
      <c r="D15" s="4" t="s">
        <v>143</v>
      </c>
      <c r="E15" s="4">
        <v>80</v>
      </c>
      <c r="F15" s="4">
        <v>90</v>
      </c>
      <c r="G15" s="4">
        <v>120</v>
      </c>
      <c r="W15" s="19">
        <v>80</v>
      </c>
      <c r="X15" s="19">
        <v>90</v>
      </c>
      <c r="Y15" s="19">
        <v>120</v>
      </c>
    </row>
    <row r="16" spans="1:25" x14ac:dyDescent="0.35">
      <c r="A16" s="3">
        <v>14</v>
      </c>
      <c r="B16" s="3" t="s">
        <v>74</v>
      </c>
      <c r="C16" s="12" t="s">
        <v>147</v>
      </c>
      <c r="D16" s="4" t="s">
        <v>143</v>
      </c>
      <c r="E16" s="4">
        <v>80</v>
      </c>
      <c r="F16" s="4">
        <v>90</v>
      </c>
      <c r="G16" s="4">
        <v>120</v>
      </c>
      <c r="W16" s="19">
        <v>80</v>
      </c>
      <c r="X16" s="19">
        <v>90</v>
      </c>
      <c r="Y16" s="19">
        <v>120</v>
      </c>
    </row>
    <row r="17" spans="1:25" x14ac:dyDescent="0.35">
      <c r="A17" s="3">
        <v>15</v>
      </c>
      <c r="B17" s="3" t="s">
        <v>78</v>
      </c>
      <c r="C17" s="12" t="s">
        <v>149</v>
      </c>
      <c r="D17" s="4" t="s">
        <v>143</v>
      </c>
      <c r="E17" s="4">
        <v>80</v>
      </c>
      <c r="F17" s="4">
        <v>90</v>
      </c>
      <c r="G17" s="4">
        <v>120</v>
      </c>
      <c r="W17" s="19">
        <v>80</v>
      </c>
      <c r="X17" s="19">
        <v>90</v>
      </c>
      <c r="Y17" s="19">
        <v>120</v>
      </c>
    </row>
    <row r="18" spans="1:25" x14ac:dyDescent="0.35">
      <c r="A18" s="3">
        <v>16</v>
      </c>
      <c r="B18" s="3" t="s">
        <v>80</v>
      </c>
      <c r="C18" s="12" t="s">
        <v>29</v>
      </c>
      <c r="D18" s="4" t="s">
        <v>143</v>
      </c>
      <c r="E18" s="4">
        <v>80</v>
      </c>
      <c r="F18" s="4">
        <v>90</v>
      </c>
      <c r="G18" s="4">
        <v>120</v>
      </c>
      <c r="W18" s="19">
        <v>80</v>
      </c>
      <c r="X18" s="19">
        <v>90</v>
      </c>
      <c r="Y18" s="19">
        <v>120</v>
      </c>
    </row>
    <row r="19" spans="1:25" x14ac:dyDescent="0.35">
      <c r="A19" s="3">
        <v>17</v>
      </c>
      <c r="B19" s="3" t="s">
        <v>82</v>
      </c>
      <c r="C19" s="12" t="s">
        <v>149</v>
      </c>
      <c r="D19" s="4" t="s">
        <v>143</v>
      </c>
      <c r="E19" s="4">
        <v>80</v>
      </c>
      <c r="F19" s="4">
        <v>90</v>
      </c>
      <c r="G19" s="4">
        <v>120</v>
      </c>
      <c r="W19" s="19">
        <v>80</v>
      </c>
      <c r="X19" s="19">
        <v>90</v>
      </c>
      <c r="Y19" s="19">
        <v>120</v>
      </c>
    </row>
    <row r="20" spans="1:25" x14ac:dyDescent="0.35">
      <c r="A20" s="3">
        <v>18</v>
      </c>
      <c r="B20" s="3" t="s">
        <v>86</v>
      </c>
      <c r="C20" s="12" t="s">
        <v>149</v>
      </c>
      <c r="D20" s="4" t="s">
        <v>143</v>
      </c>
      <c r="E20" s="4">
        <v>80</v>
      </c>
      <c r="F20" s="4">
        <v>90</v>
      </c>
      <c r="G20" s="4">
        <v>120</v>
      </c>
      <c r="W20" s="19">
        <v>80</v>
      </c>
      <c r="X20" s="19">
        <v>90</v>
      </c>
      <c r="Y20" s="19">
        <v>120</v>
      </c>
    </row>
    <row r="21" spans="1:25" ht="22" x14ac:dyDescent="0.35">
      <c r="A21" s="3">
        <v>19</v>
      </c>
      <c r="B21" s="3" t="s">
        <v>88</v>
      </c>
      <c r="C21" s="12" t="s">
        <v>147</v>
      </c>
      <c r="D21" s="4" t="s">
        <v>143</v>
      </c>
      <c r="E21" s="4">
        <v>80</v>
      </c>
      <c r="F21" s="4">
        <v>90</v>
      </c>
      <c r="G21" s="4">
        <v>120</v>
      </c>
      <c r="W21" s="19">
        <v>80</v>
      </c>
      <c r="X21" s="19">
        <v>90</v>
      </c>
      <c r="Y21" s="19">
        <v>120</v>
      </c>
    </row>
    <row r="22" spans="1:25" x14ac:dyDescent="0.35">
      <c r="A22" s="3">
        <v>20</v>
      </c>
      <c r="B22" s="3" t="s">
        <v>91</v>
      </c>
      <c r="C22" s="12" t="s">
        <v>149</v>
      </c>
      <c r="D22" s="4" t="s">
        <v>143</v>
      </c>
      <c r="E22" s="4">
        <v>80</v>
      </c>
      <c r="F22" s="4">
        <v>90</v>
      </c>
      <c r="G22" s="4">
        <v>120</v>
      </c>
      <c r="W22" s="19">
        <v>80</v>
      </c>
      <c r="X22" s="19">
        <v>90</v>
      </c>
      <c r="Y22" s="19">
        <v>120</v>
      </c>
    </row>
    <row r="23" spans="1:25" ht="22" x14ac:dyDescent="0.35">
      <c r="A23" s="3">
        <v>21</v>
      </c>
      <c r="B23" s="3" t="s">
        <v>95</v>
      </c>
      <c r="C23" s="12" t="s">
        <v>149</v>
      </c>
      <c r="D23" s="4" t="s">
        <v>143</v>
      </c>
      <c r="E23" s="4">
        <v>80</v>
      </c>
      <c r="F23" s="4">
        <v>90</v>
      </c>
      <c r="G23" s="4">
        <v>120</v>
      </c>
      <c r="W23" s="19">
        <v>80</v>
      </c>
      <c r="X23" s="19">
        <v>90</v>
      </c>
      <c r="Y23" s="19">
        <v>120</v>
      </c>
    </row>
    <row r="24" spans="1:25" x14ac:dyDescent="0.35">
      <c r="A24" s="3">
        <v>22</v>
      </c>
      <c r="B24" s="3" t="s">
        <v>98</v>
      </c>
      <c r="C24" s="12" t="s">
        <v>149</v>
      </c>
      <c r="D24" s="4" t="s">
        <v>143</v>
      </c>
      <c r="E24" s="4">
        <v>80</v>
      </c>
      <c r="F24" s="4">
        <v>90</v>
      </c>
      <c r="G24" s="4">
        <v>120</v>
      </c>
      <c r="W24" s="19">
        <v>80</v>
      </c>
      <c r="X24" s="19">
        <v>90</v>
      </c>
      <c r="Y24" s="19">
        <v>120</v>
      </c>
    </row>
    <row r="25" spans="1:25" x14ac:dyDescent="0.35">
      <c r="A25" s="3">
        <v>23</v>
      </c>
      <c r="B25" s="3" t="s">
        <v>101</v>
      </c>
      <c r="C25" s="12" t="s">
        <v>149</v>
      </c>
      <c r="D25" s="4" t="s">
        <v>143</v>
      </c>
      <c r="E25" s="4">
        <v>80</v>
      </c>
      <c r="F25" s="4">
        <v>90</v>
      </c>
      <c r="G25" s="4">
        <v>120</v>
      </c>
      <c r="W25" s="19">
        <v>80</v>
      </c>
      <c r="X25" s="19">
        <v>90</v>
      </c>
      <c r="Y25" s="19">
        <v>120</v>
      </c>
    </row>
    <row r="26" spans="1:25" x14ac:dyDescent="0.35">
      <c r="A26" s="3">
        <v>24</v>
      </c>
      <c r="B26" s="3" t="s">
        <v>103</v>
      </c>
      <c r="C26" s="12" t="s">
        <v>149</v>
      </c>
      <c r="D26" s="4" t="s">
        <v>143</v>
      </c>
      <c r="E26" s="4">
        <v>80</v>
      </c>
      <c r="F26" s="4">
        <v>90</v>
      </c>
      <c r="G26" s="4">
        <v>120</v>
      </c>
      <c r="W26" s="19">
        <v>80</v>
      </c>
      <c r="X26" s="19">
        <v>90</v>
      </c>
      <c r="Y26" s="19">
        <v>120</v>
      </c>
    </row>
    <row r="27" spans="1:25" x14ac:dyDescent="0.35">
      <c r="A27" s="3">
        <v>25</v>
      </c>
      <c r="B27" s="3" t="s">
        <v>106</v>
      </c>
      <c r="C27" s="12" t="s">
        <v>149</v>
      </c>
      <c r="D27" s="4" t="s">
        <v>143</v>
      </c>
      <c r="E27" s="4">
        <v>80</v>
      </c>
      <c r="F27" s="4">
        <v>90</v>
      </c>
      <c r="G27" s="4">
        <v>120</v>
      </c>
      <c r="W27" s="19">
        <v>80</v>
      </c>
      <c r="X27" s="19">
        <v>90</v>
      </c>
      <c r="Y27" s="19">
        <v>120</v>
      </c>
    </row>
    <row r="28" spans="1:25" x14ac:dyDescent="0.35">
      <c r="A28" s="3">
        <v>26</v>
      </c>
      <c r="B28" s="3" t="s">
        <v>108</v>
      </c>
      <c r="C28" s="12" t="s">
        <v>149</v>
      </c>
      <c r="D28" s="4" t="s">
        <v>143</v>
      </c>
      <c r="E28" s="4">
        <v>80</v>
      </c>
      <c r="F28" s="4">
        <v>90</v>
      </c>
      <c r="G28" s="4">
        <v>120</v>
      </c>
      <c r="W28" s="19">
        <v>80</v>
      </c>
      <c r="X28" s="19">
        <v>90</v>
      </c>
      <c r="Y28" s="19">
        <v>120</v>
      </c>
    </row>
    <row r="29" spans="1:25" x14ac:dyDescent="0.35">
      <c r="A29" s="3">
        <v>27</v>
      </c>
      <c r="B29" s="3" t="s">
        <v>110</v>
      </c>
      <c r="C29" s="12" t="s">
        <v>149</v>
      </c>
      <c r="D29" s="4" t="s">
        <v>143</v>
      </c>
      <c r="E29" s="4">
        <v>80</v>
      </c>
      <c r="F29" s="4">
        <v>90</v>
      </c>
      <c r="G29" s="4">
        <v>120</v>
      </c>
      <c r="W29" s="19">
        <v>80</v>
      </c>
      <c r="X29" s="19">
        <v>90</v>
      </c>
      <c r="Y29" s="19">
        <v>120</v>
      </c>
    </row>
    <row r="30" spans="1:25" x14ac:dyDescent="0.35">
      <c r="A30" s="3">
        <v>28</v>
      </c>
      <c r="B30" s="3" t="s">
        <v>113</v>
      </c>
      <c r="C30" s="12" t="s">
        <v>149</v>
      </c>
      <c r="D30" s="4" t="s">
        <v>143</v>
      </c>
      <c r="E30" s="4">
        <v>80</v>
      </c>
      <c r="F30" s="4">
        <v>90</v>
      </c>
      <c r="G30" s="4">
        <v>120</v>
      </c>
      <c r="W30" s="19">
        <v>80</v>
      </c>
      <c r="X30" s="19">
        <v>90</v>
      </c>
      <c r="Y30" s="19">
        <v>120</v>
      </c>
    </row>
    <row r="31" spans="1:25" ht="22" x14ac:dyDescent="0.35">
      <c r="A31" s="3">
        <v>29</v>
      </c>
      <c r="B31" s="3" t="s">
        <v>117</v>
      </c>
      <c r="C31" s="12" t="s">
        <v>29</v>
      </c>
      <c r="D31" s="4" t="s">
        <v>143</v>
      </c>
      <c r="E31" s="4">
        <v>80</v>
      </c>
      <c r="F31" s="4">
        <v>90</v>
      </c>
      <c r="G31" s="4">
        <v>120</v>
      </c>
      <c r="W31" s="19">
        <v>80</v>
      </c>
      <c r="X31" s="19">
        <v>90</v>
      </c>
      <c r="Y31" s="19">
        <v>120</v>
      </c>
    </row>
    <row r="32" spans="1:25" x14ac:dyDescent="0.35">
      <c r="A32" s="3">
        <v>30</v>
      </c>
      <c r="B32" s="3" t="s">
        <v>120</v>
      </c>
      <c r="C32" s="12" t="s">
        <v>124</v>
      </c>
      <c r="D32" s="4" t="s">
        <v>143</v>
      </c>
      <c r="E32" s="4">
        <v>80</v>
      </c>
      <c r="F32" s="4">
        <v>90</v>
      </c>
      <c r="G32" s="4">
        <v>120</v>
      </c>
      <c r="W32" s="19">
        <v>80</v>
      </c>
      <c r="X32" s="19">
        <v>90</v>
      </c>
      <c r="Y32" s="19">
        <v>120</v>
      </c>
    </row>
    <row r="33" spans="1:25" x14ac:dyDescent="0.35">
      <c r="A33" s="3">
        <v>31</v>
      </c>
      <c r="B33" s="3" t="s">
        <v>125</v>
      </c>
      <c r="C33" s="12" t="s">
        <v>24</v>
      </c>
      <c r="D33" s="4" t="s">
        <v>143</v>
      </c>
      <c r="E33" s="4">
        <v>80</v>
      </c>
      <c r="F33" s="4">
        <v>90</v>
      </c>
      <c r="G33" s="4">
        <v>120</v>
      </c>
      <c r="W33" s="19">
        <v>80</v>
      </c>
      <c r="X33" s="19">
        <v>90</v>
      </c>
      <c r="Y33" s="19">
        <v>120</v>
      </c>
    </row>
  </sheetData>
  <mergeCells count="2">
    <mergeCell ref="A1:B1"/>
    <mergeCell ref="D1:G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Blad5"/>
  <dimension ref="A1:X35"/>
  <sheetViews>
    <sheetView topLeftCell="E4" workbookViewId="0">
      <selection activeCell="W5" sqref="W5:X35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150</v>
      </c>
      <c r="C1" s="7">
        <v>43808.708333333299</v>
      </c>
      <c r="E1" s="1" t="s">
        <v>151</v>
      </c>
      <c r="F1" s="4" t="s">
        <v>165</v>
      </c>
    </row>
    <row r="3" spans="1:24" x14ac:dyDescent="0.35">
      <c r="A3" s="24" t="s">
        <v>0</v>
      </c>
      <c r="B3" s="24"/>
      <c r="C3" s="24" t="s">
        <v>2</v>
      </c>
      <c r="D3" s="24"/>
      <c r="E3" s="24"/>
      <c r="F3" s="24" t="s">
        <v>3</v>
      </c>
      <c r="G3" s="24"/>
      <c r="H3" s="24" t="s">
        <v>4</v>
      </c>
      <c r="I3" s="24"/>
      <c r="J3" s="24"/>
      <c r="K3" s="24"/>
      <c r="L3" s="24" t="s">
        <v>152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153</v>
      </c>
      <c r="M4" s="1" t="s">
        <v>154</v>
      </c>
      <c r="N4" s="1" t="s">
        <v>155</v>
      </c>
      <c r="O4" s="1" t="s">
        <v>156</v>
      </c>
      <c r="P4" s="1" t="s">
        <v>157</v>
      </c>
      <c r="Q4" s="1" t="s">
        <v>158</v>
      </c>
      <c r="R4" s="1" t="s">
        <v>159</v>
      </c>
      <c r="S4" s="1" t="s">
        <v>160</v>
      </c>
      <c r="T4" s="1" t="s">
        <v>161</v>
      </c>
      <c r="U4" s="1" t="s">
        <v>162</v>
      </c>
      <c r="V4" s="1" t="s">
        <v>152</v>
      </c>
      <c r="W4" s="1" t="s">
        <v>163</v>
      </c>
      <c r="X4" s="1" t="s">
        <v>164</v>
      </c>
    </row>
    <row r="5" spans="1:24" x14ac:dyDescent="0.35">
      <c r="A5" s="2">
        <v>0</v>
      </c>
      <c r="B5" s="3" t="s">
        <v>18</v>
      </c>
      <c r="C5" s="5">
        <v>43808.375</v>
      </c>
      <c r="D5" s="5">
        <v>43839.5</v>
      </c>
      <c r="E5" s="2" t="s">
        <v>20</v>
      </c>
      <c r="F5" s="2"/>
      <c r="G5" s="6"/>
      <c r="H5" s="6">
        <v>118411.30004882799</v>
      </c>
      <c r="I5" s="6"/>
      <c r="J5" s="6"/>
      <c r="K5" s="6">
        <v>126955.30004882799</v>
      </c>
      <c r="L5" s="2"/>
      <c r="M5" s="2" t="s">
        <v>61</v>
      </c>
      <c r="N5" s="6"/>
      <c r="O5" s="6"/>
      <c r="P5" s="2"/>
      <c r="Q5" s="6"/>
      <c r="R5" s="6"/>
      <c r="S5" s="6">
        <v>3944.5</v>
      </c>
      <c r="T5" s="6"/>
      <c r="U5" s="13">
        <v>3.1246430794698798E-2</v>
      </c>
      <c r="V5" s="2"/>
      <c r="W5" s="6"/>
      <c r="X5" s="6"/>
    </row>
    <row r="6" spans="1:24" x14ac:dyDescent="0.35">
      <c r="A6" s="3">
        <v>1</v>
      </c>
      <c r="B6" s="3" t="s">
        <v>21</v>
      </c>
      <c r="C6" s="8">
        <v>43808.375</v>
      </c>
      <c r="D6" s="8">
        <v>43806.708333333299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43808.375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166</v>
      </c>
      <c r="W6" s="9"/>
      <c r="X6" s="9"/>
    </row>
    <row r="7" spans="1:24" ht="22" x14ac:dyDescent="0.35">
      <c r="A7" s="3">
        <v>2</v>
      </c>
      <c r="B7" s="3" t="s">
        <v>25</v>
      </c>
      <c r="C7" s="8">
        <v>43808.375</v>
      </c>
      <c r="D7" s="8">
        <v>43808.5</v>
      </c>
      <c r="E7" s="12" t="s">
        <v>29</v>
      </c>
      <c r="F7" s="12" t="s">
        <v>30</v>
      </c>
      <c r="G7" s="9">
        <v>36</v>
      </c>
      <c r="H7" s="9">
        <v>931.5</v>
      </c>
      <c r="I7" s="9">
        <v>0</v>
      </c>
      <c r="J7" s="9">
        <v>0</v>
      </c>
      <c r="K7" s="9">
        <v>967.5</v>
      </c>
      <c r="L7" s="7">
        <v>43808.375</v>
      </c>
      <c r="M7" s="3" t="s">
        <v>29</v>
      </c>
      <c r="N7" s="9">
        <v>967.5</v>
      </c>
      <c r="O7" s="9">
        <v>0</v>
      </c>
      <c r="P7" s="12" t="s">
        <v>24</v>
      </c>
      <c r="Q7" s="9">
        <v>0</v>
      </c>
      <c r="R7" s="11">
        <v>0</v>
      </c>
      <c r="S7" s="10">
        <v>967.5</v>
      </c>
      <c r="T7" s="9">
        <v>0</v>
      </c>
      <c r="U7" s="14">
        <v>1</v>
      </c>
      <c r="V7" s="12" t="s">
        <v>166</v>
      </c>
      <c r="W7" s="9"/>
      <c r="X7" s="9"/>
    </row>
    <row r="8" spans="1:24" x14ac:dyDescent="0.35">
      <c r="A8" s="3">
        <v>3</v>
      </c>
      <c r="B8" s="3" t="s">
        <v>31</v>
      </c>
      <c r="C8" s="8">
        <v>43808.541666666701</v>
      </c>
      <c r="D8" s="8">
        <v>43813.5</v>
      </c>
      <c r="E8" s="12" t="s">
        <v>35</v>
      </c>
      <c r="F8" s="12" t="s">
        <v>36</v>
      </c>
      <c r="G8" s="9">
        <v>840</v>
      </c>
      <c r="H8" s="9">
        <v>950.5</v>
      </c>
      <c r="I8" s="9">
        <v>0</v>
      </c>
      <c r="J8" s="9">
        <v>0</v>
      </c>
      <c r="K8" s="9">
        <v>1790.5</v>
      </c>
      <c r="L8" s="7">
        <v>43808.541666666701</v>
      </c>
      <c r="M8" s="3" t="s">
        <v>167</v>
      </c>
      <c r="N8" s="9">
        <v>1046.5</v>
      </c>
      <c r="O8" s="9">
        <v>504</v>
      </c>
      <c r="P8" s="12" t="s">
        <v>168</v>
      </c>
      <c r="Q8" s="9">
        <v>0</v>
      </c>
      <c r="R8" s="11">
        <v>0</v>
      </c>
      <c r="S8" s="10">
        <v>1046.5</v>
      </c>
      <c r="T8" s="9">
        <v>504</v>
      </c>
      <c r="U8" s="14">
        <v>0.15999999642372101</v>
      </c>
      <c r="V8" s="12" t="s">
        <v>169</v>
      </c>
      <c r="W8" s="9"/>
      <c r="X8" s="9"/>
    </row>
    <row r="9" spans="1:24" x14ac:dyDescent="0.35">
      <c r="A9" s="3">
        <v>4</v>
      </c>
      <c r="B9" s="3" t="s">
        <v>37</v>
      </c>
      <c r="C9" s="8">
        <v>43813.541666666701</v>
      </c>
      <c r="D9" s="8">
        <v>43816.625</v>
      </c>
      <c r="E9" s="12" t="s">
        <v>41</v>
      </c>
      <c r="F9" s="12" t="s">
        <v>42</v>
      </c>
      <c r="G9" s="9">
        <v>640</v>
      </c>
      <c r="H9" s="9">
        <v>8819</v>
      </c>
      <c r="I9" s="9">
        <v>0</v>
      </c>
      <c r="J9" s="9">
        <v>0</v>
      </c>
      <c r="K9" s="9">
        <v>9459</v>
      </c>
      <c r="L9" s="3"/>
      <c r="M9" s="3" t="s">
        <v>24</v>
      </c>
      <c r="N9" s="9">
        <v>0</v>
      </c>
      <c r="O9" s="9">
        <v>9459</v>
      </c>
      <c r="P9" s="12" t="s">
        <v>41</v>
      </c>
      <c r="Q9" s="9">
        <v>0</v>
      </c>
      <c r="R9" s="11">
        <v>0</v>
      </c>
      <c r="S9" s="10">
        <v>0</v>
      </c>
      <c r="T9" s="9">
        <v>9459</v>
      </c>
      <c r="U9" s="14">
        <v>0</v>
      </c>
      <c r="V9" s="12" t="s">
        <v>170</v>
      </c>
      <c r="W9" s="9"/>
      <c r="X9" s="9"/>
    </row>
    <row r="10" spans="1:24" ht="22" x14ac:dyDescent="0.35">
      <c r="A10" s="3">
        <v>5</v>
      </c>
      <c r="B10" s="3" t="s">
        <v>43</v>
      </c>
      <c r="C10" s="8">
        <v>43816.625</v>
      </c>
      <c r="D10" s="8">
        <v>43827.708333333299</v>
      </c>
      <c r="E10" s="12" t="s">
        <v>47</v>
      </c>
      <c r="F10" s="12" t="s">
        <v>42</v>
      </c>
      <c r="G10" s="9">
        <v>2880</v>
      </c>
      <c r="H10" s="9">
        <v>3166.5</v>
      </c>
      <c r="I10" s="9">
        <v>0</v>
      </c>
      <c r="J10" s="9">
        <v>0</v>
      </c>
      <c r="K10" s="9">
        <v>6046.5</v>
      </c>
      <c r="L10" s="3"/>
      <c r="M10" s="3" t="s">
        <v>24</v>
      </c>
      <c r="N10" s="9">
        <v>0</v>
      </c>
      <c r="O10" s="9">
        <v>6046.5</v>
      </c>
      <c r="P10" s="12" t="s">
        <v>47</v>
      </c>
      <c r="Q10" s="9">
        <v>0</v>
      </c>
      <c r="R10" s="11">
        <v>0</v>
      </c>
      <c r="S10" s="10">
        <v>0</v>
      </c>
      <c r="T10" s="9">
        <v>6046.5</v>
      </c>
      <c r="U10" s="14">
        <v>0</v>
      </c>
      <c r="V10" s="12" t="s">
        <v>170</v>
      </c>
      <c r="W10" s="9"/>
      <c r="X10" s="9"/>
    </row>
    <row r="11" spans="1:24" x14ac:dyDescent="0.35">
      <c r="A11" s="3">
        <v>6</v>
      </c>
      <c r="B11" s="3" t="s">
        <v>48</v>
      </c>
      <c r="C11" s="8">
        <v>43830.583333333299</v>
      </c>
      <c r="D11" s="8">
        <v>43832.583333333299</v>
      </c>
      <c r="E11" s="12" t="s">
        <v>51</v>
      </c>
      <c r="F11" s="12" t="s">
        <v>52</v>
      </c>
      <c r="G11" s="9">
        <v>448</v>
      </c>
      <c r="H11" s="9">
        <v>1802.5</v>
      </c>
      <c r="I11" s="9">
        <v>0</v>
      </c>
      <c r="J11" s="9">
        <v>0</v>
      </c>
      <c r="K11" s="9">
        <v>2250.5</v>
      </c>
      <c r="L11" s="7">
        <v>43808.541666666701</v>
      </c>
      <c r="M11" s="3" t="s">
        <v>167</v>
      </c>
      <c r="N11" s="9">
        <v>1930.5</v>
      </c>
      <c r="O11" s="9">
        <v>384</v>
      </c>
      <c r="P11" s="12" t="s">
        <v>171</v>
      </c>
      <c r="Q11" s="9">
        <v>0</v>
      </c>
      <c r="R11" s="11">
        <v>0</v>
      </c>
      <c r="S11" s="10">
        <v>1930.5</v>
      </c>
      <c r="T11" s="9">
        <v>384</v>
      </c>
      <c r="U11" s="14">
        <v>0.25</v>
      </c>
      <c r="V11" s="12" t="s">
        <v>169</v>
      </c>
      <c r="W11" s="9"/>
      <c r="X11" s="9"/>
    </row>
    <row r="12" spans="1:24" x14ac:dyDescent="0.35">
      <c r="A12" s="3">
        <v>7</v>
      </c>
      <c r="B12" s="3" t="s">
        <v>53</v>
      </c>
      <c r="C12" s="8">
        <v>43815.416666666701</v>
      </c>
      <c r="D12" s="8">
        <v>43822.416666666701</v>
      </c>
      <c r="E12" s="12" t="s">
        <v>56</v>
      </c>
      <c r="F12" s="12" t="s">
        <v>57</v>
      </c>
      <c r="G12" s="9">
        <v>672</v>
      </c>
      <c r="H12" s="9">
        <v>1970.5</v>
      </c>
      <c r="I12" s="9">
        <v>0</v>
      </c>
      <c r="J12" s="9">
        <v>0</v>
      </c>
      <c r="K12" s="9">
        <v>2642.5</v>
      </c>
      <c r="L12" s="3"/>
      <c r="M12" s="3" t="s">
        <v>24</v>
      </c>
      <c r="N12" s="9">
        <v>0</v>
      </c>
      <c r="O12" s="9">
        <v>2642.5</v>
      </c>
      <c r="P12" s="12" t="s">
        <v>56</v>
      </c>
      <c r="Q12" s="9">
        <v>0</v>
      </c>
      <c r="R12" s="11">
        <v>0</v>
      </c>
      <c r="S12" s="10">
        <v>0</v>
      </c>
      <c r="T12" s="9">
        <v>2642.5</v>
      </c>
      <c r="U12" s="14">
        <v>0</v>
      </c>
      <c r="V12" s="12" t="s">
        <v>170</v>
      </c>
      <c r="W12" s="9"/>
      <c r="X12" s="9"/>
    </row>
    <row r="13" spans="1:24" ht="22" x14ac:dyDescent="0.35">
      <c r="A13" s="3">
        <v>8</v>
      </c>
      <c r="B13" s="3" t="s">
        <v>58</v>
      </c>
      <c r="C13" s="8">
        <v>43831.583333333299</v>
      </c>
      <c r="D13" s="8">
        <v>43832.583333333299</v>
      </c>
      <c r="E13" s="12" t="s">
        <v>61</v>
      </c>
      <c r="F13" s="12" t="s">
        <v>57</v>
      </c>
      <c r="G13" s="9">
        <v>112</v>
      </c>
      <c r="H13" s="9">
        <v>602.5</v>
      </c>
      <c r="I13" s="9">
        <v>0</v>
      </c>
      <c r="J13" s="9">
        <v>0</v>
      </c>
      <c r="K13" s="9">
        <v>714.5</v>
      </c>
      <c r="L13" s="3"/>
      <c r="M13" s="3" t="s">
        <v>24</v>
      </c>
      <c r="N13" s="9">
        <v>0</v>
      </c>
      <c r="O13" s="9">
        <v>714.5</v>
      </c>
      <c r="P13" s="12" t="s">
        <v>61</v>
      </c>
      <c r="Q13" s="9">
        <v>0</v>
      </c>
      <c r="R13" s="11">
        <v>0</v>
      </c>
      <c r="S13" s="10">
        <v>0</v>
      </c>
      <c r="T13" s="9">
        <v>714.5</v>
      </c>
      <c r="U13" s="14">
        <v>0</v>
      </c>
      <c r="V13" s="12" t="s">
        <v>170</v>
      </c>
      <c r="W13" s="9"/>
      <c r="X13" s="9"/>
    </row>
    <row r="14" spans="1:24" x14ac:dyDescent="0.35">
      <c r="A14" s="3">
        <v>9</v>
      </c>
      <c r="B14" s="3" t="s">
        <v>62</v>
      </c>
      <c r="C14" s="8">
        <v>43829.583333333299</v>
      </c>
      <c r="D14" s="8">
        <v>43830.583333333299</v>
      </c>
      <c r="E14" s="12" t="s">
        <v>61</v>
      </c>
      <c r="F14" s="12" t="s">
        <v>57</v>
      </c>
      <c r="G14" s="9">
        <v>112</v>
      </c>
      <c r="H14" s="9">
        <v>602.5</v>
      </c>
      <c r="I14" s="9">
        <v>0</v>
      </c>
      <c r="J14" s="9">
        <v>0</v>
      </c>
      <c r="K14" s="9">
        <v>714.5</v>
      </c>
      <c r="L14" s="3"/>
      <c r="M14" s="3" t="s">
        <v>24</v>
      </c>
      <c r="N14" s="9">
        <v>0</v>
      </c>
      <c r="O14" s="9">
        <v>714.5</v>
      </c>
      <c r="P14" s="12" t="s">
        <v>61</v>
      </c>
      <c r="Q14" s="9">
        <v>0</v>
      </c>
      <c r="R14" s="11">
        <v>0</v>
      </c>
      <c r="S14" s="10">
        <v>0</v>
      </c>
      <c r="T14" s="9">
        <v>714.5</v>
      </c>
      <c r="U14" s="14">
        <v>0</v>
      </c>
      <c r="V14" s="12" t="s">
        <v>170</v>
      </c>
      <c r="W14" s="9"/>
      <c r="X14" s="9"/>
    </row>
    <row r="15" spans="1:24" ht="22" x14ac:dyDescent="0.35">
      <c r="A15" s="3">
        <v>10</v>
      </c>
      <c r="B15" s="3" t="s">
        <v>64</v>
      </c>
      <c r="C15" s="8">
        <v>43829.375</v>
      </c>
      <c r="D15" s="8">
        <v>43829.708333333299</v>
      </c>
      <c r="E15" s="12" t="s">
        <v>61</v>
      </c>
      <c r="F15" s="12" t="s">
        <v>67</v>
      </c>
      <c r="G15" s="9">
        <v>56</v>
      </c>
      <c r="H15" s="9">
        <v>602.5</v>
      </c>
      <c r="I15" s="9">
        <v>0</v>
      </c>
      <c r="J15" s="9">
        <v>0</v>
      </c>
      <c r="K15" s="9">
        <v>658.5</v>
      </c>
      <c r="L15" s="3"/>
      <c r="M15" s="3" t="s">
        <v>24</v>
      </c>
      <c r="N15" s="9">
        <v>0</v>
      </c>
      <c r="O15" s="9">
        <v>658.5</v>
      </c>
      <c r="P15" s="12" t="s">
        <v>61</v>
      </c>
      <c r="Q15" s="9">
        <v>0</v>
      </c>
      <c r="R15" s="11">
        <v>0</v>
      </c>
      <c r="S15" s="10">
        <v>0</v>
      </c>
      <c r="T15" s="9">
        <v>658.5</v>
      </c>
      <c r="U15" s="14">
        <v>0</v>
      </c>
      <c r="V15" s="12" t="s">
        <v>170</v>
      </c>
      <c r="W15" s="9"/>
      <c r="X15" s="9"/>
    </row>
    <row r="16" spans="1:24" x14ac:dyDescent="0.35">
      <c r="A16" s="3">
        <v>11</v>
      </c>
      <c r="B16" s="3" t="s">
        <v>68</v>
      </c>
      <c r="C16" s="8">
        <v>43813.416666666701</v>
      </c>
      <c r="D16" s="8">
        <v>43815.416666666701</v>
      </c>
      <c r="E16" s="12" t="s">
        <v>61</v>
      </c>
      <c r="F16" s="12" t="s">
        <v>67</v>
      </c>
      <c r="G16" s="9">
        <v>56</v>
      </c>
      <c r="H16" s="9">
        <v>602.5</v>
      </c>
      <c r="I16" s="9">
        <v>0</v>
      </c>
      <c r="J16" s="9">
        <v>0</v>
      </c>
      <c r="K16" s="9">
        <v>658.5</v>
      </c>
      <c r="L16" s="3"/>
      <c r="M16" s="3" t="s">
        <v>24</v>
      </c>
      <c r="N16" s="9">
        <v>0</v>
      </c>
      <c r="O16" s="9">
        <v>658.5</v>
      </c>
      <c r="P16" s="12" t="s">
        <v>61</v>
      </c>
      <c r="Q16" s="9">
        <v>0</v>
      </c>
      <c r="R16" s="11">
        <v>0</v>
      </c>
      <c r="S16" s="10">
        <v>0</v>
      </c>
      <c r="T16" s="9">
        <v>658.5</v>
      </c>
      <c r="U16" s="14">
        <v>0</v>
      </c>
      <c r="V16" s="12" t="s">
        <v>170</v>
      </c>
      <c r="W16" s="9"/>
      <c r="X16" s="9"/>
    </row>
    <row r="17" spans="1:24" ht="22" x14ac:dyDescent="0.35">
      <c r="A17" s="3">
        <v>13</v>
      </c>
      <c r="B17" s="3" t="s">
        <v>70</v>
      </c>
      <c r="C17" s="8">
        <v>43823.416666666701</v>
      </c>
      <c r="D17" s="8">
        <v>43823.583333333299</v>
      </c>
      <c r="E17" s="12" t="s">
        <v>29</v>
      </c>
      <c r="F17" s="12" t="s">
        <v>67</v>
      </c>
      <c r="G17" s="9">
        <v>24</v>
      </c>
      <c r="H17" s="9">
        <v>602.5</v>
      </c>
      <c r="I17" s="9">
        <v>0</v>
      </c>
      <c r="J17" s="9">
        <v>0</v>
      </c>
      <c r="K17" s="9">
        <v>626.5</v>
      </c>
      <c r="L17" s="3"/>
      <c r="M17" s="3" t="s">
        <v>24</v>
      </c>
      <c r="N17" s="9">
        <v>0</v>
      </c>
      <c r="O17" s="9">
        <v>626.5</v>
      </c>
      <c r="P17" s="12" t="s">
        <v>29</v>
      </c>
      <c r="Q17" s="9">
        <v>0</v>
      </c>
      <c r="R17" s="11">
        <v>0</v>
      </c>
      <c r="S17" s="10">
        <v>0</v>
      </c>
      <c r="T17" s="9">
        <v>626.5</v>
      </c>
      <c r="U17" s="14">
        <v>0</v>
      </c>
      <c r="V17" s="12" t="s">
        <v>170</v>
      </c>
      <c r="W17" s="9"/>
      <c r="X17" s="9"/>
    </row>
    <row r="18" spans="1:24" x14ac:dyDescent="0.35">
      <c r="A18" s="3">
        <v>14</v>
      </c>
      <c r="B18" s="3" t="s">
        <v>74</v>
      </c>
      <c r="C18" s="8">
        <v>43836.583333333299</v>
      </c>
      <c r="D18" s="8">
        <v>43838.583333333299</v>
      </c>
      <c r="E18" s="12" t="s">
        <v>51</v>
      </c>
      <c r="F18" s="12" t="s">
        <v>77</v>
      </c>
      <c r="G18" s="9">
        <v>672</v>
      </c>
      <c r="H18" s="9">
        <v>602.5</v>
      </c>
      <c r="I18" s="9">
        <v>0</v>
      </c>
      <c r="J18" s="9">
        <v>0</v>
      </c>
      <c r="K18" s="9">
        <v>1274.5</v>
      </c>
      <c r="L18" s="3"/>
      <c r="M18" s="3" t="s">
        <v>24</v>
      </c>
      <c r="N18" s="9">
        <v>0</v>
      </c>
      <c r="O18" s="9">
        <v>1274.5</v>
      </c>
      <c r="P18" s="12" t="s">
        <v>51</v>
      </c>
      <c r="Q18" s="9">
        <v>0</v>
      </c>
      <c r="R18" s="11">
        <v>0</v>
      </c>
      <c r="S18" s="10">
        <v>0</v>
      </c>
      <c r="T18" s="9">
        <v>1274.5</v>
      </c>
      <c r="U18" s="14">
        <v>0</v>
      </c>
      <c r="V18" s="12" t="s">
        <v>170</v>
      </c>
      <c r="W18" s="9"/>
      <c r="X18" s="9"/>
    </row>
    <row r="19" spans="1:24" x14ac:dyDescent="0.35">
      <c r="A19" s="3">
        <v>15</v>
      </c>
      <c r="B19" s="3" t="s">
        <v>78</v>
      </c>
      <c r="C19" s="8">
        <v>43829.583333333299</v>
      </c>
      <c r="D19" s="8">
        <v>43830.583333333299</v>
      </c>
      <c r="E19" s="12" t="s">
        <v>61</v>
      </c>
      <c r="F19" s="12" t="s">
        <v>57</v>
      </c>
      <c r="G19" s="9">
        <v>112</v>
      </c>
      <c r="H19" s="9">
        <v>602.5</v>
      </c>
      <c r="I19" s="9">
        <v>0</v>
      </c>
      <c r="J19" s="9">
        <v>0</v>
      </c>
      <c r="K19" s="9">
        <v>714.5</v>
      </c>
      <c r="L19" s="3"/>
      <c r="M19" s="3" t="s">
        <v>24</v>
      </c>
      <c r="N19" s="9">
        <v>0</v>
      </c>
      <c r="O19" s="9">
        <v>714.5</v>
      </c>
      <c r="P19" s="12" t="s">
        <v>61</v>
      </c>
      <c r="Q19" s="9">
        <v>0</v>
      </c>
      <c r="R19" s="11">
        <v>0</v>
      </c>
      <c r="S19" s="10">
        <v>0</v>
      </c>
      <c r="T19" s="9">
        <v>714.5</v>
      </c>
      <c r="U19" s="14">
        <v>0</v>
      </c>
      <c r="V19" s="12" t="s">
        <v>170</v>
      </c>
      <c r="W19" s="9"/>
      <c r="X19" s="9"/>
    </row>
    <row r="20" spans="1:24" x14ac:dyDescent="0.35">
      <c r="A20" s="3">
        <v>16</v>
      </c>
      <c r="B20" s="3" t="s">
        <v>80</v>
      </c>
      <c r="C20" s="8">
        <v>43827.416666666701</v>
      </c>
      <c r="D20" s="8">
        <v>43827.583333333299</v>
      </c>
      <c r="E20" s="12" t="s">
        <v>29</v>
      </c>
      <c r="F20" s="12" t="s">
        <v>57</v>
      </c>
      <c r="G20" s="9">
        <v>48</v>
      </c>
      <c r="H20" s="9">
        <v>602.5</v>
      </c>
      <c r="I20" s="9">
        <v>0</v>
      </c>
      <c r="J20" s="9">
        <v>0</v>
      </c>
      <c r="K20" s="9">
        <v>650.5</v>
      </c>
      <c r="L20" s="3"/>
      <c r="M20" s="3" t="s">
        <v>24</v>
      </c>
      <c r="N20" s="9">
        <v>0</v>
      </c>
      <c r="O20" s="9">
        <v>650.5</v>
      </c>
      <c r="P20" s="12" t="s">
        <v>29</v>
      </c>
      <c r="Q20" s="9">
        <v>0</v>
      </c>
      <c r="R20" s="11">
        <v>0</v>
      </c>
      <c r="S20" s="10">
        <v>0</v>
      </c>
      <c r="T20" s="9">
        <v>650.5</v>
      </c>
      <c r="U20" s="14">
        <v>0</v>
      </c>
      <c r="V20" s="12" t="s">
        <v>170</v>
      </c>
      <c r="W20" s="9"/>
      <c r="X20" s="9"/>
    </row>
    <row r="21" spans="1:24" x14ac:dyDescent="0.35">
      <c r="A21" s="3">
        <v>17</v>
      </c>
      <c r="B21" s="3" t="s">
        <v>82</v>
      </c>
      <c r="C21" s="8">
        <v>43822.416666666701</v>
      </c>
      <c r="D21" s="8">
        <v>43823.416666666701</v>
      </c>
      <c r="E21" s="12" t="s">
        <v>61</v>
      </c>
      <c r="F21" s="12" t="s">
        <v>85</v>
      </c>
      <c r="G21" s="9">
        <v>140</v>
      </c>
      <c r="H21" s="9">
        <v>3302.5</v>
      </c>
      <c r="I21" s="9">
        <v>0</v>
      </c>
      <c r="J21" s="9">
        <v>0</v>
      </c>
      <c r="K21" s="9">
        <v>3442.5</v>
      </c>
      <c r="L21" s="3"/>
      <c r="M21" s="3" t="s">
        <v>24</v>
      </c>
      <c r="N21" s="9">
        <v>0</v>
      </c>
      <c r="O21" s="9">
        <v>3442.5</v>
      </c>
      <c r="P21" s="12" t="s">
        <v>61</v>
      </c>
      <c r="Q21" s="9">
        <v>0</v>
      </c>
      <c r="R21" s="11">
        <v>0</v>
      </c>
      <c r="S21" s="10">
        <v>0</v>
      </c>
      <c r="T21" s="9">
        <v>3442.5</v>
      </c>
      <c r="U21" s="14">
        <v>0</v>
      </c>
      <c r="V21" s="12" t="s">
        <v>170</v>
      </c>
      <c r="W21" s="9"/>
      <c r="X21" s="9"/>
    </row>
    <row r="22" spans="1:24" x14ac:dyDescent="0.35">
      <c r="A22" s="3">
        <v>18</v>
      </c>
      <c r="B22" s="3" t="s">
        <v>86</v>
      </c>
      <c r="C22" s="8">
        <v>43832.583333333299</v>
      </c>
      <c r="D22" s="8">
        <v>43833.583333333299</v>
      </c>
      <c r="E22" s="12" t="s">
        <v>61</v>
      </c>
      <c r="F22" s="12" t="s">
        <v>57</v>
      </c>
      <c r="G22" s="9">
        <v>112</v>
      </c>
      <c r="H22" s="9">
        <v>602.5</v>
      </c>
      <c r="I22" s="9">
        <v>0</v>
      </c>
      <c r="J22" s="9">
        <v>0</v>
      </c>
      <c r="K22" s="9">
        <v>714.5</v>
      </c>
      <c r="L22" s="3"/>
      <c r="M22" s="3" t="s">
        <v>24</v>
      </c>
      <c r="N22" s="9">
        <v>0</v>
      </c>
      <c r="O22" s="9">
        <v>714.5</v>
      </c>
      <c r="P22" s="12" t="s">
        <v>61</v>
      </c>
      <c r="Q22" s="9">
        <v>0</v>
      </c>
      <c r="R22" s="11">
        <v>0</v>
      </c>
      <c r="S22" s="10">
        <v>0</v>
      </c>
      <c r="T22" s="9">
        <v>714.5</v>
      </c>
      <c r="U22" s="14">
        <v>0</v>
      </c>
      <c r="V22" s="12" t="s">
        <v>170</v>
      </c>
      <c r="W22" s="9"/>
      <c r="X22" s="9"/>
    </row>
    <row r="23" spans="1:24" ht="22" x14ac:dyDescent="0.35">
      <c r="A23" s="3">
        <v>19</v>
      </c>
      <c r="B23" s="3" t="s">
        <v>88</v>
      </c>
      <c r="C23" s="8">
        <v>43833.583333333299</v>
      </c>
      <c r="D23" s="8">
        <v>43836.583333333299</v>
      </c>
      <c r="E23" s="12" t="s">
        <v>51</v>
      </c>
      <c r="F23" s="12" t="s">
        <v>77</v>
      </c>
      <c r="G23" s="9">
        <v>672</v>
      </c>
      <c r="H23" s="9">
        <v>2252.5</v>
      </c>
      <c r="I23" s="9">
        <v>0</v>
      </c>
      <c r="J23" s="9">
        <v>0</v>
      </c>
      <c r="K23" s="9">
        <v>2924.5</v>
      </c>
      <c r="L23" s="3"/>
      <c r="M23" s="3" t="s">
        <v>24</v>
      </c>
      <c r="N23" s="9">
        <v>0</v>
      </c>
      <c r="O23" s="9">
        <v>2924.5</v>
      </c>
      <c r="P23" s="12" t="s">
        <v>51</v>
      </c>
      <c r="Q23" s="9">
        <v>0</v>
      </c>
      <c r="R23" s="11">
        <v>0</v>
      </c>
      <c r="S23" s="10">
        <v>0</v>
      </c>
      <c r="T23" s="9">
        <v>2924.5</v>
      </c>
      <c r="U23" s="14">
        <v>0</v>
      </c>
      <c r="V23" s="12" t="s">
        <v>170</v>
      </c>
      <c r="W23" s="9"/>
      <c r="X23" s="9"/>
    </row>
    <row r="24" spans="1:24" x14ac:dyDescent="0.35">
      <c r="A24" s="3">
        <v>20</v>
      </c>
      <c r="B24" s="3" t="s">
        <v>91</v>
      </c>
      <c r="C24" s="8">
        <v>43824.416666666701</v>
      </c>
      <c r="D24" s="8">
        <v>43825.416666666701</v>
      </c>
      <c r="E24" s="12" t="s">
        <v>61</v>
      </c>
      <c r="F24" s="12" t="s">
        <v>67</v>
      </c>
      <c r="G24" s="9">
        <v>56</v>
      </c>
      <c r="H24" s="9">
        <v>28602.5</v>
      </c>
      <c r="I24" s="9">
        <v>0</v>
      </c>
      <c r="J24" s="9">
        <v>0</v>
      </c>
      <c r="K24" s="9">
        <v>28658.5</v>
      </c>
      <c r="L24" s="3"/>
      <c r="M24" s="3" t="s">
        <v>24</v>
      </c>
      <c r="N24" s="9">
        <v>0</v>
      </c>
      <c r="O24" s="9">
        <v>28658.5</v>
      </c>
      <c r="P24" s="12" t="s">
        <v>61</v>
      </c>
      <c r="Q24" s="9">
        <v>0</v>
      </c>
      <c r="R24" s="11">
        <v>0</v>
      </c>
      <c r="S24" s="10">
        <v>0</v>
      </c>
      <c r="T24" s="9">
        <v>28658.5</v>
      </c>
      <c r="U24" s="14">
        <v>0</v>
      </c>
      <c r="V24" s="12" t="s">
        <v>170</v>
      </c>
      <c r="W24" s="9"/>
      <c r="X24" s="9"/>
    </row>
    <row r="25" spans="1:24" ht="22" x14ac:dyDescent="0.35">
      <c r="A25" s="3">
        <v>21</v>
      </c>
      <c r="B25" s="3" t="s">
        <v>95</v>
      </c>
      <c r="C25" s="8">
        <v>43830.583333333299</v>
      </c>
      <c r="D25" s="8">
        <v>43831.583333333299</v>
      </c>
      <c r="E25" s="12" t="s">
        <v>61</v>
      </c>
      <c r="F25" s="12" t="s">
        <v>36</v>
      </c>
      <c r="G25" s="9">
        <v>168</v>
      </c>
      <c r="H25" s="9">
        <v>3677.5</v>
      </c>
      <c r="I25" s="9">
        <v>0</v>
      </c>
      <c r="J25" s="9">
        <v>0</v>
      </c>
      <c r="K25" s="9">
        <v>3845.5</v>
      </c>
      <c r="L25" s="3"/>
      <c r="M25" s="3" t="s">
        <v>24</v>
      </c>
      <c r="N25" s="9">
        <v>0</v>
      </c>
      <c r="O25" s="9">
        <v>3845.5</v>
      </c>
      <c r="P25" s="12" t="s">
        <v>61</v>
      </c>
      <c r="Q25" s="9">
        <v>0</v>
      </c>
      <c r="R25" s="11">
        <v>0</v>
      </c>
      <c r="S25" s="10">
        <v>0</v>
      </c>
      <c r="T25" s="9">
        <v>3845.5</v>
      </c>
      <c r="U25" s="14">
        <v>0</v>
      </c>
      <c r="V25" s="12" t="s">
        <v>170</v>
      </c>
      <c r="W25" s="9"/>
      <c r="X25" s="9"/>
    </row>
    <row r="26" spans="1:24" x14ac:dyDescent="0.35">
      <c r="A26" s="3">
        <v>22</v>
      </c>
      <c r="B26" s="3" t="s">
        <v>98</v>
      </c>
      <c r="C26" s="8">
        <v>43825.416666666701</v>
      </c>
      <c r="D26" s="8">
        <v>43826.416666666701</v>
      </c>
      <c r="E26" s="12" t="s">
        <v>61</v>
      </c>
      <c r="F26" s="12" t="s">
        <v>67</v>
      </c>
      <c r="G26" s="9">
        <v>56</v>
      </c>
      <c r="H26" s="9">
        <v>602.5</v>
      </c>
      <c r="I26" s="9">
        <v>0</v>
      </c>
      <c r="J26" s="9">
        <v>0</v>
      </c>
      <c r="K26" s="9">
        <v>658.5</v>
      </c>
      <c r="L26" s="3"/>
      <c r="M26" s="3" t="s">
        <v>24</v>
      </c>
      <c r="N26" s="9">
        <v>0</v>
      </c>
      <c r="O26" s="9">
        <v>658.5</v>
      </c>
      <c r="P26" s="12" t="s">
        <v>61</v>
      </c>
      <c r="Q26" s="9">
        <v>0</v>
      </c>
      <c r="R26" s="11">
        <v>0</v>
      </c>
      <c r="S26" s="10">
        <v>0</v>
      </c>
      <c r="T26" s="9">
        <v>658.5</v>
      </c>
      <c r="U26" s="14">
        <v>0</v>
      </c>
      <c r="V26" s="12" t="s">
        <v>170</v>
      </c>
      <c r="W26" s="9"/>
      <c r="X26" s="9"/>
    </row>
    <row r="27" spans="1:24" x14ac:dyDescent="0.35">
      <c r="A27" s="3">
        <v>23</v>
      </c>
      <c r="B27" s="3" t="s">
        <v>101</v>
      </c>
      <c r="C27" s="8">
        <v>43832.583333333299</v>
      </c>
      <c r="D27" s="8">
        <v>43833.583333333299</v>
      </c>
      <c r="E27" s="12" t="s">
        <v>61</v>
      </c>
      <c r="F27" s="12" t="s">
        <v>52</v>
      </c>
      <c r="G27" s="9">
        <v>224</v>
      </c>
      <c r="H27" s="9">
        <v>43602.5</v>
      </c>
      <c r="I27" s="9">
        <v>0</v>
      </c>
      <c r="J27" s="9">
        <v>0</v>
      </c>
      <c r="K27" s="9">
        <v>43826.5</v>
      </c>
      <c r="L27" s="3"/>
      <c r="M27" s="3" t="s">
        <v>24</v>
      </c>
      <c r="N27" s="9">
        <v>0</v>
      </c>
      <c r="O27" s="9">
        <v>43826.5</v>
      </c>
      <c r="P27" s="12" t="s">
        <v>61</v>
      </c>
      <c r="Q27" s="9">
        <v>0</v>
      </c>
      <c r="R27" s="11">
        <v>0</v>
      </c>
      <c r="S27" s="10">
        <v>0</v>
      </c>
      <c r="T27" s="9">
        <v>43826.5</v>
      </c>
      <c r="U27" s="14">
        <v>0</v>
      </c>
      <c r="V27" s="12" t="s">
        <v>170</v>
      </c>
      <c r="W27" s="9"/>
      <c r="X27" s="9"/>
    </row>
    <row r="28" spans="1:24" x14ac:dyDescent="0.35">
      <c r="A28" s="3">
        <v>24</v>
      </c>
      <c r="B28" s="3" t="s">
        <v>103</v>
      </c>
      <c r="C28" s="8">
        <v>43826.416666666701</v>
      </c>
      <c r="D28" s="8">
        <v>43827.416666666701</v>
      </c>
      <c r="E28" s="12" t="s">
        <v>61</v>
      </c>
      <c r="F28" s="12" t="s">
        <v>67</v>
      </c>
      <c r="G28" s="9">
        <v>56</v>
      </c>
      <c r="H28" s="9">
        <v>1577.5</v>
      </c>
      <c r="I28" s="9">
        <v>0</v>
      </c>
      <c r="J28" s="9">
        <v>0</v>
      </c>
      <c r="K28" s="9">
        <v>1633.5</v>
      </c>
      <c r="L28" s="3"/>
      <c r="M28" s="3" t="s">
        <v>24</v>
      </c>
      <c r="N28" s="9">
        <v>0</v>
      </c>
      <c r="O28" s="9">
        <v>1633.5</v>
      </c>
      <c r="P28" s="12" t="s">
        <v>61</v>
      </c>
      <c r="Q28" s="9">
        <v>0</v>
      </c>
      <c r="R28" s="11">
        <v>0</v>
      </c>
      <c r="S28" s="10">
        <v>0</v>
      </c>
      <c r="T28" s="9">
        <v>1633.5</v>
      </c>
      <c r="U28" s="14">
        <v>0</v>
      </c>
      <c r="V28" s="12" t="s">
        <v>170</v>
      </c>
      <c r="W28" s="9"/>
      <c r="X28" s="9"/>
    </row>
    <row r="29" spans="1:24" x14ac:dyDescent="0.35">
      <c r="A29" s="3">
        <v>25</v>
      </c>
      <c r="B29" s="3" t="s">
        <v>106</v>
      </c>
      <c r="C29" s="8">
        <v>43813.416666666701</v>
      </c>
      <c r="D29" s="8">
        <v>43815.416666666701</v>
      </c>
      <c r="E29" s="12" t="s">
        <v>61</v>
      </c>
      <c r="F29" s="12" t="s">
        <v>67</v>
      </c>
      <c r="G29" s="9">
        <v>56</v>
      </c>
      <c r="H29" s="9">
        <v>2524.5</v>
      </c>
      <c r="I29" s="9">
        <v>0</v>
      </c>
      <c r="J29" s="9">
        <v>0</v>
      </c>
      <c r="K29" s="9">
        <v>2580.5</v>
      </c>
      <c r="L29" s="3"/>
      <c r="M29" s="3" t="s">
        <v>24</v>
      </c>
      <c r="N29" s="9">
        <v>0</v>
      </c>
      <c r="O29" s="9">
        <v>2580.5</v>
      </c>
      <c r="P29" s="12" t="s">
        <v>61</v>
      </c>
      <c r="Q29" s="9">
        <v>0</v>
      </c>
      <c r="R29" s="11">
        <v>0</v>
      </c>
      <c r="S29" s="10">
        <v>0</v>
      </c>
      <c r="T29" s="9">
        <v>2580.5</v>
      </c>
      <c r="U29" s="14">
        <v>0</v>
      </c>
      <c r="V29" s="12" t="s">
        <v>170</v>
      </c>
      <c r="W29" s="9"/>
      <c r="X29" s="9"/>
    </row>
    <row r="30" spans="1:24" x14ac:dyDescent="0.35">
      <c r="A30" s="3">
        <v>26</v>
      </c>
      <c r="B30" s="3" t="s">
        <v>108</v>
      </c>
      <c r="C30" s="8">
        <v>43829.583333333299</v>
      </c>
      <c r="D30" s="8">
        <v>43830.583333333299</v>
      </c>
      <c r="E30" s="12" t="s">
        <v>61</v>
      </c>
      <c r="F30" s="12" t="s">
        <v>57</v>
      </c>
      <c r="G30" s="9">
        <v>112</v>
      </c>
      <c r="H30" s="9">
        <v>3442.30004882813</v>
      </c>
      <c r="I30" s="9">
        <v>0</v>
      </c>
      <c r="J30" s="9">
        <v>0</v>
      </c>
      <c r="K30" s="9">
        <v>3554.30004882813</v>
      </c>
      <c r="L30" s="3"/>
      <c r="M30" s="3" t="s">
        <v>24</v>
      </c>
      <c r="N30" s="9">
        <v>0</v>
      </c>
      <c r="O30" s="9">
        <v>3554.30004882813</v>
      </c>
      <c r="P30" s="12" t="s">
        <v>61</v>
      </c>
      <c r="Q30" s="9">
        <v>0</v>
      </c>
      <c r="R30" s="11">
        <v>0</v>
      </c>
      <c r="S30" s="10">
        <v>0</v>
      </c>
      <c r="T30" s="9">
        <v>3554.30004882813</v>
      </c>
      <c r="U30" s="14">
        <v>0</v>
      </c>
      <c r="V30" s="12" t="s">
        <v>170</v>
      </c>
      <c r="W30" s="9"/>
      <c r="X30" s="9"/>
    </row>
    <row r="31" spans="1:24" x14ac:dyDescent="0.35">
      <c r="A31" s="3">
        <v>27</v>
      </c>
      <c r="B31" s="3" t="s">
        <v>110</v>
      </c>
      <c r="C31" s="8">
        <v>43823.416666666701</v>
      </c>
      <c r="D31" s="8">
        <v>43824.416666666701</v>
      </c>
      <c r="E31" s="12" t="s">
        <v>61</v>
      </c>
      <c r="F31" s="12" t="s">
        <v>67</v>
      </c>
      <c r="G31" s="9">
        <v>56</v>
      </c>
      <c r="H31" s="9">
        <v>2972.5</v>
      </c>
      <c r="I31" s="9">
        <v>0</v>
      </c>
      <c r="J31" s="9">
        <v>0</v>
      </c>
      <c r="K31" s="9">
        <v>3028.5</v>
      </c>
      <c r="L31" s="3"/>
      <c r="M31" s="3" t="s">
        <v>24</v>
      </c>
      <c r="N31" s="9">
        <v>0</v>
      </c>
      <c r="O31" s="9">
        <v>3028.5</v>
      </c>
      <c r="P31" s="12" t="s">
        <v>61</v>
      </c>
      <c r="Q31" s="9">
        <v>0</v>
      </c>
      <c r="R31" s="11">
        <v>0</v>
      </c>
      <c r="S31" s="10">
        <v>0</v>
      </c>
      <c r="T31" s="9">
        <v>3028.5</v>
      </c>
      <c r="U31" s="14">
        <v>0</v>
      </c>
      <c r="V31" s="12" t="s">
        <v>170</v>
      </c>
      <c r="W31" s="9"/>
      <c r="X31" s="9"/>
    </row>
    <row r="32" spans="1:24" x14ac:dyDescent="0.35">
      <c r="A32" s="3">
        <v>28</v>
      </c>
      <c r="B32" s="3" t="s">
        <v>113</v>
      </c>
      <c r="C32" s="8">
        <v>43832.583333333299</v>
      </c>
      <c r="D32" s="8">
        <v>43833.583333333299</v>
      </c>
      <c r="E32" s="12" t="s">
        <v>61</v>
      </c>
      <c r="F32" s="12" t="s">
        <v>67</v>
      </c>
      <c r="G32" s="9">
        <v>56</v>
      </c>
      <c r="H32" s="9">
        <v>1586.5</v>
      </c>
      <c r="I32" s="9">
        <v>0</v>
      </c>
      <c r="J32" s="9">
        <v>0</v>
      </c>
      <c r="K32" s="9">
        <v>1642.5</v>
      </c>
      <c r="L32" s="3"/>
      <c r="M32" s="3" t="s">
        <v>24</v>
      </c>
      <c r="N32" s="9">
        <v>0</v>
      </c>
      <c r="O32" s="9">
        <v>1642.5</v>
      </c>
      <c r="P32" s="12" t="s">
        <v>61</v>
      </c>
      <c r="Q32" s="9">
        <v>0</v>
      </c>
      <c r="R32" s="11">
        <v>0</v>
      </c>
      <c r="S32" s="10">
        <v>0</v>
      </c>
      <c r="T32" s="9">
        <v>1642.5</v>
      </c>
      <c r="U32" s="14">
        <v>0</v>
      </c>
      <c r="V32" s="12" t="s">
        <v>170</v>
      </c>
      <c r="W32" s="9"/>
      <c r="X32" s="9"/>
    </row>
    <row r="33" spans="1:24" ht="22" x14ac:dyDescent="0.35">
      <c r="A33" s="3">
        <v>29</v>
      </c>
      <c r="B33" s="3" t="s">
        <v>117</v>
      </c>
      <c r="C33" s="8">
        <v>43833.583333333299</v>
      </c>
      <c r="D33" s="8">
        <v>43833.708333333299</v>
      </c>
      <c r="E33" s="12" t="s">
        <v>29</v>
      </c>
      <c r="F33" s="12" t="s">
        <v>67</v>
      </c>
      <c r="G33" s="9">
        <v>24</v>
      </c>
      <c r="H33" s="9">
        <v>602.5</v>
      </c>
      <c r="I33" s="9">
        <v>0</v>
      </c>
      <c r="J33" s="9">
        <v>0</v>
      </c>
      <c r="K33" s="9">
        <v>626.5</v>
      </c>
      <c r="L33" s="3"/>
      <c r="M33" s="3" t="s">
        <v>24</v>
      </c>
      <c r="N33" s="9">
        <v>0</v>
      </c>
      <c r="O33" s="9">
        <v>626.5</v>
      </c>
      <c r="P33" s="12" t="s">
        <v>29</v>
      </c>
      <c r="Q33" s="9">
        <v>0</v>
      </c>
      <c r="R33" s="11">
        <v>0</v>
      </c>
      <c r="S33" s="10">
        <v>0</v>
      </c>
      <c r="T33" s="9">
        <v>626.5</v>
      </c>
      <c r="U33" s="14">
        <v>0</v>
      </c>
      <c r="V33" s="12" t="s">
        <v>170</v>
      </c>
      <c r="W33" s="9"/>
      <c r="X33" s="9"/>
    </row>
    <row r="34" spans="1:24" x14ac:dyDescent="0.35">
      <c r="A34" s="3">
        <v>30</v>
      </c>
      <c r="B34" s="3" t="s">
        <v>120</v>
      </c>
      <c r="C34" s="8">
        <v>43838.583333333299</v>
      </c>
      <c r="D34" s="8">
        <v>43839.5</v>
      </c>
      <c r="E34" s="12" t="s">
        <v>124</v>
      </c>
      <c r="F34" s="12" t="s">
        <v>67</v>
      </c>
      <c r="G34" s="9">
        <v>48</v>
      </c>
      <c r="H34" s="9">
        <v>602.5</v>
      </c>
      <c r="I34" s="9">
        <v>0</v>
      </c>
      <c r="J34" s="9">
        <v>0</v>
      </c>
      <c r="K34" s="9">
        <v>650.5</v>
      </c>
      <c r="L34" s="3"/>
      <c r="M34" s="3" t="s">
        <v>24</v>
      </c>
      <c r="N34" s="9">
        <v>0</v>
      </c>
      <c r="O34" s="9">
        <v>650.5</v>
      </c>
      <c r="P34" s="12" t="s">
        <v>124</v>
      </c>
      <c r="Q34" s="9">
        <v>0</v>
      </c>
      <c r="R34" s="11">
        <v>0</v>
      </c>
      <c r="S34" s="10">
        <v>0</v>
      </c>
      <c r="T34" s="9">
        <v>650.5</v>
      </c>
      <c r="U34" s="14">
        <v>0</v>
      </c>
      <c r="V34" s="12" t="s">
        <v>170</v>
      </c>
      <c r="W34" s="9"/>
      <c r="X34" s="9"/>
    </row>
    <row r="35" spans="1:24" x14ac:dyDescent="0.35">
      <c r="A35" s="3">
        <v>31</v>
      </c>
      <c r="B35" s="3" t="s">
        <v>125</v>
      </c>
      <c r="C35" s="8">
        <v>43839.5</v>
      </c>
      <c r="D35" s="8">
        <v>43839.5</v>
      </c>
      <c r="E35" s="12" t="s">
        <v>24</v>
      </c>
      <c r="F35" s="12"/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3"/>
      <c r="M35" s="3" t="s">
        <v>24</v>
      </c>
      <c r="N35" s="9">
        <v>0</v>
      </c>
      <c r="O35" s="9">
        <v>0</v>
      </c>
      <c r="P35" s="12" t="s">
        <v>24</v>
      </c>
      <c r="Q35" s="9">
        <v>0</v>
      </c>
      <c r="R35" s="11">
        <v>0</v>
      </c>
      <c r="S35" s="10">
        <v>0</v>
      </c>
      <c r="T35" s="9">
        <v>0</v>
      </c>
      <c r="U35" s="14">
        <v>0</v>
      </c>
      <c r="V35" s="12" t="s">
        <v>170</v>
      </c>
      <c r="W35" s="9"/>
      <c r="X35" s="9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Blad6"/>
  <dimension ref="A1:X35"/>
  <sheetViews>
    <sheetView topLeftCell="C4" workbookViewId="0">
      <selection activeCell="W5" sqref="W5:X35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150</v>
      </c>
      <c r="C1" s="7">
        <v>43809.708333333299</v>
      </c>
      <c r="E1" s="1" t="s">
        <v>151</v>
      </c>
      <c r="F1" s="4" t="s">
        <v>172</v>
      </c>
    </row>
    <row r="3" spans="1:24" x14ac:dyDescent="0.35">
      <c r="A3" s="24" t="s">
        <v>0</v>
      </c>
      <c r="B3" s="24"/>
      <c r="C3" s="24" t="s">
        <v>2</v>
      </c>
      <c r="D3" s="24"/>
      <c r="E3" s="24"/>
      <c r="F3" s="24" t="s">
        <v>3</v>
      </c>
      <c r="G3" s="24"/>
      <c r="H3" s="24" t="s">
        <v>4</v>
      </c>
      <c r="I3" s="24"/>
      <c r="J3" s="24"/>
      <c r="K3" s="24"/>
      <c r="L3" s="24" t="s">
        <v>152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153</v>
      </c>
      <c r="M4" s="1" t="s">
        <v>154</v>
      </c>
      <c r="N4" s="1" t="s">
        <v>155</v>
      </c>
      <c r="O4" s="1" t="s">
        <v>156</v>
      </c>
      <c r="P4" s="1" t="s">
        <v>157</v>
      </c>
      <c r="Q4" s="1" t="s">
        <v>158</v>
      </c>
      <c r="R4" s="1" t="s">
        <v>159</v>
      </c>
      <c r="S4" s="1" t="s">
        <v>160</v>
      </c>
      <c r="T4" s="1" t="s">
        <v>161</v>
      </c>
      <c r="U4" s="1" t="s">
        <v>162</v>
      </c>
      <c r="V4" s="1" t="s">
        <v>152</v>
      </c>
      <c r="W4" s="1" t="s">
        <v>163</v>
      </c>
      <c r="X4" s="1" t="s">
        <v>164</v>
      </c>
    </row>
    <row r="5" spans="1:24" x14ac:dyDescent="0.35">
      <c r="A5" s="2">
        <v>0</v>
      </c>
      <c r="B5" s="3" t="s">
        <v>18</v>
      </c>
      <c r="C5" s="5">
        <v>43808.375</v>
      </c>
      <c r="D5" s="5">
        <v>43839.5</v>
      </c>
      <c r="E5" s="2" t="s">
        <v>20</v>
      </c>
      <c r="F5" s="2"/>
      <c r="G5" s="6"/>
      <c r="H5" s="6">
        <v>118411.30004882799</v>
      </c>
      <c r="I5" s="6"/>
      <c r="J5" s="6"/>
      <c r="K5" s="6">
        <v>126955.30004882799</v>
      </c>
      <c r="L5" s="2"/>
      <c r="M5" s="2" t="s">
        <v>51</v>
      </c>
      <c r="N5" s="6"/>
      <c r="O5" s="6"/>
      <c r="P5" s="2"/>
      <c r="Q5" s="6"/>
      <c r="R5" s="6"/>
      <c r="S5" s="6">
        <v>4336.5</v>
      </c>
      <c r="T5" s="6"/>
      <c r="U5" s="13">
        <v>3.4642901842662201E-2</v>
      </c>
      <c r="V5" s="2"/>
      <c r="W5" s="6"/>
      <c r="X5" s="6"/>
    </row>
    <row r="6" spans="1:24" x14ac:dyDescent="0.35">
      <c r="A6" s="3">
        <v>1</v>
      </c>
      <c r="B6" s="3" t="s">
        <v>21</v>
      </c>
      <c r="C6" s="8">
        <v>43808.375</v>
      </c>
      <c r="D6" s="8">
        <v>43806.708333333299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43808.375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166</v>
      </c>
      <c r="W6" s="9"/>
      <c r="X6" s="9"/>
    </row>
    <row r="7" spans="1:24" ht="22" x14ac:dyDescent="0.35">
      <c r="A7" s="3">
        <v>2</v>
      </c>
      <c r="B7" s="3" t="s">
        <v>25</v>
      </c>
      <c r="C7" s="8">
        <v>43808.375</v>
      </c>
      <c r="D7" s="8">
        <v>43808.5</v>
      </c>
      <c r="E7" s="12" t="s">
        <v>29</v>
      </c>
      <c r="F7" s="12" t="s">
        <v>30</v>
      </c>
      <c r="G7" s="9">
        <v>36</v>
      </c>
      <c r="H7" s="9">
        <v>931.5</v>
      </c>
      <c r="I7" s="9">
        <v>0</v>
      </c>
      <c r="J7" s="9">
        <v>0</v>
      </c>
      <c r="K7" s="9">
        <v>967.5</v>
      </c>
      <c r="L7" s="7">
        <v>43808.375</v>
      </c>
      <c r="M7" s="3" t="s">
        <v>29</v>
      </c>
      <c r="N7" s="9">
        <v>967.5</v>
      </c>
      <c r="O7" s="9">
        <v>0</v>
      </c>
      <c r="P7" s="12" t="s">
        <v>24</v>
      </c>
      <c r="Q7" s="9">
        <v>0</v>
      </c>
      <c r="R7" s="11">
        <v>0</v>
      </c>
      <c r="S7" s="10">
        <v>967.5</v>
      </c>
      <c r="T7" s="9">
        <v>0</v>
      </c>
      <c r="U7" s="14">
        <v>1</v>
      </c>
      <c r="V7" s="12" t="s">
        <v>166</v>
      </c>
      <c r="W7" s="9"/>
      <c r="X7" s="9"/>
    </row>
    <row r="8" spans="1:24" x14ac:dyDescent="0.35">
      <c r="A8" s="3">
        <v>3</v>
      </c>
      <c r="B8" s="3" t="s">
        <v>31</v>
      </c>
      <c r="C8" s="8">
        <v>43808.541666666701</v>
      </c>
      <c r="D8" s="8">
        <v>43813.5</v>
      </c>
      <c r="E8" s="12" t="s">
        <v>35</v>
      </c>
      <c r="F8" s="12" t="s">
        <v>36</v>
      </c>
      <c r="G8" s="9">
        <v>840</v>
      </c>
      <c r="H8" s="9">
        <v>950.5</v>
      </c>
      <c r="I8" s="9">
        <v>0</v>
      </c>
      <c r="J8" s="9">
        <v>0</v>
      </c>
      <c r="K8" s="9">
        <v>1790.5</v>
      </c>
      <c r="L8" s="7">
        <v>43808.541666666701</v>
      </c>
      <c r="M8" s="3" t="s">
        <v>173</v>
      </c>
      <c r="N8" s="9">
        <v>1214.5</v>
      </c>
      <c r="O8" s="9">
        <v>336</v>
      </c>
      <c r="P8" s="12" t="s">
        <v>51</v>
      </c>
      <c r="Q8" s="9">
        <v>0</v>
      </c>
      <c r="R8" s="11">
        <v>0</v>
      </c>
      <c r="S8" s="10">
        <v>1214.5</v>
      </c>
      <c r="T8" s="9">
        <v>336</v>
      </c>
      <c r="U8" s="14">
        <v>0.43999999761581399</v>
      </c>
      <c r="V8" s="12" t="s">
        <v>169</v>
      </c>
      <c r="W8" s="9"/>
      <c r="X8" s="9"/>
    </row>
    <row r="9" spans="1:24" x14ac:dyDescent="0.35">
      <c r="A9" s="3">
        <v>4</v>
      </c>
      <c r="B9" s="3" t="s">
        <v>37</v>
      </c>
      <c r="C9" s="8">
        <v>43813.541666666701</v>
      </c>
      <c r="D9" s="8">
        <v>43816.625</v>
      </c>
      <c r="E9" s="12" t="s">
        <v>41</v>
      </c>
      <c r="F9" s="12" t="s">
        <v>42</v>
      </c>
      <c r="G9" s="9">
        <v>640</v>
      </c>
      <c r="H9" s="9">
        <v>8819</v>
      </c>
      <c r="I9" s="9">
        <v>0</v>
      </c>
      <c r="J9" s="9">
        <v>0</v>
      </c>
      <c r="K9" s="9">
        <v>9459</v>
      </c>
      <c r="L9" s="3"/>
      <c r="M9" s="3" t="s">
        <v>24</v>
      </c>
      <c r="N9" s="9">
        <v>0</v>
      </c>
      <c r="O9" s="9">
        <v>9459</v>
      </c>
      <c r="P9" s="12" t="s">
        <v>41</v>
      </c>
      <c r="Q9" s="9">
        <v>0</v>
      </c>
      <c r="R9" s="11">
        <v>0</v>
      </c>
      <c r="S9" s="10">
        <v>0</v>
      </c>
      <c r="T9" s="9">
        <v>9459</v>
      </c>
      <c r="U9" s="14">
        <v>0</v>
      </c>
      <c r="V9" s="12" t="s">
        <v>170</v>
      </c>
      <c r="W9" s="9"/>
      <c r="X9" s="9"/>
    </row>
    <row r="10" spans="1:24" ht="22" x14ac:dyDescent="0.35">
      <c r="A10" s="3">
        <v>5</v>
      </c>
      <c r="B10" s="3" t="s">
        <v>43</v>
      </c>
      <c r="C10" s="8">
        <v>43816.625</v>
      </c>
      <c r="D10" s="8">
        <v>43827.708333333299</v>
      </c>
      <c r="E10" s="12" t="s">
        <v>47</v>
      </c>
      <c r="F10" s="12" t="s">
        <v>42</v>
      </c>
      <c r="G10" s="9">
        <v>2880</v>
      </c>
      <c r="H10" s="9">
        <v>3166.5</v>
      </c>
      <c r="I10" s="9">
        <v>0</v>
      </c>
      <c r="J10" s="9">
        <v>0</v>
      </c>
      <c r="K10" s="9">
        <v>6046.5</v>
      </c>
      <c r="L10" s="3"/>
      <c r="M10" s="3" t="s">
        <v>24</v>
      </c>
      <c r="N10" s="9">
        <v>0</v>
      </c>
      <c r="O10" s="9">
        <v>6046.5</v>
      </c>
      <c r="P10" s="12" t="s">
        <v>47</v>
      </c>
      <c r="Q10" s="9">
        <v>0</v>
      </c>
      <c r="R10" s="11">
        <v>0</v>
      </c>
      <c r="S10" s="10">
        <v>0</v>
      </c>
      <c r="T10" s="9">
        <v>6046.5</v>
      </c>
      <c r="U10" s="14">
        <v>0</v>
      </c>
      <c r="V10" s="12" t="s">
        <v>170</v>
      </c>
      <c r="W10" s="9"/>
      <c r="X10" s="9"/>
    </row>
    <row r="11" spans="1:24" x14ac:dyDescent="0.35">
      <c r="A11" s="3">
        <v>6</v>
      </c>
      <c r="B11" s="3" t="s">
        <v>48</v>
      </c>
      <c r="C11" s="8">
        <v>43830.583333333299</v>
      </c>
      <c r="D11" s="8">
        <v>43832.583333333299</v>
      </c>
      <c r="E11" s="12" t="s">
        <v>51</v>
      </c>
      <c r="F11" s="12" t="s">
        <v>52</v>
      </c>
      <c r="G11" s="9">
        <v>448</v>
      </c>
      <c r="H11" s="9">
        <v>1802.5</v>
      </c>
      <c r="I11" s="9">
        <v>0</v>
      </c>
      <c r="J11" s="9">
        <v>0</v>
      </c>
      <c r="K11" s="9">
        <v>2250.5</v>
      </c>
      <c r="L11" s="7">
        <v>43808.541666666701</v>
      </c>
      <c r="M11" s="3" t="s">
        <v>173</v>
      </c>
      <c r="N11" s="9">
        <v>2154.5</v>
      </c>
      <c r="O11" s="9">
        <v>160</v>
      </c>
      <c r="P11" s="12" t="s">
        <v>174</v>
      </c>
      <c r="Q11" s="9">
        <v>0</v>
      </c>
      <c r="R11" s="11">
        <v>0</v>
      </c>
      <c r="S11" s="10">
        <v>2154.5</v>
      </c>
      <c r="T11" s="9">
        <v>160</v>
      </c>
      <c r="U11" s="14">
        <v>0.6875</v>
      </c>
      <c r="V11" s="12" t="s">
        <v>169</v>
      </c>
      <c r="W11" s="9"/>
      <c r="X11" s="9"/>
    </row>
    <row r="12" spans="1:24" x14ac:dyDescent="0.35">
      <c r="A12" s="3">
        <v>7</v>
      </c>
      <c r="B12" s="3" t="s">
        <v>53</v>
      </c>
      <c r="C12" s="8">
        <v>43815.416666666701</v>
      </c>
      <c r="D12" s="8">
        <v>43822.416666666701</v>
      </c>
      <c r="E12" s="12" t="s">
        <v>56</v>
      </c>
      <c r="F12" s="12" t="s">
        <v>57</v>
      </c>
      <c r="G12" s="9">
        <v>672</v>
      </c>
      <c r="H12" s="9">
        <v>1970.5</v>
      </c>
      <c r="I12" s="9">
        <v>0</v>
      </c>
      <c r="J12" s="9">
        <v>0</v>
      </c>
      <c r="K12" s="9">
        <v>2642.5</v>
      </c>
      <c r="L12" s="3"/>
      <c r="M12" s="3" t="s">
        <v>24</v>
      </c>
      <c r="N12" s="9">
        <v>0</v>
      </c>
      <c r="O12" s="9">
        <v>2642.5</v>
      </c>
      <c r="P12" s="12" t="s">
        <v>56</v>
      </c>
      <c r="Q12" s="9">
        <v>0</v>
      </c>
      <c r="R12" s="11">
        <v>0</v>
      </c>
      <c r="S12" s="10">
        <v>0</v>
      </c>
      <c r="T12" s="9">
        <v>2642.5</v>
      </c>
      <c r="U12" s="14">
        <v>0</v>
      </c>
      <c r="V12" s="12" t="s">
        <v>170</v>
      </c>
      <c r="W12" s="9"/>
      <c r="X12" s="9"/>
    </row>
    <row r="13" spans="1:24" ht="22" x14ac:dyDescent="0.35">
      <c r="A13" s="3">
        <v>8</v>
      </c>
      <c r="B13" s="3" t="s">
        <v>58</v>
      </c>
      <c r="C13" s="8">
        <v>43831.583333333299</v>
      </c>
      <c r="D13" s="8">
        <v>43832.583333333299</v>
      </c>
      <c r="E13" s="12" t="s">
        <v>61</v>
      </c>
      <c r="F13" s="12" t="s">
        <v>57</v>
      </c>
      <c r="G13" s="9">
        <v>112</v>
      </c>
      <c r="H13" s="9">
        <v>602.5</v>
      </c>
      <c r="I13" s="9">
        <v>0</v>
      </c>
      <c r="J13" s="9">
        <v>0</v>
      </c>
      <c r="K13" s="9">
        <v>714.5</v>
      </c>
      <c r="L13" s="3"/>
      <c r="M13" s="3" t="s">
        <v>24</v>
      </c>
      <c r="N13" s="9">
        <v>0</v>
      </c>
      <c r="O13" s="9">
        <v>714.5</v>
      </c>
      <c r="P13" s="12" t="s">
        <v>61</v>
      </c>
      <c r="Q13" s="9">
        <v>0</v>
      </c>
      <c r="R13" s="11">
        <v>0</v>
      </c>
      <c r="S13" s="10">
        <v>0</v>
      </c>
      <c r="T13" s="9">
        <v>714.5</v>
      </c>
      <c r="U13" s="14">
        <v>0</v>
      </c>
      <c r="V13" s="12" t="s">
        <v>170</v>
      </c>
      <c r="W13" s="9"/>
      <c r="X13" s="9"/>
    </row>
    <row r="14" spans="1:24" x14ac:dyDescent="0.35">
      <c r="A14" s="3">
        <v>9</v>
      </c>
      <c r="B14" s="3" t="s">
        <v>62</v>
      </c>
      <c r="C14" s="8">
        <v>43829.583333333299</v>
      </c>
      <c r="D14" s="8">
        <v>43830.583333333299</v>
      </c>
      <c r="E14" s="12" t="s">
        <v>61</v>
      </c>
      <c r="F14" s="12" t="s">
        <v>57</v>
      </c>
      <c r="G14" s="9">
        <v>112</v>
      </c>
      <c r="H14" s="9">
        <v>602.5</v>
      </c>
      <c r="I14" s="9">
        <v>0</v>
      </c>
      <c r="J14" s="9">
        <v>0</v>
      </c>
      <c r="K14" s="9">
        <v>714.5</v>
      </c>
      <c r="L14" s="3"/>
      <c r="M14" s="3" t="s">
        <v>24</v>
      </c>
      <c r="N14" s="9">
        <v>0</v>
      </c>
      <c r="O14" s="9">
        <v>714.5</v>
      </c>
      <c r="P14" s="12" t="s">
        <v>61</v>
      </c>
      <c r="Q14" s="9">
        <v>0</v>
      </c>
      <c r="R14" s="11">
        <v>0</v>
      </c>
      <c r="S14" s="10">
        <v>0</v>
      </c>
      <c r="T14" s="9">
        <v>714.5</v>
      </c>
      <c r="U14" s="14">
        <v>0</v>
      </c>
      <c r="V14" s="12" t="s">
        <v>170</v>
      </c>
      <c r="W14" s="9"/>
      <c r="X14" s="9"/>
    </row>
    <row r="15" spans="1:24" ht="22" x14ac:dyDescent="0.35">
      <c r="A15" s="3">
        <v>10</v>
      </c>
      <c r="B15" s="3" t="s">
        <v>64</v>
      </c>
      <c r="C15" s="8">
        <v>43829.375</v>
      </c>
      <c r="D15" s="8">
        <v>43829.708333333299</v>
      </c>
      <c r="E15" s="12" t="s">
        <v>61</v>
      </c>
      <c r="F15" s="12" t="s">
        <v>67</v>
      </c>
      <c r="G15" s="9">
        <v>56</v>
      </c>
      <c r="H15" s="9">
        <v>602.5</v>
      </c>
      <c r="I15" s="9">
        <v>0</v>
      </c>
      <c r="J15" s="9">
        <v>0</v>
      </c>
      <c r="K15" s="9">
        <v>658.5</v>
      </c>
      <c r="L15" s="3"/>
      <c r="M15" s="3" t="s">
        <v>24</v>
      </c>
      <c r="N15" s="9">
        <v>0</v>
      </c>
      <c r="O15" s="9">
        <v>658.5</v>
      </c>
      <c r="P15" s="12" t="s">
        <v>61</v>
      </c>
      <c r="Q15" s="9">
        <v>0</v>
      </c>
      <c r="R15" s="11">
        <v>0</v>
      </c>
      <c r="S15" s="10">
        <v>0</v>
      </c>
      <c r="T15" s="9">
        <v>658.5</v>
      </c>
      <c r="U15" s="14">
        <v>0</v>
      </c>
      <c r="V15" s="12" t="s">
        <v>170</v>
      </c>
      <c r="W15" s="9"/>
      <c r="X15" s="9"/>
    </row>
    <row r="16" spans="1:24" x14ac:dyDescent="0.35">
      <c r="A16" s="3">
        <v>11</v>
      </c>
      <c r="B16" s="3" t="s">
        <v>68</v>
      </c>
      <c r="C16" s="8">
        <v>43813.416666666701</v>
      </c>
      <c r="D16" s="8">
        <v>43815.416666666701</v>
      </c>
      <c r="E16" s="12" t="s">
        <v>61</v>
      </c>
      <c r="F16" s="12" t="s">
        <v>67</v>
      </c>
      <c r="G16" s="9">
        <v>56</v>
      </c>
      <c r="H16" s="9">
        <v>602.5</v>
      </c>
      <c r="I16" s="9">
        <v>0</v>
      </c>
      <c r="J16" s="9">
        <v>0</v>
      </c>
      <c r="K16" s="9">
        <v>658.5</v>
      </c>
      <c r="L16" s="3"/>
      <c r="M16" s="3" t="s">
        <v>24</v>
      </c>
      <c r="N16" s="9">
        <v>0</v>
      </c>
      <c r="O16" s="9">
        <v>658.5</v>
      </c>
      <c r="P16" s="12" t="s">
        <v>61</v>
      </c>
      <c r="Q16" s="9">
        <v>0</v>
      </c>
      <c r="R16" s="11">
        <v>0</v>
      </c>
      <c r="S16" s="10">
        <v>0</v>
      </c>
      <c r="T16" s="9">
        <v>658.5</v>
      </c>
      <c r="U16" s="14">
        <v>0</v>
      </c>
      <c r="V16" s="12" t="s">
        <v>170</v>
      </c>
      <c r="W16" s="9"/>
      <c r="X16" s="9"/>
    </row>
    <row r="17" spans="1:24" ht="22" x14ac:dyDescent="0.35">
      <c r="A17" s="3">
        <v>13</v>
      </c>
      <c r="B17" s="3" t="s">
        <v>70</v>
      </c>
      <c r="C17" s="8">
        <v>43823.416666666701</v>
      </c>
      <c r="D17" s="8">
        <v>43823.583333333299</v>
      </c>
      <c r="E17" s="12" t="s">
        <v>29</v>
      </c>
      <c r="F17" s="12" t="s">
        <v>67</v>
      </c>
      <c r="G17" s="9">
        <v>24</v>
      </c>
      <c r="H17" s="9">
        <v>602.5</v>
      </c>
      <c r="I17" s="9">
        <v>0</v>
      </c>
      <c r="J17" s="9">
        <v>0</v>
      </c>
      <c r="K17" s="9">
        <v>626.5</v>
      </c>
      <c r="L17" s="3"/>
      <c r="M17" s="3" t="s">
        <v>24</v>
      </c>
      <c r="N17" s="9">
        <v>0</v>
      </c>
      <c r="O17" s="9">
        <v>626.5</v>
      </c>
      <c r="P17" s="12" t="s">
        <v>29</v>
      </c>
      <c r="Q17" s="9">
        <v>0</v>
      </c>
      <c r="R17" s="11">
        <v>0</v>
      </c>
      <c r="S17" s="10">
        <v>0</v>
      </c>
      <c r="T17" s="9">
        <v>626.5</v>
      </c>
      <c r="U17" s="14">
        <v>0</v>
      </c>
      <c r="V17" s="12" t="s">
        <v>170</v>
      </c>
      <c r="W17" s="9"/>
      <c r="X17" s="9"/>
    </row>
    <row r="18" spans="1:24" x14ac:dyDescent="0.35">
      <c r="A18" s="3">
        <v>14</v>
      </c>
      <c r="B18" s="3" t="s">
        <v>74</v>
      </c>
      <c r="C18" s="8">
        <v>43836.583333333299</v>
      </c>
      <c r="D18" s="8">
        <v>43838.583333333299</v>
      </c>
      <c r="E18" s="12" t="s">
        <v>51</v>
      </c>
      <c r="F18" s="12" t="s">
        <v>77</v>
      </c>
      <c r="G18" s="9">
        <v>672</v>
      </c>
      <c r="H18" s="9">
        <v>602.5</v>
      </c>
      <c r="I18" s="9">
        <v>0</v>
      </c>
      <c r="J18" s="9">
        <v>0</v>
      </c>
      <c r="K18" s="9">
        <v>1274.5</v>
      </c>
      <c r="L18" s="3"/>
      <c r="M18" s="3" t="s">
        <v>24</v>
      </c>
      <c r="N18" s="9">
        <v>0</v>
      </c>
      <c r="O18" s="9">
        <v>1274.5</v>
      </c>
      <c r="P18" s="12" t="s">
        <v>51</v>
      </c>
      <c r="Q18" s="9">
        <v>0</v>
      </c>
      <c r="R18" s="11">
        <v>0</v>
      </c>
      <c r="S18" s="10">
        <v>0</v>
      </c>
      <c r="T18" s="9">
        <v>1274.5</v>
      </c>
      <c r="U18" s="14">
        <v>0</v>
      </c>
      <c r="V18" s="12" t="s">
        <v>170</v>
      </c>
      <c r="W18" s="9"/>
      <c r="X18" s="9"/>
    </row>
    <row r="19" spans="1:24" x14ac:dyDescent="0.35">
      <c r="A19" s="3">
        <v>15</v>
      </c>
      <c r="B19" s="3" t="s">
        <v>78</v>
      </c>
      <c r="C19" s="8">
        <v>43829.583333333299</v>
      </c>
      <c r="D19" s="8">
        <v>43830.583333333299</v>
      </c>
      <c r="E19" s="12" t="s">
        <v>61</v>
      </c>
      <c r="F19" s="12" t="s">
        <v>57</v>
      </c>
      <c r="G19" s="9">
        <v>112</v>
      </c>
      <c r="H19" s="9">
        <v>602.5</v>
      </c>
      <c r="I19" s="9">
        <v>0</v>
      </c>
      <c r="J19" s="9">
        <v>0</v>
      </c>
      <c r="K19" s="9">
        <v>714.5</v>
      </c>
      <c r="L19" s="3"/>
      <c r="M19" s="3" t="s">
        <v>24</v>
      </c>
      <c r="N19" s="9">
        <v>0</v>
      </c>
      <c r="O19" s="9">
        <v>714.5</v>
      </c>
      <c r="P19" s="12" t="s">
        <v>61</v>
      </c>
      <c r="Q19" s="9">
        <v>0</v>
      </c>
      <c r="R19" s="11">
        <v>0</v>
      </c>
      <c r="S19" s="10">
        <v>0</v>
      </c>
      <c r="T19" s="9">
        <v>714.5</v>
      </c>
      <c r="U19" s="14">
        <v>0</v>
      </c>
      <c r="V19" s="12" t="s">
        <v>170</v>
      </c>
      <c r="W19" s="9"/>
      <c r="X19" s="9"/>
    </row>
    <row r="20" spans="1:24" x14ac:dyDescent="0.35">
      <c r="A20" s="3">
        <v>16</v>
      </c>
      <c r="B20" s="3" t="s">
        <v>80</v>
      </c>
      <c r="C20" s="8">
        <v>43827.416666666701</v>
      </c>
      <c r="D20" s="8">
        <v>43827.583333333299</v>
      </c>
      <c r="E20" s="12" t="s">
        <v>29</v>
      </c>
      <c r="F20" s="12" t="s">
        <v>57</v>
      </c>
      <c r="G20" s="9">
        <v>48</v>
      </c>
      <c r="H20" s="9">
        <v>602.5</v>
      </c>
      <c r="I20" s="9">
        <v>0</v>
      </c>
      <c r="J20" s="9">
        <v>0</v>
      </c>
      <c r="K20" s="9">
        <v>650.5</v>
      </c>
      <c r="L20" s="3"/>
      <c r="M20" s="3" t="s">
        <v>24</v>
      </c>
      <c r="N20" s="9">
        <v>0</v>
      </c>
      <c r="O20" s="9">
        <v>650.5</v>
      </c>
      <c r="P20" s="12" t="s">
        <v>29</v>
      </c>
      <c r="Q20" s="9">
        <v>0</v>
      </c>
      <c r="R20" s="11">
        <v>0</v>
      </c>
      <c r="S20" s="10">
        <v>0</v>
      </c>
      <c r="T20" s="9">
        <v>650.5</v>
      </c>
      <c r="U20" s="14">
        <v>0</v>
      </c>
      <c r="V20" s="12" t="s">
        <v>170</v>
      </c>
      <c r="W20" s="9"/>
      <c r="X20" s="9"/>
    </row>
    <row r="21" spans="1:24" x14ac:dyDescent="0.35">
      <c r="A21" s="3">
        <v>17</v>
      </c>
      <c r="B21" s="3" t="s">
        <v>82</v>
      </c>
      <c r="C21" s="8">
        <v>43822.416666666701</v>
      </c>
      <c r="D21" s="8">
        <v>43823.416666666701</v>
      </c>
      <c r="E21" s="12" t="s">
        <v>61</v>
      </c>
      <c r="F21" s="12" t="s">
        <v>85</v>
      </c>
      <c r="G21" s="9">
        <v>140</v>
      </c>
      <c r="H21" s="9">
        <v>3302.5</v>
      </c>
      <c r="I21" s="9">
        <v>0</v>
      </c>
      <c r="J21" s="9">
        <v>0</v>
      </c>
      <c r="K21" s="9">
        <v>3442.5</v>
      </c>
      <c r="L21" s="3"/>
      <c r="M21" s="3" t="s">
        <v>24</v>
      </c>
      <c r="N21" s="9">
        <v>0</v>
      </c>
      <c r="O21" s="9">
        <v>3442.5</v>
      </c>
      <c r="P21" s="12" t="s">
        <v>61</v>
      </c>
      <c r="Q21" s="9">
        <v>0</v>
      </c>
      <c r="R21" s="11">
        <v>0</v>
      </c>
      <c r="S21" s="10">
        <v>0</v>
      </c>
      <c r="T21" s="9">
        <v>3442.5</v>
      </c>
      <c r="U21" s="14">
        <v>0</v>
      </c>
      <c r="V21" s="12" t="s">
        <v>170</v>
      </c>
      <c r="W21" s="9"/>
      <c r="X21" s="9"/>
    </row>
    <row r="22" spans="1:24" x14ac:dyDescent="0.35">
      <c r="A22" s="3">
        <v>18</v>
      </c>
      <c r="B22" s="3" t="s">
        <v>86</v>
      </c>
      <c r="C22" s="8">
        <v>43832.583333333299</v>
      </c>
      <c r="D22" s="8">
        <v>43833.583333333299</v>
      </c>
      <c r="E22" s="12" t="s">
        <v>61</v>
      </c>
      <c r="F22" s="12" t="s">
        <v>57</v>
      </c>
      <c r="G22" s="9">
        <v>112</v>
      </c>
      <c r="H22" s="9">
        <v>602.5</v>
      </c>
      <c r="I22" s="9">
        <v>0</v>
      </c>
      <c r="J22" s="9">
        <v>0</v>
      </c>
      <c r="K22" s="9">
        <v>714.5</v>
      </c>
      <c r="L22" s="3"/>
      <c r="M22" s="3" t="s">
        <v>24</v>
      </c>
      <c r="N22" s="9">
        <v>0</v>
      </c>
      <c r="O22" s="9">
        <v>714.5</v>
      </c>
      <c r="P22" s="12" t="s">
        <v>61</v>
      </c>
      <c r="Q22" s="9">
        <v>0</v>
      </c>
      <c r="R22" s="11">
        <v>0</v>
      </c>
      <c r="S22" s="10">
        <v>0</v>
      </c>
      <c r="T22" s="9">
        <v>714.5</v>
      </c>
      <c r="U22" s="14">
        <v>0</v>
      </c>
      <c r="V22" s="12" t="s">
        <v>170</v>
      </c>
      <c r="W22" s="9"/>
      <c r="X22" s="9"/>
    </row>
    <row r="23" spans="1:24" ht="22" x14ac:dyDescent="0.35">
      <c r="A23" s="3">
        <v>19</v>
      </c>
      <c r="B23" s="3" t="s">
        <v>88</v>
      </c>
      <c r="C23" s="8">
        <v>43833.583333333299</v>
      </c>
      <c r="D23" s="8">
        <v>43836.583333333299</v>
      </c>
      <c r="E23" s="12" t="s">
        <v>51</v>
      </c>
      <c r="F23" s="12" t="s">
        <v>77</v>
      </c>
      <c r="G23" s="9">
        <v>672</v>
      </c>
      <c r="H23" s="9">
        <v>2252.5</v>
      </c>
      <c r="I23" s="9">
        <v>0</v>
      </c>
      <c r="J23" s="9">
        <v>0</v>
      </c>
      <c r="K23" s="9">
        <v>2924.5</v>
      </c>
      <c r="L23" s="3"/>
      <c r="M23" s="3" t="s">
        <v>24</v>
      </c>
      <c r="N23" s="9">
        <v>0</v>
      </c>
      <c r="O23" s="9">
        <v>2924.5</v>
      </c>
      <c r="P23" s="12" t="s">
        <v>51</v>
      </c>
      <c r="Q23" s="9">
        <v>0</v>
      </c>
      <c r="R23" s="11">
        <v>0</v>
      </c>
      <c r="S23" s="10">
        <v>0</v>
      </c>
      <c r="T23" s="9">
        <v>2924.5</v>
      </c>
      <c r="U23" s="14">
        <v>0</v>
      </c>
      <c r="V23" s="12" t="s">
        <v>170</v>
      </c>
      <c r="W23" s="9"/>
      <c r="X23" s="9"/>
    </row>
    <row r="24" spans="1:24" x14ac:dyDescent="0.35">
      <c r="A24" s="3">
        <v>20</v>
      </c>
      <c r="B24" s="3" t="s">
        <v>91</v>
      </c>
      <c r="C24" s="8">
        <v>43824.416666666701</v>
      </c>
      <c r="D24" s="8">
        <v>43825.416666666701</v>
      </c>
      <c r="E24" s="12" t="s">
        <v>61</v>
      </c>
      <c r="F24" s="12" t="s">
        <v>67</v>
      </c>
      <c r="G24" s="9">
        <v>56</v>
      </c>
      <c r="H24" s="9">
        <v>28602.5</v>
      </c>
      <c r="I24" s="9">
        <v>0</v>
      </c>
      <c r="J24" s="9">
        <v>0</v>
      </c>
      <c r="K24" s="9">
        <v>28658.5</v>
      </c>
      <c r="L24" s="3"/>
      <c r="M24" s="3" t="s">
        <v>24</v>
      </c>
      <c r="N24" s="9">
        <v>0</v>
      </c>
      <c r="O24" s="9">
        <v>28658.5</v>
      </c>
      <c r="P24" s="12" t="s">
        <v>61</v>
      </c>
      <c r="Q24" s="9">
        <v>0</v>
      </c>
      <c r="R24" s="11">
        <v>0</v>
      </c>
      <c r="S24" s="10">
        <v>0</v>
      </c>
      <c r="T24" s="9">
        <v>28658.5</v>
      </c>
      <c r="U24" s="14">
        <v>0</v>
      </c>
      <c r="V24" s="12" t="s">
        <v>170</v>
      </c>
      <c r="W24" s="9"/>
      <c r="X24" s="9"/>
    </row>
    <row r="25" spans="1:24" ht="22" x14ac:dyDescent="0.35">
      <c r="A25" s="3">
        <v>21</v>
      </c>
      <c r="B25" s="3" t="s">
        <v>95</v>
      </c>
      <c r="C25" s="8">
        <v>43830.583333333299</v>
      </c>
      <c r="D25" s="8">
        <v>43831.583333333299</v>
      </c>
      <c r="E25" s="12" t="s">
        <v>61</v>
      </c>
      <c r="F25" s="12" t="s">
        <v>36</v>
      </c>
      <c r="G25" s="9">
        <v>168</v>
      </c>
      <c r="H25" s="9">
        <v>3677.5</v>
      </c>
      <c r="I25" s="9">
        <v>0</v>
      </c>
      <c r="J25" s="9">
        <v>0</v>
      </c>
      <c r="K25" s="9">
        <v>3845.5</v>
      </c>
      <c r="L25" s="3"/>
      <c r="M25" s="3" t="s">
        <v>24</v>
      </c>
      <c r="N25" s="9">
        <v>0</v>
      </c>
      <c r="O25" s="9">
        <v>3845.5</v>
      </c>
      <c r="P25" s="12" t="s">
        <v>61</v>
      </c>
      <c r="Q25" s="9">
        <v>0</v>
      </c>
      <c r="R25" s="11">
        <v>0</v>
      </c>
      <c r="S25" s="10">
        <v>0</v>
      </c>
      <c r="T25" s="9">
        <v>3845.5</v>
      </c>
      <c r="U25" s="14">
        <v>0</v>
      </c>
      <c r="V25" s="12" t="s">
        <v>170</v>
      </c>
      <c r="W25" s="9"/>
      <c r="X25" s="9"/>
    </row>
    <row r="26" spans="1:24" x14ac:dyDescent="0.35">
      <c r="A26" s="3">
        <v>22</v>
      </c>
      <c r="B26" s="3" t="s">
        <v>98</v>
      </c>
      <c r="C26" s="8">
        <v>43825.416666666701</v>
      </c>
      <c r="D26" s="8">
        <v>43826.416666666701</v>
      </c>
      <c r="E26" s="12" t="s">
        <v>61</v>
      </c>
      <c r="F26" s="12" t="s">
        <v>67</v>
      </c>
      <c r="G26" s="9">
        <v>56</v>
      </c>
      <c r="H26" s="9">
        <v>602.5</v>
      </c>
      <c r="I26" s="9">
        <v>0</v>
      </c>
      <c r="J26" s="9">
        <v>0</v>
      </c>
      <c r="K26" s="9">
        <v>658.5</v>
      </c>
      <c r="L26" s="3"/>
      <c r="M26" s="3" t="s">
        <v>24</v>
      </c>
      <c r="N26" s="9">
        <v>0</v>
      </c>
      <c r="O26" s="9">
        <v>658.5</v>
      </c>
      <c r="P26" s="12" t="s">
        <v>61</v>
      </c>
      <c r="Q26" s="9">
        <v>0</v>
      </c>
      <c r="R26" s="11">
        <v>0</v>
      </c>
      <c r="S26" s="10">
        <v>0</v>
      </c>
      <c r="T26" s="9">
        <v>658.5</v>
      </c>
      <c r="U26" s="14">
        <v>0</v>
      </c>
      <c r="V26" s="12" t="s">
        <v>170</v>
      </c>
      <c r="W26" s="9"/>
      <c r="X26" s="9"/>
    </row>
    <row r="27" spans="1:24" x14ac:dyDescent="0.35">
      <c r="A27" s="3">
        <v>23</v>
      </c>
      <c r="B27" s="3" t="s">
        <v>101</v>
      </c>
      <c r="C27" s="8">
        <v>43832.583333333299</v>
      </c>
      <c r="D27" s="8">
        <v>43833.583333333299</v>
      </c>
      <c r="E27" s="12" t="s">
        <v>61</v>
      </c>
      <c r="F27" s="12" t="s">
        <v>52</v>
      </c>
      <c r="G27" s="9">
        <v>224</v>
      </c>
      <c r="H27" s="9">
        <v>43602.5</v>
      </c>
      <c r="I27" s="9">
        <v>0</v>
      </c>
      <c r="J27" s="9">
        <v>0</v>
      </c>
      <c r="K27" s="9">
        <v>43826.5</v>
      </c>
      <c r="L27" s="3"/>
      <c r="M27" s="3" t="s">
        <v>24</v>
      </c>
      <c r="N27" s="9">
        <v>0</v>
      </c>
      <c r="O27" s="9">
        <v>43826.5</v>
      </c>
      <c r="P27" s="12" t="s">
        <v>61</v>
      </c>
      <c r="Q27" s="9">
        <v>0</v>
      </c>
      <c r="R27" s="11">
        <v>0</v>
      </c>
      <c r="S27" s="10">
        <v>0</v>
      </c>
      <c r="T27" s="9">
        <v>43826.5</v>
      </c>
      <c r="U27" s="14">
        <v>0</v>
      </c>
      <c r="V27" s="12" t="s">
        <v>170</v>
      </c>
      <c r="W27" s="9"/>
      <c r="X27" s="9"/>
    </row>
    <row r="28" spans="1:24" x14ac:dyDescent="0.35">
      <c r="A28" s="3">
        <v>24</v>
      </c>
      <c r="B28" s="3" t="s">
        <v>103</v>
      </c>
      <c r="C28" s="8">
        <v>43826.416666666701</v>
      </c>
      <c r="D28" s="8">
        <v>43827.416666666701</v>
      </c>
      <c r="E28" s="12" t="s">
        <v>61</v>
      </c>
      <c r="F28" s="12" t="s">
        <v>67</v>
      </c>
      <c r="G28" s="9">
        <v>56</v>
      </c>
      <c r="H28" s="9">
        <v>1577.5</v>
      </c>
      <c r="I28" s="9">
        <v>0</v>
      </c>
      <c r="J28" s="9">
        <v>0</v>
      </c>
      <c r="K28" s="9">
        <v>1633.5</v>
      </c>
      <c r="L28" s="3"/>
      <c r="M28" s="3" t="s">
        <v>24</v>
      </c>
      <c r="N28" s="9">
        <v>0</v>
      </c>
      <c r="O28" s="9">
        <v>1633.5</v>
      </c>
      <c r="P28" s="12" t="s">
        <v>61</v>
      </c>
      <c r="Q28" s="9">
        <v>0</v>
      </c>
      <c r="R28" s="11">
        <v>0</v>
      </c>
      <c r="S28" s="10">
        <v>0</v>
      </c>
      <c r="T28" s="9">
        <v>1633.5</v>
      </c>
      <c r="U28" s="14">
        <v>0</v>
      </c>
      <c r="V28" s="12" t="s">
        <v>170</v>
      </c>
      <c r="W28" s="9"/>
      <c r="X28" s="9"/>
    </row>
    <row r="29" spans="1:24" x14ac:dyDescent="0.35">
      <c r="A29" s="3">
        <v>25</v>
      </c>
      <c r="B29" s="3" t="s">
        <v>106</v>
      </c>
      <c r="C29" s="8">
        <v>43813.416666666701</v>
      </c>
      <c r="D29" s="8">
        <v>43815.416666666701</v>
      </c>
      <c r="E29" s="12" t="s">
        <v>61</v>
      </c>
      <c r="F29" s="12" t="s">
        <v>67</v>
      </c>
      <c r="G29" s="9">
        <v>56</v>
      </c>
      <c r="H29" s="9">
        <v>2524.5</v>
      </c>
      <c r="I29" s="9">
        <v>0</v>
      </c>
      <c r="J29" s="9">
        <v>0</v>
      </c>
      <c r="K29" s="9">
        <v>2580.5</v>
      </c>
      <c r="L29" s="3"/>
      <c r="M29" s="3" t="s">
        <v>24</v>
      </c>
      <c r="N29" s="9">
        <v>0</v>
      </c>
      <c r="O29" s="9">
        <v>2580.5</v>
      </c>
      <c r="P29" s="12" t="s">
        <v>61</v>
      </c>
      <c r="Q29" s="9">
        <v>0</v>
      </c>
      <c r="R29" s="11">
        <v>0</v>
      </c>
      <c r="S29" s="10">
        <v>0</v>
      </c>
      <c r="T29" s="9">
        <v>2580.5</v>
      </c>
      <c r="U29" s="14">
        <v>0</v>
      </c>
      <c r="V29" s="12" t="s">
        <v>170</v>
      </c>
      <c r="W29" s="9"/>
      <c r="X29" s="9"/>
    </row>
    <row r="30" spans="1:24" x14ac:dyDescent="0.35">
      <c r="A30" s="3">
        <v>26</v>
      </c>
      <c r="B30" s="3" t="s">
        <v>108</v>
      </c>
      <c r="C30" s="8">
        <v>43829.583333333299</v>
      </c>
      <c r="D30" s="8">
        <v>43830.583333333299</v>
      </c>
      <c r="E30" s="12" t="s">
        <v>61</v>
      </c>
      <c r="F30" s="12" t="s">
        <v>57</v>
      </c>
      <c r="G30" s="9">
        <v>112</v>
      </c>
      <c r="H30" s="9">
        <v>3442.30004882813</v>
      </c>
      <c r="I30" s="9">
        <v>0</v>
      </c>
      <c r="J30" s="9">
        <v>0</v>
      </c>
      <c r="K30" s="9">
        <v>3554.30004882813</v>
      </c>
      <c r="L30" s="3"/>
      <c r="M30" s="3" t="s">
        <v>24</v>
      </c>
      <c r="N30" s="9">
        <v>0</v>
      </c>
      <c r="O30" s="9">
        <v>3554.30004882813</v>
      </c>
      <c r="P30" s="12" t="s">
        <v>61</v>
      </c>
      <c r="Q30" s="9">
        <v>0</v>
      </c>
      <c r="R30" s="11">
        <v>0</v>
      </c>
      <c r="S30" s="10">
        <v>0</v>
      </c>
      <c r="T30" s="9">
        <v>3554.30004882813</v>
      </c>
      <c r="U30" s="14">
        <v>0</v>
      </c>
      <c r="V30" s="12" t="s">
        <v>170</v>
      </c>
      <c r="W30" s="9"/>
      <c r="X30" s="9"/>
    </row>
    <row r="31" spans="1:24" x14ac:dyDescent="0.35">
      <c r="A31" s="3">
        <v>27</v>
      </c>
      <c r="B31" s="3" t="s">
        <v>110</v>
      </c>
      <c r="C31" s="8">
        <v>43823.416666666701</v>
      </c>
      <c r="D31" s="8">
        <v>43824.416666666701</v>
      </c>
      <c r="E31" s="12" t="s">
        <v>61</v>
      </c>
      <c r="F31" s="12" t="s">
        <v>67</v>
      </c>
      <c r="G31" s="9">
        <v>56</v>
      </c>
      <c r="H31" s="9">
        <v>2972.5</v>
      </c>
      <c r="I31" s="9">
        <v>0</v>
      </c>
      <c r="J31" s="9">
        <v>0</v>
      </c>
      <c r="K31" s="9">
        <v>3028.5</v>
      </c>
      <c r="L31" s="3"/>
      <c r="M31" s="3" t="s">
        <v>24</v>
      </c>
      <c r="N31" s="9">
        <v>0</v>
      </c>
      <c r="O31" s="9">
        <v>3028.5</v>
      </c>
      <c r="P31" s="12" t="s">
        <v>61</v>
      </c>
      <c r="Q31" s="9">
        <v>0</v>
      </c>
      <c r="R31" s="11">
        <v>0</v>
      </c>
      <c r="S31" s="10">
        <v>0</v>
      </c>
      <c r="T31" s="9">
        <v>3028.5</v>
      </c>
      <c r="U31" s="14">
        <v>0</v>
      </c>
      <c r="V31" s="12" t="s">
        <v>170</v>
      </c>
      <c r="W31" s="9"/>
      <c r="X31" s="9"/>
    </row>
    <row r="32" spans="1:24" x14ac:dyDescent="0.35">
      <c r="A32" s="3">
        <v>28</v>
      </c>
      <c r="B32" s="3" t="s">
        <v>113</v>
      </c>
      <c r="C32" s="8">
        <v>43832.583333333299</v>
      </c>
      <c r="D32" s="8">
        <v>43833.583333333299</v>
      </c>
      <c r="E32" s="12" t="s">
        <v>61</v>
      </c>
      <c r="F32" s="12" t="s">
        <v>67</v>
      </c>
      <c r="G32" s="9">
        <v>56</v>
      </c>
      <c r="H32" s="9">
        <v>1586.5</v>
      </c>
      <c r="I32" s="9">
        <v>0</v>
      </c>
      <c r="J32" s="9">
        <v>0</v>
      </c>
      <c r="K32" s="9">
        <v>1642.5</v>
      </c>
      <c r="L32" s="3"/>
      <c r="M32" s="3" t="s">
        <v>24</v>
      </c>
      <c r="N32" s="9">
        <v>0</v>
      </c>
      <c r="O32" s="9">
        <v>1642.5</v>
      </c>
      <c r="P32" s="12" t="s">
        <v>61</v>
      </c>
      <c r="Q32" s="9">
        <v>0</v>
      </c>
      <c r="R32" s="11">
        <v>0</v>
      </c>
      <c r="S32" s="10">
        <v>0</v>
      </c>
      <c r="T32" s="9">
        <v>1642.5</v>
      </c>
      <c r="U32" s="14">
        <v>0</v>
      </c>
      <c r="V32" s="12" t="s">
        <v>170</v>
      </c>
      <c r="W32" s="9"/>
      <c r="X32" s="9"/>
    </row>
    <row r="33" spans="1:24" ht="22" x14ac:dyDescent="0.35">
      <c r="A33" s="3">
        <v>29</v>
      </c>
      <c r="B33" s="3" t="s">
        <v>117</v>
      </c>
      <c r="C33" s="8">
        <v>43833.583333333299</v>
      </c>
      <c r="D33" s="8">
        <v>43833.708333333299</v>
      </c>
      <c r="E33" s="12" t="s">
        <v>29</v>
      </c>
      <c r="F33" s="12" t="s">
        <v>67</v>
      </c>
      <c r="G33" s="9">
        <v>24</v>
      </c>
      <c r="H33" s="9">
        <v>602.5</v>
      </c>
      <c r="I33" s="9">
        <v>0</v>
      </c>
      <c r="J33" s="9">
        <v>0</v>
      </c>
      <c r="K33" s="9">
        <v>626.5</v>
      </c>
      <c r="L33" s="3"/>
      <c r="M33" s="3" t="s">
        <v>24</v>
      </c>
      <c r="N33" s="9">
        <v>0</v>
      </c>
      <c r="O33" s="9">
        <v>626.5</v>
      </c>
      <c r="P33" s="12" t="s">
        <v>29</v>
      </c>
      <c r="Q33" s="9">
        <v>0</v>
      </c>
      <c r="R33" s="11">
        <v>0</v>
      </c>
      <c r="S33" s="10">
        <v>0</v>
      </c>
      <c r="T33" s="9">
        <v>626.5</v>
      </c>
      <c r="U33" s="14">
        <v>0</v>
      </c>
      <c r="V33" s="12" t="s">
        <v>170</v>
      </c>
      <c r="W33" s="9"/>
      <c r="X33" s="9"/>
    </row>
    <row r="34" spans="1:24" x14ac:dyDescent="0.35">
      <c r="A34" s="3">
        <v>30</v>
      </c>
      <c r="B34" s="3" t="s">
        <v>120</v>
      </c>
      <c r="C34" s="8">
        <v>43838.583333333299</v>
      </c>
      <c r="D34" s="8">
        <v>43839.5</v>
      </c>
      <c r="E34" s="12" t="s">
        <v>124</v>
      </c>
      <c r="F34" s="12" t="s">
        <v>67</v>
      </c>
      <c r="G34" s="9">
        <v>48</v>
      </c>
      <c r="H34" s="9">
        <v>602.5</v>
      </c>
      <c r="I34" s="9">
        <v>0</v>
      </c>
      <c r="J34" s="9">
        <v>0</v>
      </c>
      <c r="K34" s="9">
        <v>650.5</v>
      </c>
      <c r="L34" s="3"/>
      <c r="M34" s="3" t="s">
        <v>24</v>
      </c>
      <c r="N34" s="9">
        <v>0</v>
      </c>
      <c r="O34" s="9">
        <v>650.5</v>
      </c>
      <c r="P34" s="12" t="s">
        <v>124</v>
      </c>
      <c r="Q34" s="9">
        <v>0</v>
      </c>
      <c r="R34" s="11">
        <v>0</v>
      </c>
      <c r="S34" s="10">
        <v>0</v>
      </c>
      <c r="T34" s="9">
        <v>650.5</v>
      </c>
      <c r="U34" s="14">
        <v>0</v>
      </c>
      <c r="V34" s="12" t="s">
        <v>170</v>
      </c>
      <c r="W34" s="9"/>
      <c r="X34" s="9"/>
    </row>
    <row r="35" spans="1:24" x14ac:dyDescent="0.35">
      <c r="A35" s="3">
        <v>31</v>
      </c>
      <c r="B35" s="3" t="s">
        <v>125</v>
      </c>
      <c r="C35" s="8">
        <v>43839.5</v>
      </c>
      <c r="D35" s="8">
        <v>43839.5</v>
      </c>
      <c r="E35" s="12" t="s">
        <v>24</v>
      </c>
      <c r="F35" s="12"/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3"/>
      <c r="M35" s="3" t="s">
        <v>24</v>
      </c>
      <c r="N35" s="9">
        <v>0</v>
      </c>
      <c r="O35" s="9">
        <v>0</v>
      </c>
      <c r="P35" s="12" t="s">
        <v>24</v>
      </c>
      <c r="Q35" s="9">
        <v>0</v>
      </c>
      <c r="R35" s="11">
        <v>0</v>
      </c>
      <c r="S35" s="10">
        <v>0</v>
      </c>
      <c r="T35" s="9">
        <v>0</v>
      </c>
      <c r="U35" s="14">
        <v>0</v>
      </c>
      <c r="V35" s="12" t="s">
        <v>170</v>
      </c>
      <c r="W35" s="9"/>
      <c r="X35" s="9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Blad7"/>
  <dimension ref="A1:X35"/>
  <sheetViews>
    <sheetView topLeftCell="C1" workbookViewId="0">
      <selection activeCell="W5" sqref="W5:X35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150</v>
      </c>
      <c r="C1" s="7">
        <v>43810.708333333299</v>
      </c>
      <c r="E1" s="1" t="s">
        <v>151</v>
      </c>
      <c r="F1" s="4" t="s">
        <v>175</v>
      </c>
    </row>
    <row r="3" spans="1:24" x14ac:dyDescent="0.35">
      <c r="A3" s="24" t="s">
        <v>0</v>
      </c>
      <c r="B3" s="24"/>
      <c r="C3" s="24" t="s">
        <v>2</v>
      </c>
      <c r="D3" s="24"/>
      <c r="E3" s="24"/>
      <c r="F3" s="24" t="s">
        <v>3</v>
      </c>
      <c r="G3" s="24"/>
      <c r="H3" s="24" t="s">
        <v>4</v>
      </c>
      <c r="I3" s="24"/>
      <c r="J3" s="24"/>
      <c r="K3" s="24"/>
      <c r="L3" s="24" t="s">
        <v>152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153</v>
      </c>
      <c r="M4" s="1" t="s">
        <v>154</v>
      </c>
      <c r="N4" s="1" t="s">
        <v>155</v>
      </c>
      <c r="O4" s="1" t="s">
        <v>156</v>
      </c>
      <c r="P4" s="1" t="s">
        <v>157</v>
      </c>
      <c r="Q4" s="1" t="s">
        <v>158</v>
      </c>
      <c r="R4" s="1" t="s">
        <v>159</v>
      </c>
      <c r="S4" s="1" t="s">
        <v>160</v>
      </c>
      <c r="T4" s="1" t="s">
        <v>161</v>
      </c>
      <c r="U4" s="1" t="s">
        <v>162</v>
      </c>
      <c r="V4" s="1" t="s">
        <v>152</v>
      </c>
      <c r="W4" s="1" t="s">
        <v>163</v>
      </c>
      <c r="X4" s="1" t="s">
        <v>164</v>
      </c>
    </row>
    <row r="5" spans="1:24" x14ac:dyDescent="0.35">
      <c r="A5" s="2">
        <v>0</v>
      </c>
      <c r="B5" s="3" t="s">
        <v>18</v>
      </c>
      <c r="C5" s="5">
        <v>43808.375</v>
      </c>
      <c r="D5" s="5">
        <v>43839.5</v>
      </c>
      <c r="E5" s="2" t="s">
        <v>20</v>
      </c>
      <c r="F5" s="2"/>
      <c r="G5" s="6"/>
      <c r="H5" s="6">
        <v>118411.30004882799</v>
      </c>
      <c r="I5" s="6"/>
      <c r="J5" s="6"/>
      <c r="K5" s="6">
        <v>126955.30004882799</v>
      </c>
      <c r="L5" s="2"/>
      <c r="M5" s="2" t="s">
        <v>168</v>
      </c>
      <c r="N5" s="6"/>
      <c r="O5" s="6"/>
      <c r="P5" s="2"/>
      <c r="Q5" s="6"/>
      <c r="R5" s="6"/>
      <c r="S5" s="6">
        <v>12598</v>
      </c>
      <c r="T5" s="6"/>
      <c r="U5" s="13">
        <v>0.10038178807263699</v>
      </c>
      <c r="V5" s="2"/>
      <c r="W5" s="6"/>
      <c r="X5" s="6"/>
    </row>
    <row r="6" spans="1:24" x14ac:dyDescent="0.35">
      <c r="A6" s="3">
        <v>1</v>
      </c>
      <c r="B6" s="3" t="s">
        <v>21</v>
      </c>
      <c r="C6" s="8">
        <v>43808.375</v>
      </c>
      <c r="D6" s="8">
        <v>43806.708333333299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43808.375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166</v>
      </c>
      <c r="W6" s="9"/>
      <c r="X6" s="9"/>
    </row>
    <row r="7" spans="1:24" ht="22" x14ac:dyDescent="0.35">
      <c r="A7" s="3">
        <v>2</v>
      </c>
      <c r="B7" s="3" t="s">
        <v>25</v>
      </c>
      <c r="C7" s="8">
        <v>43808.375</v>
      </c>
      <c r="D7" s="8">
        <v>43808.5</v>
      </c>
      <c r="E7" s="12" t="s">
        <v>29</v>
      </c>
      <c r="F7" s="12" t="s">
        <v>30</v>
      </c>
      <c r="G7" s="9">
        <v>36</v>
      </c>
      <c r="H7" s="9">
        <v>931.5</v>
      </c>
      <c r="I7" s="9">
        <v>0</v>
      </c>
      <c r="J7" s="9">
        <v>0</v>
      </c>
      <c r="K7" s="9">
        <v>967.5</v>
      </c>
      <c r="L7" s="7">
        <v>43808.375</v>
      </c>
      <c r="M7" s="3" t="s">
        <v>29</v>
      </c>
      <c r="N7" s="9">
        <v>967.5</v>
      </c>
      <c r="O7" s="9">
        <v>0</v>
      </c>
      <c r="P7" s="12" t="s">
        <v>24</v>
      </c>
      <c r="Q7" s="9">
        <v>0</v>
      </c>
      <c r="R7" s="11">
        <v>0</v>
      </c>
      <c r="S7" s="10">
        <v>967.5</v>
      </c>
      <c r="T7" s="9">
        <v>0</v>
      </c>
      <c r="U7" s="14">
        <v>1</v>
      </c>
      <c r="V7" s="12" t="s">
        <v>166</v>
      </c>
      <c r="W7" s="9"/>
      <c r="X7" s="9"/>
    </row>
    <row r="8" spans="1:24" x14ac:dyDescent="0.35">
      <c r="A8" s="3">
        <v>3</v>
      </c>
      <c r="B8" s="3" t="s">
        <v>31</v>
      </c>
      <c r="C8" s="8">
        <v>43808.541666666701</v>
      </c>
      <c r="D8" s="8">
        <v>43813.5</v>
      </c>
      <c r="E8" s="12" t="s">
        <v>35</v>
      </c>
      <c r="F8" s="12" t="s">
        <v>36</v>
      </c>
      <c r="G8" s="9">
        <v>840</v>
      </c>
      <c r="H8" s="9">
        <v>950.5</v>
      </c>
      <c r="I8" s="9">
        <v>0</v>
      </c>
      <c r="J8" s="9">
        <v>0</v>
      </c>
      <c r="K8" s="9">
        <v>1790.5</v>
      </c>
      <c r="L8" s="7">
        <v>43808.541666666701</v>
      </c>
      <c r="M8" s="3" t="s">
        <v>176</v>
      </c>
      <c r="N8" s="9">
        <v>1382.5</v>
      </c>
      <c r="O8" s="9">
        <v>168</v>
      </c>
      <c r="P8" s="12" t="s">
        <v>61</v>
      </c>
      <c r="Q8" s="9">
        <v>0</v>
      </c>
      <c r="R8" s="11">
        <v>0</v>
      </c>
      <c r="S8" s="10">
        <v>1382.5</v>
      </c>
      <c r="T8" s="9">
        <v>168</v>
      </c>
      <c r="U8" s="14">
        <v>0.72000002861022905</v>
      </c>
      <c r="V8" s="12" t="s">
        <v>169</v>
      </c>
      <c r="W8" s="9"/>
      <c r="X8" s="9"/>
    </row>
    <row r="9" spans="1:24" x14ac:dyDescent="0.35">
      <c r="A9" s="3">
        <v>4</v>
      </c>
      <c r="B9" s="3" t="s">
        <v>37</v>
      </c>
      <c r="C9" s="8">
        <v>43813.541666666701</v>
      </c>
      <c r="D9" s="8">
        <v>43816.625</v>
      </c>
      <c r="E9" s="12" t="s">
        <v>41</v>
      </c>
      <c r="F9" s="12" t="s">
        <v>42</v>
      </c>
      <c r="G9" s="9">
        <v>640</v>
      </c>
      <c r="H9" s="9">
        <v>8819</v>
      </c>
      <c r="I9" s="9">
        <v>0</v>
      </c>
      <c r="J9" s="9">
        <v>0</v>
      </c>
      <c r="K9" s="9">
        <v>9459</v>
      </c>
      <c r="L9" s="3"/>
      <c r="M9" s="3" t="s">
        <v>24</v>
      </c>
      <c r="N9" s="9">
        <v>0</v>
      </c>
      <c r="O9" s="9">
        <v>9459</v>
      </c>
      <c r="P9" s="12" t="s">
        <v>41</v>
      </c>
      <c r="Q9" s="9">
        <v>0</v>
      </c>
      <c r="R9" s="11">
        <v>0</v>
      </c>
      <c r="S9" s="10">
        <v>0</v>
      </c>
      <c r="T9" s="9">
        <v>9459</v>
      </c>
      <c r="U9" s="14">
        <v>0</v>
      </c>
      <c r="V9" s="12" t="s">
        <v>170</v>
      </c>
      <c r="W9" s="9"/>
      <c r="X9" s="9"/>
    </row>
    <row r="10" spans="1:24" ht="22" x14ac:dyDescent="0.35">
      <c r="A10" s="3">
        <v>5</v>
      </c>
      <c r="B10" s="3" t="s">
        <v>43</v>
      </c>
      <c r="C10" s="8">
        <v>43816.625</v>
      </c>
      <c r="D10" s="8">
        <v>43827.708333333299</v>
      </c>
      <c r="E10" s="12" t="s">
        <v>47</v>
      </c>
      <c r="F10" s="12" t="s">
        <v>42</v>
      </c>
      <c r="G10" s="9">
        <v>2880</v>
      </c>
      <c r="H10" s="9">
        <v>3166.5</v>
      </c>
      <c r="I10" s="9">
        <v>0</v>
      </c>
      <c r="J10" s="9">
        <v>0</v>
      </c>
      <c r="K10" s="9">
        <v>6046.5</v>
      </c>
      <c r="L10" s="3"/>
      <c r="M10" s="3" t="s">
        <v>24</v>
      </c>
      <c r="N10" s="9">
        <v>0</v>
      </c>
      <c r="O10" s="9">
        <v>6046.5</v>
      </c>
      <c r="P10" s="12" t="s">
        <v>47</v>
      </c>
      <c r="Q10" s="9">
        <v>0</v>
      </c>
      <c r="R10" s="11">
        <v>0</v>
      </c>
      <c r="S10" s="10">
        <v>0</v>
      </c>
      <c r="T10" s="9">
        <v>6046.5</v>
      </c>
      <c r="U10" s="14">
        <v>0</v>
      </c>
      <c r="V10" s="12" t="s">
        <v>170</v>
      </c>
      <c r="W10" s="9"/>
      <c r="X10" s="9"/>
    </row>
    <row r="11" spans="1:24" x14ac:dyDescent="0.35">
      <c r="A11" s="3">
        <v>6</v>
      </c>
      <c r="B11" s="3" t="s">
        <v>48</v>
      </c>
      <c r="C11" s="8">
        <v>43830.583333333299</v>
      </c>
      <c r="D11" s="8">
        <v>43832.583333333299</v>
      </c>
      <c r="E11" s="12" t="s">
        <v>51</v>
      </c>
      <c r="F11" s="12" t="s">
        <v>52</v>
      </c>
      <c r="G11" s="9">
        <v>448</v>
      </c>
      <c r="H11" s="9">
        <v>1802.5</v>
      </c>
      <c r="I11" s="9">
        <v>0</v>
      </c>
      <c r="J11" s="9">
        <v>0</v>
      </c>
      <c r="K11" s="9">
        <v>2250.5</v>
      </c>
      <c r="L11" s="7">
        <v>43808.541666666701</v>
      </c>
      <c r="M11" s="3" t="s">
        <v>41</v>
      </c>
      <c r="N11" s="9">
        <v>2314.5</v>
      </c>
      <c r="O11" s="9">
        <v>0</v>
      </c>
      <c r="P11" s="12" t="s">
        <v>24</v>
      </c>
      <c r="Q11" s="9">
        <v>0</v>
      </c>
      <c r="R11" s="11">
        <v>0</v>
      </c>
      <c r="S11" s="10">
        <v>2314.5</v>
      </c>
      <c r="T11" s="9">
        <v>0</v>
      </c>
      <c r="U11" s="14">
        <v>1</v>
      </c>
      <c r="V11" s="12" t="s">
        <v>166</v>
      </c>
      <c r="W11" s="9"/>
      <c r="X11" s="9"/>
    </row>
    <row r="12" spans="1:24" x14ac:dyDescent="0.35">
      <c r="A12" s="3">
        <v>7</v>
      </c>
      <c r="B12" s="3" t="s">
        <v>53</v>
      </c>
      <c r="C12" s="8">
        <v>43815.416666666701</v>
      </c>
      <c r="D12" s="8">
        <v>43822.416666666701</v>
      </c>
      <c r="E12" s="12" t="s">
        <v>56</v>
      </c>
      <c r="F12" s="12" t="s">
        <v>57</v>
      </c>
      <c r="G12" s="9">
        <v>672</v>
      </c>
      <c r="H12" s="9">
        <v>1970.5</v>
      </c>
      <c r="I12" s="9">
        <v>0</v>
      </c>
      <c r="J12" s="9">
        <v>0</v>
      </c>
      <c r="K12" s="9">
        <v>2642.5</v>
      </c>
      <c r="L12" s="3"/>
      <c r="M12" s="3" t="s">
        <v>24</v>
      </c>
      <c r="N12" s="9">
        <v>0</v>
      </c>
      <c r="O12" s="9">
        <v>2642.5</v>
      </c>
      <c r="P12" s="12" t="s">
        <v>56</v>
      </c>
      <c r="Q12" s="9">
        <v>0</v>
      </c>
      <c r="R12" s="11">
        <v>0</v>
      </c>
      <c r="S12" s="10">
        <v>0</v>
      </c>
      <c r="T12" s="9">
        <v>2642.5</v>
      </c>
      <c r="U12" s="14">
        <v>0</v>
      </c>
      <c r="V12" s="12" t="s">
        <v>170</v>
      </c>
      <c r="W12" s="9"/>
      <c r="X12" s="9"/>
    </row>
    <row r="13" spans="1:24" ht="22" x14ac:dyDescent="0.35">
      <c r="A13" s="3">
        <v>8</v>
      </c>
      <c r="B13" s="3" t="s">
        <v>58</v>
      </c>
      <c r="C13" s="8">
        <v>43831.583333333299</v>
      </c>
      <c r="D13" s="8">
        <v>43832.583333333299</v>
      </c>
      <c r="E13" s="12" t="s">
        <v>61</v>
      </c>
      <c r="F13" s="12" t="s">
        <v>57</v>
      </c>
      <c r="G13" s="9">
        <v>112</v>
      </c>
      <c r="H13" s="9">
        <v>602.5</v>
      </c>
      <c r="I13" s="9">
        <v>0</v>
      </c>
      <c r="J13" s="9">
        <v>0</v>
      </c>
      <c r="K13" s="9">
        <v>714.5</v>
      </c>
      <c r="L13" s="3"/>
      <c r="M13" s="3" t="s">
        <v>24</v>
      </c>
      <c r="N13" s="9">
        <v>0</v>
      </c>
      <c r="O13" s="9">
        <v>714.5</v>
      </c>
      <c r="P13" s="12" t="s">
        <v>61</v>
      </c>
      <c r="Q13" s="9">
        <v>0</v>
      </c>
      <c r="R13" s="11">
        <v>0</v>
      </c>
      <c r="S13" s="10">
        <v>0</v>
      </c>
      <c r="T13" s="9">
        <v>714.5</v>
      </c>
      <c r="U13" s="14">
        <v>0</v>
      </c>
      <c r="V13" s="12" t="s">
        <v>170</v>
      </c>
      <c r="W13" s="9"/>
      <c r="X13" s="9"/>
    </row>
    <row r="14" spans="1:24" x14ac:dyDescent="0.35">
      <c r="A14" s="3">
        <v>9</v>
      </c>
      <c r="B14" s="3" t="s">
        <v>62</v>
      </c>
      <c r="C14" s="8">
        <v>43829.583333333299</v>
      </c>
      <c r="D14" s="8">
        <v>43830.583333333299</v>
      </c>
      <c r="E14" s="12" t="s">
        <v>61</v>
      </c>
      <c r="F14" s="12" t="s">
        <v>57</v>
      </c>
      <c r="G14" s="9">
        <v>112</v>
      </c>
      <c r="H14" s="9">
        <v>602.5</v>
      </c>
      <c r="I14" s="9">
        <v>0</v>
      </c>
      <c r="J14" s="9">
        <v>0</v>
      </c>
      <c r="K14" s="9">
        <v>714.5</v>
      </c>
      <c r="L14" s="3"/>
      <c r="M14" s="3" t="s">
        <v>24</v>
      </c>
      <c r="N14" s="9">
        <v>0</v>
      </c>
      <c r="O14" s="9">
        <v>714.5</v>
      </c>
      <c r="P14" s="12" t="s">
        <v>61</v>
      </c>
      <c r="Q14" s="9">
        <v>0</v>
      </c>
      <c r="R14" s="11">
        <v>0</v>
      </c>
      <c r="S14" s="10">
        <v>0</v>
      </c>
      <c r="T14" s="9">
        <v>714.5</v>
      </c>
      <c r="U14" s="14">
        <v>0</v>
      </c>
      <c r="V14" s="12" t="s">
        <v>170</v>
      </c>
      <c r="W14" s="9"/>
      <c r="X14" s="9"/>
    </row>
    <row r="15" spans="1:24" ht="22" x14ac:dyDescent="0.35">
      <c r="A15" s="3">
        <v>10</v>
      </c>
      <c r="B15" s="3" t="s">
        <v>64</v>
      </c>
      <c r="C15" s="8">
        <v>43829.375</v>
      </c>
      <c r="D15" s="8">
        <v>43829.708333333299</v>
      </c>
      <c r="E15" s="12" t="s">
        <v>61</v>
      </c>
      <c r="F15" s="12" t="s">
        <v>67</v>
      </c>
      <c r="G15" s="9">
        <v>56</v>
      </c>
      <c r="H15" s="9">
        <v>602.5</v>
      </c>
      <c r="I15" s="9">
        <v>0</v>
      </c>
      <c r="J15" s="9">
        <v>0</v>
      </c>
      <c r="K15" s="9">
        <v>658.5</v>
      </c>
      <c r="L15" s="3"/>
      <c r="M15" s="3" t="s">
        <v>24</v>
      </c>
      <c r="N15" s="9">
        <v>0</v>
      </c>
      <c r="O15" s="9">
        <v>658.5</v>
      </c>
      <c r="P15" s="12" t="s">
        <v>61</v>
      </c>
      <c r="Q15" s="9">
        <v>0</v>
      </c>
      <c r="R15" s="11">
        <v>0</v>
      </c>
      <c r="S15" s="10">
        <v>0</v>
      </c>
      <c r="T15" s="9">
        <v>658.5</v>
      </c>
      <c r="U15" s="14">
        <v>0</v>
      </c>
      <c r="V15" s="12" t="s">
        <v>170</v>
      </c>
      <c r="W15" s="9"/>
      <c r="X15" s="9"/>
    </row>
    <row r="16" spans="1:24" x14ac:dyDescent="0.35">
      <c r="A16" s="3">
        <v>11</v>
      </c>
      <c r="B16" s="3" t="s">
        <v>68</v>
      </c>
      <c r="C16" s="8">
        <v>43813.416666666701</v>
      </c>
      <c r="D16" s="8">
        <v>43815.416666666701</v>
      </c>
      <c r="E16" s="12" t="s">
        <v>61</v>
      </c>
      <c r="F16" s="12" t="s">
        <v>67</v>
      </c>
      <c r="G16" s="9">
        <v>56</v>
      </c>
      <c r="H16" s="9">
        <v>602.5</v>
      </c>
      <c r="I16" s="9">
        <v>0</v>
      </c>
      <c r="J16" s="9">
        <v>0</v>
      </c>
      <c r="K16" s="9">
        <v>658.5</v>
      </c>
      <c r="L16" s="3"/>
      <c r="M16" s="3" t="s">
        <v>24</v>
      </c>
      <c r="N16" s="9">
        <v>0</v>
      </c>
      <c r="O16" s="9">
        <v>658.5</v>
      </c>
      <c r="P16" s="12" t="s">
        <v>61</v>
      </c>
      <c r="Q16" s="9">
        <v>0</v>
      </c>
      <c r="R16" s="11">
        <v>0</v>
      </c>
      <c r="S16" s="10">
        <v>0</v>
      </c>
      <c r="T16" s="9">
        <v>658.5</v>
      </c>
      <c r="U16" s="14">
        <v>0</v>
      </c>
      <c r="V16" s="12" t="s">
        <v>170</v>
      </c>
      <c r="W16" s="9"/>
      <c r="X16" s="9"/>
    </row>
    <row r="17" spans="1:24" ht="22" x14ac:dyDescent="0.35">
      <c r="A17" s="3">
        <v>13</v>
      </c>
      <c r="B17" s="3" t="s">
        <v>70</v>
      </c>
      <c r="C17" s="8">
        <v>43823.416666666701</v>
      </c>
      <c r="D17" s="8">
        <v>43823.583333333299</v>
      </c>
      <c r="E17" s="12" t="s">
        <v>29</v>
      </c>
      <c r="F17" s="12" t="s">
        <v>67</v>
      </c>
      <c r="G17" s="9">
        <v>24</v>
      </c>
      <c r="H17" s="9">
        <v>602.5</v>
      </c>
      <c r="I17" s="9">
        <v>0</v>
      </c>
      <c r="J17" s="9">
        <v>0</v>
      </c>
      <c r="K17" s="9">
        <v>626.5</v>
      </c>
      <c r="L17" s="3"/>
      <c r="M17" s="3" t="s">
        <v>24</v>
      </c>
      <c r="N17" s="9">
        <v>0</v>
      </c>
      <c r="O17" s="9">
        <v>626.5</v>
      </c>
      <c r="P17" s="12" t="s">
        <v>29</v>
      </c>
      <c r="Q17" s="9">
        <v>0</v>
      </c>
      <c r="R17" s="11">
        <v>0</v>
      </c>
      <c r="S17" s="10">
        <v>0</v>
      </c>
      <c r="T17" s="9">
        <v>626.5</v>
      </c>
      <c r="U17" s="14">
        <v>0</v>
      </c>
      <c r="V17" s="12" t="s">
        <v>170</v>
      </c>
      <c r="W17" s="9"/>
      <c r="X17" s="9"/>
    </row>
    <row r="18" spans="1:24" x14ac:dyDescent="0.35">
      <c r="A18" s="3">
        <v>14</v>
      </c>
      <c r="B18" s="3" t="s">
        <v>74</v>
      </c>
      <c r="C18" s="8">
        <v>43836.583333333299</v>
      </c>
      <c r="D18" s="8">
        <v>43838.583333333299</v>
      </c>
      <c r="E18" s="12" t="s">
        <v>51</v>
      </c>
      <c r="F18" s="12" t="s">
        <v>77</v>
      </c>
      <c r="G18" s="9">
        <v>672</v>
      </c>
      <c r="H18" s="9">
        <v>602.5</v>
      </c>
      <c r="I18" s="9">
        <v>0</v>
      </c>
      <c r="J18" s="9">
        <v>0</v>
      </c>
      <c r="K18" s="9">
        <v>1274.5</v>
      </c>
      <c r="L18" s="3"/>
      <c r="M18" s="3" t="s">
        <v>24</v>
      </c>
      <c r="N18" s="9">
        <v>0</v>
      </c>
      <c r="O18" s="9">
        <v>1274.5</v>
      </c>
      <c r="P18" s="12" t="s">
        <v>51</v>
      </c>
      <c r="Q18" s="9">
        <v>0</v>
      </c>
      <c r="R18" s="11">
        <v>0</v>
      </c>
      <c r="S18" s="10">
        <v>0</v>
      </c>
      <c r="T18" s="9">
        <v>1274.5</v>
      </c>
      <c r="U18" s="14">
        <v>0</v>
      </c>
      <c r="V18" s="12" t="s">
        <v>170</v>
      </c>
      <c r="W18" s="9"/>
      <c r="X18" s="9"/>
    </row>
    <row r="19" spans="1:24" x14ac:dyDescent="0.35">
      <c r="A19" s="3">
        <v>15</v>
      </c>
      <c r="B19" s="3" t="s">
        <v>78</v>
      </c>
      <c r="C19" s="8">
        <v>43829.583333333299</v>
      </c>
      <c r="D19" s="8">
        <v>43830.583333333299</v>
      </c>
      <c r="E19" s="12" t="s">
        <v>61</v>
      </c>
      <c r="F19" s="12" t="s">
        <v>57</v>
      </c>
      <c r="G19" s="9">
        <v>112</v>
      </c>
      <c r="H19" s="9">
        <v>602.5</v>
      </c>
      <c r="I19" s="9">
        <v>0</v>
      </c>
      <c r="J19" s="9">
        <v>0</v>
      </c>
      <c r="K19" s="9">
        <v>714.5</v>
      </c>
      <c r="L19" s="3"/>
      <c r="M19" s="3" t="s">
        <v>24</v>
      </c>
      <c r="N19" s="9">
        <v>0</v>
      </c>
      <c r="O19" s="9">
        <v>714.5</v>
      </c>
      <c r="P19" s="12" t="s">
        <v>61</v>
      </c>
      <c r="Q19" s="9">
        <v>0</v>
      </c>
      <c r="R19" s="11">
        <v>0</v>
      </c>
      <c r="S19" s="10">
        <v>0</v>
      </c>
      <c r="T19" s="9">
        <v>714.5</v>
      </c>
      <c r="U19" s="14">
        <v>0</v>
      </c>
      <c r="V19" s="12" t="s">
        <v>170</v>
      </c>
      <c r="W19" s="9"/>
      <c r="X19" s="9"/>
    </row>
    <row r="20" spans="1:24" x14ac:dyDescent="0.35">
      <c r="A20" s="3">
        <v>16</v>
      </c>
      <c r="B20" s="3" t="s">
        <v>80</v>
      </c>
      <c r="C20" s="8">
        <v>43827.416666666701</v>
      </c>
      <c r="D20" s="8">
        <v>43827.583333333299</v>
      </c>
      <c r="E20" s="12" t="s">
        <v>29</v>
      </c>
      <c r="F20" s="12" t="s">
        <v>57</v>
      </c>
      <c r="G20" s="9">
        <v>48</v>
      </c>
      <c r="H20" s="9">
        <v>602.5</v>
      </c>
      <c r="I20" s="9">
        <v>0</v>
      </c>
      <c r="J20" s="9">
        <v>0</v>
      </c>
      <c r="K20" s="9">
        <v>650.5</v>
      </c>
      <c r="L20" s="3"/>
      <c r="M20" s="3" t="s">
        <v>24</v>
      </c>
      <c r="N20" s="9">
        <v>0</v>
      </c>
      <c r="O20" s="9">
        <v>650.5</v>
      </c>
      <c r="P20" s="12" t="s">
        <v>29</v>
      </c>
      <c r="Q20" s="9">
        <v>0</v>
      </c>
      <c r="R20" s="11">
        <v>0</v>
      </c>
      <c r="S20" s="10">
        <v>0</v>
      </c>
      <c r="T20" s="9">
        <v>650.5</v>
      </c>
      <c r="U20" s="14">
        <v>0</v>
      </c>
      <c r="V20" s="12" t="s">
        <v>170</v>
      </c>
      <c r="W20" s="9"/>
      <c r="X20" s="9"/>
    </row>
    <row r="21" spans="1:24" x14ac:dyDescent="0.35">
      <c r="A21" s="3">
        <v>17</v>
      </c>
      <c r="B21" s="3" t="s">
        <v>82</v>
      </c>
      <c r="C21" s="8">
        <v>43822.416666666701</v>
      </c>
      <c r="D21" s="8">
        <v>43823.416666666701</v>
      </c>
      <c r="E21" s="12" t="s">
        <v>61</v>
      </c>
      <c r="F21" s="12" t="s">
        <v>85</v>
      </c>
      <c r="G21" s="9">
        <v>140</v>
      </c>
      <c r="H21" s="9">
        <v>3302.5</v>
      </c>
      <c r="I21" s="9">
        <v>0</v>
      </c>
      <c r="J21" s="9">
        <v>0</v>
      </c>
      <c r="K21" s="9">
        <v>3442.5</v>
      </c>
      <c r="L21" s="7">
        <v>43810.625</v>
      </c>
      <c r="M21" s="3" t="s">
        <v>177</v>
      </c>
      <c r="N21" s="9">
        <v>3342.5</v>
      </c>
      <c r="O21" s="9">
        <v>40</v>
      </c>
      <c r="P21" s="12" t="s">
        <v>177</v>
      </c>
      <c r="Q21" s="9">
        <v>0</v>
      </c>
      <c r="R21" s="11">
        <v>0</v>
      </c>
      <c r="S21" s="10">
        <v>3342.5</v>
      </c>
      <c r="T21" s="9">
        <v>40</v>
      </c>
      <c r="U21" s="14">
        <v>0.5</v>
      </c>
      <c r="V21" s="12" t="s">
        <v>169</v>
      </c>
      <c r="W21" s="9"/>
      <c r="X21" s="9"/>
    </row>
    <row r="22" spans="1:24" x14ac:dyDescent="0.35">
      <c r="A22" s="3">
        <v>18</v>
      </c>
      <c r="B22" s="3" t="s">
        <v>86</v>
      </c>
      <c r="C22" s="8">
        <v>43832.583333333299</v>
      </c>
      <c r="D22" s="8">
        <v>43833.583333333299</v>
      </c>
      <c r="E22" s="12" t="s">
        <v>61</v>
      </c>
      <c r="F22" s="12" t="s">
        <v>57</v>
      </c>
      <c r="G22" s="9">
        <v>112</v>
      </c>
      <c r="H22" s="9">
        <v>602.5</v>
      </c>
      <c r="I22" s="9">
        <v>0</v>
      </c>
      <c r="J22" s="9">
        <v>0</v>
      </c>
      <c r="K22" s="9">
        <v>714.5</v>
      </c>
      <c r="L22" s="3"/>
      <c r="M22" s="3" t="s">
        <v>24</v>
      </c>
      <c r="N22" s="9">
        <v>0</v>
      </c>
      <c r="O22" s="9">
        <v>714.5</v>
      </c>
      <c r="P22" s="12" t="s">
        <v>61</v>
      </c>
      <c r="Q22" s="9">
        <v>0</v>
      </c>
      <c r="R22" s="11">
        <v>0</v>
      </c>
      <c r="S22" s="10">
        <v>0</v>
      </c>
      <c r="T22" s="9">
        <v>714.5</v>
      </c>
      <c r="U22" s="14">
        <v>0</v>
      </c>
      <c r="V22" s="12" t="s">
        <v>170</v>
      </c>
      <c r="W22" s="9"/>
      <c r="X22" s="9"/>
    </row>
    <row r="23" spans="1:24" ht="22" x14ac:dyDescent="0.35">
      <c r="A23" s="3">
        <v>19</v>
      </c>
      <c r="B23" s="3" t="s">
        <v>88</v>
      </c>
      <c r="C23" s="8">
        <v>43833.583333333299</v>
      </c>
      <c r="D23" s="8">
        <v>43836.583333333299</v>
      </c>
      <c r="E23" s="12" t="s">
        <v>51</v>
      </c>
      <c r="F23" s="12" t="s">
        <v>77</v>
      </c>
      <c r="G23" s="9">
        <v>672</v>
      </c>
      <c r="H23" s="9">
        <v>2252.5</v>
      </c>
      <c r="I23" s="9">
        <v>0</v>
      </c>
      <c r="J23" s="9">
        <v>0</v>
      </c>
      <c r="K23" s="9">
        <v>2924.5</v>
      </c>
      <c r="L23" s="3"/>
      <c r="M23" s="3" t="s">
        <v>24</v>
      </c>
      <c r="N23" s="9">
        <v>0</v>
      </c>
      <c r="O23" s="9">
        <v>2924.5</v>
      </c>
      <c r="P23" s="12" t="s">
        <v>51</v>
      </c>
      <c r="Q23" s="9">
        <v>0</v>
      </c>
      <c r="R23" s="11">
        <v>0</v>
      </c>
      <c r="S23" s="10">
        <v>0</v>
      </c>
      <c r="T23" s="9">
        <v>2924.5</v>
      </c>
      <c r="U23" s="14">
        <v>0</v>
      </c>
      <c r="V23" s="12" t="s">
        <v>170</v>
      </c>
      <c r="W23" s="9"/>
      <c r="X23" s="9"/>
    </row>
    <row r="24" spans="1:24" x14ac:dyDescent="0.35">
      <c r="A24" s="3">
        <v>20</v>
      </c>
      <c r="B24" s="3" t="s">
        <v>91</v>
      </c>
      <c r="C24" s="8">
        <v>43824.416666666701</v>
      </c>
      <c r="D24" s="8">
        <v>43825.416666666701</v>
      </c>
      <c r="E24" s="12" t="s">
        <v>61</v>
      </c>
      <c r="F24" s="12" t="s">
        <v>67</v>
      </c>
      <c r="G24" s="9">
        <v>56</v>
      </c>
      <c r="H24" s="9">
        <v>28602.5</v>
      </c>
      <c r="I24" s="9">
        <v>0</v>
      </c>
      <c r="J24" s="9">
        <v>0</v>
      </c>
      <c r="K24" s="9">
        <v>28658.5</v>
      </c>
      <c r="L24" s="3"/>
      <c r="M24" s="3" t="s">
        <v>24</v>
      </c>
      <c r="N24" s="9">
        <v>0</v>
      </c>
      <c r="O24" s="9">
        <v>28658.5</v>
      </c>
      <c r="P24" s="12" t="s">
        <v>61</v>
      </c>
      <c r="Q24" s="9">
        <v>0</v>
      </c>
      <c r="R24" s="11">
        <v>0</v>
      </c>
      <c r="S24" s="10">
        <v>0</v>
      </c>
      <c r="T24" s="9">
        <v>28658.5</v>
      </c>
      <c r="U24" s="14">
        <v>0</v>
      </c>
      <c r="V24" s="12" t="s">
        <v>170</v>
      </c>
      <c r="W24" s="9"/>
      <c r="X24" s="9"/>
    </row>
    <row r="25" spans="1:24" ht="22" x14ac:dyDescent="0.35">
      <c r="A25" s="3">
        <v>21</v>
      </c>
      <c r="B25" s="3" t="s">
        <v>95</v>
      </c>
      <c r="C25" s="8">
        <v>43830.583333333299</v>
      </c>
      <c r="D25" s="8">
        <v>43831.583333333299</v>
      </c>
      <c r="E25" s="12" t="s">
        <v>61</v>
      </c>
      <c r="F25" s="12" t="s">
        <v>36</v>
      </c>
      <c r="G25" s="9">
        <v>168</v>
      </c>
      <c r="H25" s="9">
        <v>3677.5</v>
      </c>
      <c r="I25" s="9">
        <v>0</v>
      </c>
      <c r="J25" s="9">
        <v>0</v>
      </c>
      <c r="K25" s="9">
        <v>3845.5</v>
      </c>
      <c r="L25" s="3"/>
      <c r="M25" s="3" t="s">
        <v>24</v>
      </c>
      <c r="N25" s="9">
        <v>0</v>
      </c>
      <c r="O25" s="9">
        <v>3845.5</v>
      </c>
      <c r="P25" s="12" t="s">
        <v>61</v>
      </c>
      <c r="Q25" s="9">
        <v>0</v>
      </c>
      <c r="R25" s="11">
        <v>0</v>
      </c>
      <c r="S25" s="10">
        <v>0</v>
      </c>
      <c r="T25" s="9">
        <v>3845.5</v>
      </c>
      <c r="U25" s="14">
        <v>0</v>
      </c>
      <c r="V25" s="12" t="s">
        <v>170</v>
      </c>
      <c r="W25" s="9"/>
      <c r="X25" s="9"/>
    </row>
    <row r="26" spans="1:24" x14ac:dyDescent="0.35">
      <c r="A26" s="3">
        <v>22</v>
      </c>
      <c r="B26" s="3" t="s">
        <v>98</v>
      </c>
      <c r="C26" s="8">
        <v>43825.416666666701</v>
      </c>
      <c r="D26" s="8">
        <v>43826.416666666701</v>
      </c>
      <c r="E26" s="12" t="s">
        <v>61</v>
      </c>
      <c r="F26" s="12" t="s">
        <v>67</v>
      </c>
      <c r="G26" s="9">
        <v>56</v>
      </c>
      <c r="H26" s="9">
        <v>602.5</v>
      </c>
      <c r="I26" s="9">
        <v>0</v>
      </c>
      <c r="J26" s="9">
        <v>0</v>
      </c>
      <c r="K26" s="9">
        <v>658.5</v>
      </c>
      <c r="L26" s="3"/>
      <c r="M26" s="3" t="s">
        <v>24</v>
      </c>
      <c r="N26" s="9">
        <v>0</v>
      </c>
      <c r="O26" s="9">
        <v>658.5</v>
      </c>
      <c r="P26" s="12" t="s">
        <v>61</v>
      </c>
      <c r="Q26" s="9">
        <v>0</v>
      </c>
      <c r="R26" s="11">
        <v>0</v>
      </c>
      <c r="S26" s="10">
        <v>0</v>
      </c>
      <c r="T26" s="9">
        <v>658.5</v>
      </c>
      <c r="U26" s="14">
        <v>0</v>
      </c>
      <c r="V26" s="12" t="s">
        <v>170</v>
      </c>
      <c r="W26" s="9"/>
      <c r="X26" s="9"/>
    </row>
    <row r="27" spans="1:24" x14ac:dyDescent="0.35">
      <c r="A27" s="3">
        <v>23</v>
      </c>
      <c r="B27" s="3" t="s">
        <v>101</v>
      </c>
      <c r="C27" s="8">
        <v>43832.583333333299</v>
      </c>
      <c r="D27" s="8">
        <v>43833.583333333299</v>
      </c>
      <c r="E27" s="12" t="s">
        <v>61</v>
      </c>
      <c r="F27" s="12" t="s">
        <v>52</v>
      </c>
      <c r="G27" s="9">
        <v>224</v>
      </c>
      <c r="H27" s="9">
        <v>43602.5</v>
      </c>
      <c r="I27" s="9">
        <v>0</v>
      </c>
      <c r="J27" s="9">
        <v>0</v>
      </c>
      <c r="K27" s="9">
        <v>43826.5</v>
      </c>
      <c r="L27" s="3"/>
      <c r="M27" s="3" t="s">
        <v>24</v>
      </c>
      <c r="N27" s="9">
        <v>0</v>
      </c>
      <c r="O27" s="9">
        <v>43826.5</v>
      </c>
      <c r="P27" s="12" t="s">
        <v>61</v>
      </c>
      <c r="Q27" s="9">
        <v>0</v>
      </c>
      <c r="R27" s="11">
        <v>0</v>
      </c>
      <c r="S27" s="10">
        <v>0</v>
      </c>
      <c r="T27" s="9">
        <v>43826.5</v>
      </c>
      <c r="U27" s="14">
        <v>0</v>
      </c>
      <c r="V27" s="12" t="s">
        <v>170</v>
      </c>
      <c r="W27" s="9"/>
      <c r="X27" s="9"/>
    </row>
    <row r="28" spans="1:24" x14ac:dyDescent="0.35">
      <c r="A28" s="3">
        <v>24</v>
      </c>
      <c r="B28" s="3" t="s">
        <v>103</v>
      </c>
      <c r="C28" s="8">
        <v>43826.416666666701</v>
      </c>
      <c r="D28" s="8">
        <v>43827.416666666701</v>
      </c>
      <c r="E28" s="12" t="s">
        <v>61</v>
      </c>
      <c r="F28" s="12" t="s">
        <v>67</v>
      </c>
      <c r="G28" s="9">
        <v>56</v>
      </c>
      <c r="H28" s="9">
        <v>1577.5</v>
      </c>
      <c r="I28" s="9">
        <v>0</v>
      </c>
      <c r="J28" s="9">
        <v>0</v>
      </c>
      <c r="K28" s="9">
        <v>1633.5</v>
      </c>
      <c r="L28" s="3"/>
      <c r="M28" s="3" t="s">
        <v>24</v>
      </c>
      <c r="N28" s="9">
        <v>0</v>
      </c>
      <c r="O28" s="9">
        <v>1633.5</v>
      </c>
      <c r="P28" s="12" t="s">
        <v>61</v>
      </c>
      <c r="Q28" s="9">
        <v>0</v>
      </c>
      <c r="R28" s="11">
        <v>0</v>
      </c>
      <c r="S28" s="10">
        <v>0</v>
      </c>
      <c r="T28" s="9">
        <v>1633.5</v>
      </c>
      <c r="U28" s="14">
        <v>0</v>
      </c>
      <c r="V28" s="12" t="s">
        <v>170</v>
      </c>
      <c r="W28" s="9"/>
      <c r="X28" s="9"/>
    </row>
    <row r="29" spans="1:24" x14ac:dyDescent="0.35">
      <c r="A29" s="3">
        <v>25</v>
      </c>
      <c r="B29" s="3" t="s">
        <v>106</v>
      </c>
      <c r="C29" s="8">
        <v>43813.416666666701</v>
      </c>
      <c r="D29" s="8">
        <v>43815.416666666701</v>
      </c>
      <c r="E29" s="12" t="s">
        <v>61</v>
      </c>
      <c r="F29" s="12" t="s">
        <v>67</v>
      </c>
      <c r="G29" s="9">
        <v>56</v>
      </c>
      <c r="H29" s="9">
        <v>2524.5</v>
      </c>
      <c r="I29" s="9">
        <v>0</v>
      </c>
      <c r="J29" s="9">
        <v>0</v>
      </c>
      <c r="K29" s="9">
        <v>2580.5</v>
      </c>
      <c r="L29" s="3"/>
      <c r="M29" s="3" t="s">
        <v>24</v>
      </c>
      <c r="N29" s="9">
        <v>0</v>
      </c>
      <c r="O29" s="9">
        <v>2580.5</v>
      </c>
      <c r="P29" s="12" t="s">
        <v>61</v>
      </c>
      <c r="Q29" s="9">
        <v>0</v>
      </c>
      <c r="R29" s="11">
        <v>0</v>
      </c>
      <c r="S29" s="10">
        <v>0</v>
      </c>
      <c r="T29" s="9">
        <v>2580.5</v>
      </c>
      <c r="U29" s="14">
        <v>0</v>
      </c>
      <c r="V29" s="12" t="s">
        <v>170</v>
      </c>
      <c r="W29" s="9"/>
      <c r="X29" s="9"/>
    </row>
    <row r="30" spans="1:24" x14ac:dyDescent="0.35">
      <c r="A30" s="3">
        <v>26</v>
      </c>
      <c r="B30" s="3" t="s">
        <v>108</v>
      </c>
      <c r="C30" s="8">
        <v>43829.583333333299</v>
      </c>
      <c r="D30" s="8">
        <v>43830.583333333299</v>
      </c>
      <c r="E30" s="12" t="s">
        <v>61</v>
      </c>
      <c r="F30" s="12" t="s">
        <v>57</v>
      </c>
      <c r="G30" s="9">
        <v>112</v>
      </c>
      <c r="H30" s="9">
        <v>3442.30004882813</v>
      </c>
      <c r="I30" s="9">
        <v>0</v>
      </c>
      <c r="J30" s="9">
        <v>0</v>
      </c>
      <c r="K30" s="9">
        <v>3554.30004882813</v>
      </c>
      <c r="L30" s="3"/>
      <c r="M30" s="3" t="s">
        <v>24</v>
      </c>
      <c r="N30" s="9">
        <v>0</v>
      </c>
      <c r="O30" s="9">
        <v>3554.30004882813</v>
      </c>
      <c r="P30" s="12" t="s">
        <v>61</v>
      </c>
      <c r="Q30" s="9">
        <v>0</v>
      </c>
      <c r="R30" s="11">
        <v>0</v>
      </c>
      <c r="S30" s="10">
        <v>0</v>
      </c>
      <c r="T30" s="9">
        <v>3554.30004882813</v>
      </c>
      <c r="U30" s="14">
        <v>0</v>
      </c>
      <c r="V30" s="12" t="s">
        <v>170</v>
      </c>
      <c r="W30" s="9"/>
      <c r="X30" s="9"/>
    </row>
    <row r="31" spans="1:24" x14ac:dyDescent="0.35">
      <c r="A31" s="3">
        <v>27</v>
      </c>
      <c r="B31" s="3" t="s">
        <v>110</v>
      </c>
      <c r="C31" s="8">
        <v>43823.416666666701</v>
      </c>
      <c r="D31" s="8">
        <v>43824.416666666701</v>
      </c>
      <c r="E31" s="12" t="s">
        <v>61</v>
      </c>
      <c r="F31" s="12" t="s">
        <v>67</v>
      </c>
      <c r="G31" s="9">
        <v>56</v>
      </c>
      <c r="H31" s="9">
        <v>2972.5</v>
      </c>
      <c r="I31" s="9">
        <v>0</v>
      </c>
      <c r="J31" s="9">
        <v>0</v>
      </c>
      <c r="K31" s="9">
        <v>3028.5</v>
      </c>
      <c r="L31" s="7">
        <v>43810.625</v>
      </c>
      <c r="M31" s="3" t="s">
        <v>177</v>
      </c>
      <c r="N31" s="9">
        <v>2988.5</v>
      </c>
      <c r="O31" s="9">
        <v>16</v>
      </c>
      <c r="P31" s="12" t="s">
        <v>177</v>
      </c>
      <c r="Q31" s="9">
        <v>0</v>
      </c>
      <c r="R31" s="11">
        <v>0</v>
      </c>
      <c r="S31" s="10">
        <v>2988.5</v>
      </c>
      <c r="T31" s="9">
        <v>16</v>
      </c>
      <c r="U31" s="14">
        <v>0.5</v>
      </c>
      <c r="V31" s="12" t="s">
        <v>169</v>
      </c>
      <c r="W31" s="9"/>
      <c r="X31" s="9"/>
    </row>
    <row r="32" spans="1:24" x14ac:dyDescent="0.35">
      <c r="A32" s="3">
        <v>28</v>
      </c>
      <c r="B32" s="3" t="s">
        <v>113</v>
      </c>
      <c r="C32" s="8">
        <v>43832.583333333299</v>
      </c>
      <c r="D32" s="8">
        <v>43833.583333333299</v>
      </c>
      <c r="E32" s="12" t="s">
        <v>61</v>
      </c>
      <c r="F32" s="12" t="s">
        <v>67</v>
      </c>
      <c r="G32" s="9">
        <v>56</v>
      </c>
      <c r="H32" s="9">
        <v>1586.5</v>
      </c>
      <c r="I32" s="9">
        <v>0</v>
      </c>
      <c r="J32" s="9">
        <v>0</v>
      </c>
      <c r="K32" s="9">
        <v>1642.5</v>
      </c>
      <c r="L32" s="7">
        <v>43810.625</v>
      </c>
      <c r="M32" s="3" t="s">
        <v>177</v>
      </c>
      <c r="N32" s="9">
        <v>1602.5</v>
      </c>
      <c r="O32" s="9">
        <v>64</v>
      </c>
      <c r="P32" s="12" t="s">
        <v>178</v>
      </c>
      <c r="Q32" s="9">
        <v>0</v>
      </c>
      <c r="R32" s="11">
        <v>0</v>
      </c>
      <c r="S32" s="10">
        <v>1602.5</v>
      </c>
      <c r="T32" s="9">
        <v>64</v>
      </c>
      <c r="U32" s="14">
        <v>0.20000000298023199</v>
      </c>
      <c r="V32" s="12" t="s">
        <v>169</v>
      </c>
      <c r="W32" s="9"/>
      <c r="X32" s="9"/>
    </row>
    <row r="33" spans="1:24" ht="22" x14ac:dyDescent="0.35">
      <c r="A33" s="3">
        <v>29</v>
      </c>
      <c r="B33" s="3" t="s">
        <v>117</v>
      </c>
      <c r="C33" s="8">
        <v>43833.583333333299</v>
      </c>
      <c r="D33" s="8">
        <v>43833.708333333299</v>
      </c>
      <c r="E33" s="12" t="s">
        <v>29</v>
      </c>
      <c r="F33" s="12" t="s">
        <v>67</v>
      </c>
      <c r="G33" s="9">
        <v>24</v>
      </c>
      <c r="H33" s="9">
        <v>602.5</v>
      </c>
      <c r="I33" s="9">
        <v>0</v>
      </c>
      <c r="J33" s="9">
        <v>0</v>
      </c>
      <c r="K33" s="9">
        <v>626.5</v>
      </c>
      <c r="L33" s="3"/>
      <c r="M33" s="3" t="s">
        <v>24</v>
      </c>
      <c r="N33" s="9">
        <v>0</v>
      </c>
      <c r="O33" s="9">
        <v>626.5</v>
      </c>
      <c r="P33" s="12" t="s">
        <v>29</v>
      </c>
      <c r="Q33" s="9">
        <v>0</v>
      </c>
      <c r="R33" s="11">
        <v>0</v>
      </c>
      <c r="S33" s="10">
        <v>0</v>
      </c>
      <c r="T33" s="9">
        <v>626.5</v>
      </c>
      <c r="U33" s="14">
        <v>0</v>
      </c>
      <c r="V33" s="12" t="s">
        <v>170</v>
      </c>
      <c r="W33" s="9"/>
      <c r="X33" s="9"/>
    </row>
    <row r="34" spans="1:24" x14ac:dyDescent="0.35">
      <c r="A34" s="3">
        <v>30</v>
      </c>
      <c r="B34" s="3" t="s">
        <v>120</v>
      </c>
      <c r="C34" s="8">
        <v>43838.583333333299</v>
      </c>
      <c r="D34" s="8">
        <v>43839.5</v>
      </c>
      <c r="E34" s="12" t="s">
        <v>124</v>
      </c>
      <c r="F34" s="12" t="s">
        <v>67</v>
      </c>
      <c r="G34" s="9">
        <v>48</v>
      </c>
      <c r="H34" s="9">
        <v>602.5</v>
      </c>
      <c r="I34" s="9">
        <v>0</v>
      </c>
      <c r="J34" s="9">
        <v>0</v>
      </c>
      <c r="K34" s="9">
        <v>650.5</v>
      </c>
      <c r="L34" s="3"/>
      <c r="M34" s="3" t="s">
        <v>24</v>
      </c>
      <c r="N34" s="9">
        <v>0</v>
      </c>
      <c r="O34" s="9">
        <v>650.5</v>
      </c>
      <c r="P34" s="12" t="s">
        <v>124</v>
      </c>
      <c r="Q34" s="9">
        <v>0</v>
      </c>
      <c r="R34" s="11">
        <v>0</v>
      </c>
      <c r="S34" s="10">
        <v>0</v>
      </c>
      <c r="T34" s="9">
        <v>650.5</v>
      </c>
      <c r="U34" s="14">
        <v>0</v>
      </c>
      <c r="V34" s="12" t="s">
        <v>170</v>
      </c>
      <c r="W34" s="9"/>
      <c r="X34" s="9"/>
    </row>
    <row r="35" spans="1:24" x14ac:dyDescent="0.35">
      <c r="A35" s="3">
        <v>31</v>
      </c>
      <c r="B35" s="3" t="s">
        <v>125</v>
      </c>
      <c r="C35" s="8">
        <v>43839.5</v>
      </c>
      <c r="D35" s="8">
        <v>43839.5</v>
      </c>
      <c r="E35" s="12" t="s">
        <v>24</v>
      </c>
      <c r="F35" s="12"/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3"/>
      <c r="M35" s="3" t="s">
        <v>24</v>
      </c>
      <c r="N35" s="9">
        <v>0</v>
      </c>
      <c r="O35" s="9">
        <v>0</v>
      </c>
      <c r="P35" s="12" t="s">
        <v>24</v>
      </c>
      <c r="Q35" s="9">
        <v>0</v>
      </c>
      <c r="R35" s="11">
        <v>0</v>
      </c>
      <c r="S35" s="10">
        <v>0</v>
      </c>
      <c r="T35" s="9">
        <v>0</v>
      </c>
      <c r="U35" s="14">
        <v>0</v>
      </c>
      <c r="V35" s="12" t="s">
        <v>170</v>
      </c>
      <c r="W35" s="9"/>
      <c r="X35" s="9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Blad8"/>
  <dimension ref="A1:X35"/>
  <sheetViews>
    <sheetView topLeftCell="C1" workbookViewId="0">
      <selection activeCell="W5" sqref="W5:X35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150</v>
      </c>
      <c r="C1" s="7">
        <v>43811.708333333299</v>
      </c>
      <c r="E1" s="1" t="s">
        <v>151</v>
      </c>
      <c r="F1" s="4" t="s">
        <v>179</v>
      </c>
    </row>
    <row r="3" spans="1:24" x14ac:dyDescent="0.35">
      <c r="A3" s="24" t="s">
        <v>0</v>
      </c>
      <c r="B3" s="24"/>
      <c r="C3" s="24" t="s">
        <v>2</v>
      </c>
      <c r="D3" s="24"/>
      <c r="E3" s="24"/>
      <c r="F3" s="24" t="s">
        <v>3</v>
      </c>
      <c r="G3" s="24"/>
      <c r="H3" s="24" t="s">
        <v>4</v>
      </c>
      <c r="I3" s="24"/>
      <c r="J3" s="24"/>
      <c r="K3" s="24"/>
      <c r="L3" s="24" t="s">
        <v>152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153</v>
      </c>
      <c r="M4" s="1" t="s">
        <v>154</v>
      </c>
      <c r="N4" s="1" t="s">
        <v>155</v>
      </c>
      <c r="O4" s="1" t="s">
        <v>156</v>
      </c>
      <c r="P4" s="1" t="s">
        <v>157</v>
      </c>
      <c r="Q4" s="1" t="s">
        <v>158</v>
      </c>
      <c r="R4" s="1" t="s">
        <v>159</v>
      </c>
      <c r="S4" s="1" t="s">
        <v>160</v>
      </c>
      <c r="T4" s="1" t="s">
        <v>161</v>
      </c>
      <c r="U4" s="1" t="s">
        <v>162</v>
      </c>
      <c r="V4" s="1" t="s">
        <v>152</v>
      </c>
      <c r="W4" s="1" t="s">
        <v>163</v>
      </c>
      <c r="X4" s="1" t="s">
        <v>164</v>
      </c>
    </row>
    <row r="5" spans="1:24" x14ac:dyDescent="0.35">
      <c r="A5" s="2">
        <v>0</v>
      </c>
      <c r="B5" s="3" t="s">
        <v>18</v>
      </c>
      <c r="C5" s="5">
        <v>43808.375</v>
      </c>
      <c r="D5" s="5">
        <v>43839.5</v>
      </c>
      <c r="E5" s="2" t="s">
        <v>20</v>
      </c>
      <c r="F5" s="2"/>
      <c r="G5" s="6"/>
      <c r="H5" s="6">
        <v>118411.30004882799</v>
      </c>
      <c r="I5" s="6"/>
      <c r="J5" s="6"/>
      <c r="K5" s="6">
        <v>126955.30004882799</v>
      </c>
      <c r="L5" s="2"/>
      <c r="M5" s="2" t="s">
        <v>180</v>
      </c>
      <c r="N5" s="6"/>
      <c r="O5" s="6"/>
      <c r="P5" s="2"/>
      <c r="Q5" s="6"/>
      <c r="R5" s="6"/>
      <c r="S5" s="6">
        <v>42147</v>
      </c>
      <c r="T5" s="6"/>
      <c r="U5" s="13">
        <v>0.33398684404949502</v>
      </c>
      <c r="V5" s="2"/>
      <c r="W5" s="6"/>
      <c r="X5" s="6"/>
    </row>
    <row r="6" spans="1:24" x14ac:dyDescent="0.35">
      <c r="A6" s="3">
        <v>1</v>
      </c>
      <c r="B6" s="3" t="s">
        <v>21</v>
      </c>
      <c r="C6" s="8">
        <v>43808.375</v>
      </c>
      <c r="D6" s="8">
        <v>43806.708333333299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43808.375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166</v>
      </c>
      <c r="W6" s="9"/>
      <c r="X6" s="9"/>
    </row>
    <row r="7" spans="1:24" ht="22" x14ac:dyDescent="0.35">
      <c r="A7" s="3">
        <v>2</v>
      </c>
      <c r="B7" s="3" t="s">
        <v>25</v>
      </c>
      <c r="C7" s="8">
        <v>43808.375</v>
      </c>
      <c r="D7" s="8">
        <v>43808.5</v>
      </c>
      <c r="E7" s="12" t="s">
        <v>29</v>
      </c>
      <c r="F7" s="12" t="s">
        <v>30</v>
      </c>
      <c r="G7" s="9">
        <v>36</v>
      </c>
      <c r="H7" s="9">
        <v>931.5</v>
      </c>
      <c r="I7" s="9">
        <v>0</v>
      </c>
      <c r="J7" s="9">
        <v>0</v>
      </c>
      <c r="K7" s="9">
        <v>967.5</v>
      </c>
      <c r="L7" s="7">
        <v>43808.375</v>
      </c>
      <c r="M7" s="3" t="s">
        <v>29</v>
      </c>
      <c r="N7" s="9">
        <v>967.5</v>
      </c>
      <c r="O7" s="9">
        <v>0</v>
      </c>
      <c r="P7" s="12" t="s">
        <v>24</v>
      </c>
      <c r="Q7" s="9">
        <v>0</v>
      </c>
      <c r="R7" s="11">
        <v>0</v>
      </c>
      <c r="S7" s="10">
        <v>967.5</v>
      </c>
      <c r="T7" s="9">
        <v>0</v>
      </c>
      <c r="U7" s="14">
        <v>1</v>
      </c>
      <c r="V7" s="12" t="s">
        <v>166</v>
      </c>
      <c r="W7" s="9"/>
      <c r="X7" s="9"/>
    </row>
    <row r="8" spans="1:24" x14ac:dyDescent="0.35">
      <c r="A8" s="3">
        <v>3</v>
      </c>
      <c r="B8" s="3" t="s">
        <v>31</v>
      </c>
      <c r="C8" s="8">
        <v>43808.541666666701</v>
      </c>
      <c r="D8" s="8">
        <v>43813.5</v>
      </c>
      <c r="E8" s="12" t="s">
        <v>35</v>
      </c>
      <c r="F8" s="12" t="s">
        <v>36</v>
      </c>
      <c r="G8" s="9">
        <v>840</v>
      </c>
      <c r="H8" s="9">
        <v>950.5</v>
      </c>
      <c r="I8" s="9">
        <v>0</v>
      </c>
      <c r="J8" s="9">
        <v>0</v>
      </c>
      <c r="K8" s="9">
        <v>1790.5</v>
      </c>
      <c r="L8" s="7">
        <v>43808.541666666701</v>
      </c>
      <c r="M8" s="3" t="s">
        <v>181</v>
      </c>
      <c r="N8" s="9">
        <v>1550.5</v>
      </c>
      <c r="O8" s="9">
        <v>0</v>
      </c>
      <c r="P8" s="12" t="s">
        <v>24</v>
      </c>
      <c r="Q8" s="9">
        <v>0</v>
      </c>
      <c r="R8" s="11">
        <v>0</v>
      </c>
      <c r="S8" s="10">
        <v>1550.5</v>
      </c>
      <c r="T8" s="9">
        <v>0</v>
      </c>
      <c r="U8" s="14">
        <v>1</v>
      </c>
      <c r="V8" s="12" t="s">
        <v>166</v>
      </c>
      <c r="W8" s="9"/>
      <c r="X8" s="9"/>
    </row>
    <row r="9" spans="1:24" x14ac:dyDescent="0.35">
      <c r="A9" s="3">
        <v>4</v>
      </c>
      <c r="B9" s="3" t="s">
        <v>37</v>
      </c>
      <c r="C9" s="8">
        <v>43813.541666666701</v>
      </c>
      <c r="D9" s="8">
        <v>43816.625</v>
      </c>
      <c r="E9" s="12" t="s">
        <v>41</v>
      </c>
      <c r="F9" s="12" t="s">
        <v>42</v>
      </c>
      <c r="G9" s="9">
        <v>640</v>
      </c>
      <c r="H9" s="9">
        <v>8819</v>
      </c>
      <c r="I9" s="9">
        <v>0</v>
      </c>
      <c r="J9" s="9">
        <v>0</v>
      </c>
      <c r="K9" s="9">
        <v>9459</v>
      </c>
      <c r="L9" s="3"/>
      <c r="M9" s="3" t="s">
        <v>24</v>
      </c>
      <c r="N9" s="9">
        <v>0</v>
      </c>
      <c r="O9" s="9">
        <v>9459</v>
      </c>
      <c r="P9" s="12" t="s">
        <v>41</v>
      </c>
      <c r="Q9" s="9">
        <v>0</v>
      </c>
      <c r="R9" s="11">
        <v>0</v>
      </c>
      <c r="S9" s="10">
        <v>0</v>
      </c>
      <c r="T9" s="9">
        <v>9459</v>
      </c>
      <c r="U9" s="14">
        <v>0</v>
      </c>
      <c r="V9" s="12" t="s">
        <v>170</v>
      </c>
      <c r="W9" s="9"/>
      <c r="X9" s="9"/>
    </row>
    <row r="10" spans="1:24" ht="22" x14ac:dyDescent="0.35">
      <c r="A10" s="3">
        <v>5</v>
      </c>
      <c r="B10" s="3" t="s">
        <v>43</v>
      </c>
      <c r="C10" s="8">
        <v>43816.625</v>
      </c>
      <c r="D10" s="8">
        <v>43827.708333333299</v>
      </c>
      <c r="E10" s="12" t="s">
        <v>47</v>
      </c>
      <c r="F10" s="12" t="s">
        <v>42</v>
      </c>
      <c r="G10" s="9">
        <v>2880</v>
      </c>
      <c r="H10" s="9">
        <v>3166.5</v>
      </c>
      <c r="I10" s="9">
        <v>0</v>
      </c>
      <c r="J10" s="9">
        <v>0</v>
      </c>
      <c r="K10" s="9">
        <v>6046.5</v>
      </c>
      <c r="L10" s="3"/>
      <c r="M10" s="3" t="s">
        <v>24</v>
      </c>
      <c r="N10" s="9">
        <v>0</v>
      </c>
      <c r="O10" s="9">
        <v>6046.5</v>
      </c>
      <c r="P10" s="12" t="s">
        <v>47</v>
      </c>
      <c r="Q10" s="9">
        <v>0</v>
      </c>
      <c r="R10" s="11">
        <v>0</v>
      </c>
      <c r="S10" s="10">
        <v>0</v>
      </c>
      <c r="T10" s="9">
        <v>6046.5</v>
      </c>
      <c r="U10" s="14">
        <v>0</v>
      </c>
      <c r="V10" s="12" t="s">
        <v>170</v>
      </c>
      <c r="W10" s="9"/>
      <c r="X10" s="9"/>
    </row>
    <row r="11" spans="1:24" x14ac:dyDescent="0.35">
      <c r="A11" s="3">
        <v>6</v>
      </c>
      <c r="B11" s="3" t="s">
        <v>48</v>
      </c>
      <c r="C11" s="8">
        <v>43830.583333333299</v>
      </c>
      <c r="D11" s="8">
        <v>43832.583333333299</v>
      </c>
      <c r="E11" s="12" t="s">
        <v>51</v>
      </c>
      <c r="F11" s="12" t="s">
        <v>52</v>
      </c>
      <c r="G11" s="9">
        <v>448</v>
      </c>
      <c r="H11" s="9">
        <v>1802.5</v>
      </c>
      <c r="I11" s="9">
        <v>0</v>
      </c>
      <c r="J11" s="9">
        <v>0</v>
      </c>
      <c r="K11" s="9">
        <v>2250.5</v>
      </c>
      <c r="L11" s="7">
        <v>43808.541666666701</v>
      </c>
      <c r="M11" s="3" t="s">
        <v>41</v>
      </c>
      <c r="N11" s="9">
        <v>2314.5</v>
      </c>
      <c r="O11" s="9">
        <v>0</v>
      </c>
      <c r="P11" s="12" t="s">
        <v>24</v>
      </c>
      <c r="Q11" s="9">
        <v>0</v>
      </c>
      <c r="R11" s="11">
        <v>0</v>
      </c>
      <c r="S11" s="10">
        <v>2314.5</v>
      </c>
      <c r="T11" s="9">
        <v>0</v>
      </c>
      <c r="U11" s="14">
        <v>1</v>
      </c>
      <c r="V11" s="12" t="s">
        <v>166</v>
      </c>
      <c r="W11" s="9"/>
      <c r="X11" s="9"/>
    </row>
    <row r="12" spans="1:24" x14ac:dyDescent="0.35">
      <c r="A12" s="3">
        <v>7</v>
      </c>
      <c r="B12" s="3" t="s">
        <v>53</v>
      </c>
      <c r="C12" s="8">
        <v>43815.416666666701</v>
      </c>
      <c r="D12" s="8">
        <v>43822.416666666701</v>
      </c>
      <c r="E12" s="12" t="s">
        <v>56</v>
      </c>
      <c r="F12" s="12" t="s">
        <v>57</v>
      </c>
      <c r="G12" s="9">
        <v>672</v>
      </c>
      <c r="H12" s="9">
        <v>1970.5</v>
      </c>
      <c r="I12" s="9">
        <v>0</v>
      </c>
      <c r="J12" s="9">
        <v>0</v>
      </c>
      <c r="K12" s="9">
        <v>2642.5</v>
      </c>
      <c r="L12" s="3"/>
      <c r="M12" s="3" t="s">
        <v>24</v>
      </c>
      <c r="N12" s="9">
        <v>0</v>
      </c>
      <c r="O12" s="9">
        <v>2642.5</v>
      </c>
      <c r="P12" s="12" t="s">
        <v>56</v>
      </c>
      <c r="Q12" s="9">
        <v>0</v>
      </c>
      <c r="R12" s="11">
        <v>0</v>
      </c>
      <c r="S12" s="10">
        <v>0</v>
      </c>
      <c r="T12" s="9">
        <v>2642.5</v>
      </c>
      <c r="U12" s="14">
        <v>0</v>
      </c>
      <c r="V12" s="12" t="s">
        <v>170</v>
      </c>
      <c r="W12" s="9"/>
      <c r="X12" s="9"/>
    </row>
    <row r="13" spans="1:24" ht="22" x14ac:dyDescent="0.35">
      <c r="A13" s="3">
        <v>8</v>
      </c>
      <c r="B13" s="3" t="s">
        <v>58</v>
      </c>
      <c r="C13" s="8">
        <v>43831.583333333299</v>
      </c>
      <c r="D13" s="8">
        <v>43832.583333333299</v>
      </c>
      <c r="E13" s="12" t="s">
        <v>61</v>
      </c>
      <c r="F13" s="12" t="s">
        <v>57</v>
      </c>
      <c r="G13" s="9">
        <v>112</v>
      </c>
      <c r="H13" s="9">
        <v>602.5</v>
      </c>
      <c r="I13" s="9">
        <v>0</v>
      </c>
      <c r="J13" s="9">
        <v>0</v>
      </c>
      <c r="K13" s="9">
        <v>714.5</v>
      </c>
      <c r="L13" s="3"/>
      <c r="M13" s="3" t="s">
        <v>24</v>
      </c>
      <c r="N13" s="9">
        <v>0</v>
      </c>
      <c r="O13" s="9">
        <v>714.5</v>
      </c>
      <c r="P13" s="12" t="s">
        <v>61</v>
      </c>
      <c r="Q13" s="9">
        <v>0</v>
      </c>
      <c r="R13" s="11">
        <v>0</v>
      </c>
      <c r="S13" s="10">
        <v>0</v>
      </c>
      <c r="T13" s="9">
        <v>714.5</v>
      </c>
      <c r="U13" s="14">
        <v>0</v>
      </c>
      <c r="V13" s="12" t="s">
        <v>170</v>
      </c>
      <c r="W13" s="9"/>
      <c r="X13" s="9"/>
    </row>
    <row r="14" spans="1:24" x14ac:dyDescent="0.35">
      <c r="A14" s="3">
        <v>9</v>
      </c>
      <c r="B14" s="3" t="s">
        <v>62</v>
      </c>
      <c r="C14" s="8">
        <v>43829.583333333299</v>
      </c>
      <c r="D14" s="8">
        <v>43830.583333333299</v>
      </c>
      <c r="E14" s="12" t="s">
        <v>61</v>
      </c>
      <c r="F14" s="12" t="s">
        <v>57</v>
      </c>
      <c r="G14" s="9">
        <v>112</v>
      </c>
      <c r="H14" s="9">
        <v>602.5</v>
      </c>
      <c r="I14" s="9">
        <v>0</v>
      </c>
      <c r="J14" s="9">
        <v>0</v>
      </c>
      <c r="K14" s="9">
        <v>714.5</v>
      </c>
      <c r="L14" s="3"/>
      <c r="M14" s="3" t="s">
        <v>24</v>
      </c>
      <c r="N14" s="9">
        <v>0</v>
      </c>
      <c r="O14" s="9">
        <v>714.5</v>
      </c>
      <c r="P14" s="12" t="s">
        <v>61</v>
      </c>
      <c r="Q14" s="9">
        <v>0</v>
      </c>
      <c r="R14" s="11">
        <v>0</v>
      </c>
      <c r="S14" s="10">
        <v>0</v>
      </c>
      <c r="T14" s="9">
        <v>714.5</v>
      </c>
      <c r="U14" s="14">
        <v>0</v>
      </c>
      <c r="V14" s="12" t="s">
        <v>170</v>
      </c>
      <c r="W14" s="9"/>
      <c r="X14" s="9"/>
    </row>
    <row r="15" spans="1:24" ht="22" x14ac:dyDescent="0.35">
      <c r="A15" s="3">
        <v>10</v>
      </c>
      <c r="B15" s="3" t="s">
        <v>64</v>
      </c>
      <c r="C15" s="8">
        <v>43829.375</v>
      </c>
      <c r="D15" s="8">
        <v>43829.708333333299</v>
      </c>
      <c r="E15" s="12" t="s">
        <v>61</v>
      </c>
      <c r="F15" s="12" t="s">
        <v>67</v>
      </c>
      <c r="G15" s="9">
        <v>56</v>
      </c>
      <c r="H15" s="9">
        <v>602.5</v>
      </c>
      <c r="I15" s="9">
        <v>0</v>
      </c>
      <c r="J15" s="9">
        <v>0</v>
      </c>
      <c r="K15" s="9">
        <v>658.5</v>
      </c>
      <c r="L15" s="3"/>
      <c r="M15" s="3" t="s">
        <v>24</v>
      </c>
      <c r="N15" s="9">
        <v>0</v>
      </c>
      <c r="O15" s="9">
        <v>658.5</v>
      </c>
      <c r="P15" s="12" t="s">
        <v>61</v>
      </c>
      <c r="Q15" s="9">
        <v>0</v>
      </c>
      <c r="R15" s="11">
        <v>0</v>
      </c>
      <c r="S15" s="10">
        <v>0</v>
      </c>
      <c r="T15" s="9">
        <v>658.5</v>
      </c>
      <c r="U15" s="14">
        <v>0</v>
      </c>
      <c r="V15" s="12" t="s">
        <v>170</v>
      </c>
      <c r="W15" s="9"/>
      <c r="X15" s="9"/>
    </row>
    <row r="16" spans="1:24" x14ac:dyDescent="0.35">
      <c r="A16" s="3">
        <v>11</v>
      </c>
      <c r="B16" s="3" t="s">
        <v>68</v>
      </c>
      <c r="C16" s="8">
        <v>43813.416666666701</v>
      </c>
      <c r="D16" s="8">
        <v>43815.416666666701</v>
      </c>
      <c r="E16" s="12" t="s">
        <v>61</v>
      </c>
      <c r="F16" s="12" t="s">
        <v>67</v>
      </c>
      <c r="G16" s="9">
        <v>56</v>
      </c>
      <c r="H16" s="9">
        <v>602.5</v>
      </c>
      <c r="I16" s="9">
        <v>0</v>
      </c>
      <c r="J16" s="9">
        <v>0</v>
      </c>
      <c r="K16" s="9">
        <v>658.5</v>
      </c>
      <c r="L16" s="3"/>
      <c r="M16" s="3" t="s">
        <v>24</v>
      </c>
      <c r="N16" s="9">
        <v>0</v>
      </c>
      <c r="O16" s="9">
        <v>658.5</v>
      </c>
      <c r="P16" s="12" t="s">
        <v>61</v>
      </c>
      <c r="Q16" s="9">
        <v>0</v>
      </c>
      <c r="R16" s="11">
        <v>0</v>
      </c>
      <c r="S16" s="10">
        <v>0</v>
      </c>
      <c r="T16" s="9">
        <v>658.5</v>
      </c>
      <c r="U16" s="14">
        <v>0</v>
      </c>
      <c r="V16" s="12" t="s">
        <v>170</v>
      </c>
      <c r="W16" s="9"/>
      <c r="X16" s="9"/>
    </row>
    <row r="17" spans="1:24" ht="22" x14ac:dyDescent="0.35">
      <c r="A17" s="3">
        <v>13</v>
      </c>
      <c r="B17" s="3" t="s">
        <v>70</v>
      </c>
      <c r="C17" s="8">
        <v>43823.416666666701</v>
      </c>
      <c r="D17" s="8">
        <v>43823.583333333299</v>
      </c>
      <c r="E17" s="12" t="s">
        <v>29</v>
      </c>
      <c r="F17" s="12" t="s">
        <v>67</v>
      </c>
      <c r="G17" s="9">
        <v>24</v>
      </c>
      <c r="H17" s="9">
        <v>602.5</v>
      </c>
      <c r="I17" s="9">
        <v>0</v>
      </c>
      <c r="J17" s="9">
        <v>0</v>
      </c>
      <c r="K17" s="9">
        <v>626.5</v>
      </c>
      <c r="L17" s="7">
        <v>43811.458333333299</v>
      </c>
      <c r="M17" s="3" t="s">
        <v>29</v>
      </c>
      <c r="N17" s="9">
        <v>626.5</v>
      </c>
      <c r="O17" s="9">
        <v>0</v>
      </c>
      <c r="P17" s="12" t="s">
        <v>24</v>
      </c>
      <c r="Q17" s="9">
        <v>0</v>
      </c>
      <c r="R17" s="11">
        <v>0</v>
      </c>
      <c r="S17" s="10">
        <v>626.5</v>
      </c>
      <c r="T17" s="9">
        <v>0</v>
      </c>
      <c r="U17" s="14">
        <v>1</v>
      </c>
      <c r="V17" s="12" t="s">
        <v>166</v>
      </c>
      <c r="W17" s="9"/>
      <c r="X17" s="9"/>
    </row>
    <row r="18" spans="1:24" x14ac:dyDescent="0.35">
      <c r="A18" s="3">
        <v>14</v>
      </c>
      <c r="B18" s="3" t="s">
        <v>74</v>
      </c>
      <c r="C18" s="8">
        <v>43836.583333333299</v>
      </c>
      <c r="D18" s="8">
        <v>43838.583333333299</v>
      </c>
      <c r="E18" s="12" t="s">
        <v>51</v>
      </c>
      <c r="F18" s="12" t="s">
        <v>77</v>
      </c>
      <c r="G18" s="9">
        <v>672</v>
      </c>
      <c r="H18" s="9">
        <v>602.5</v>
      </c>
      <c r="I18" s="9">
        <v>0</v>
      </c>
      <c r="J18" s="9">
        <v>0</v>
      </c>
      <c r="K18" s="9">
        <v>1274.5</v>
      </c>
      <c r="L18" s="3"/>
      <c r="M18" s="3" t="s">
        <v>24</v>
      </c>
      <c r="N18" s="9">
        <v>0</v>
      </c>
      <c r="O18" s="9">
        <v>1274.5</v>
      </c>
      <c r="P18" s="12" t="s">
        <v>51</v>
      </c>
      <c r="Q18" s="9">
        <v>0</v>
      </c>
      <c r="R18" s="11">
        <v>0</v>
      </c>
      <c r="S18" s="10">
        <v>0</v>
      </c>
      <c r="T18" s="9">
        <v>1274.5</v>
      </c>
      <c r="U18" s="14">
        <v>0</v>
      </c>
      <c r="V18" s="12" t="s">
        <v>170</v>
      </c>
      <c r="W18" s="9"/>
      <c r="X18" s="9"/>
    </row>
    <row r="19" spans="1:24" x14ac:dyDescent="0.35">
      <c r="A19" s="3">
        <v>15</v>
      </c>
      <c r="B19" s="3" t="s">
        <v>78</v>
      </c>
      <c r="C19" s="8">
        <v>43829.583333333299</v>
      </c>
      <c r="D19" s="8">
        <v>43830.583333333299</v>
      </c>
      <c r="E19" s="12" t="s">
        <v>61</v>
      </c>
      <c r="F19" s="12" t="s">
        <v>57</v>
      </c>
      <c r="G19" s="9">
        <v>112</v>
      </c>
      <c r="H19" s="9">
        <v>602.5</v>
      </c>
      <c r="I19" s="9">
        <v>0</v>
      </c>
      <c r="J19" s="9">
        <v>0</v>
      </c>
      <c r="K19" s="9">
        <v>714.5</v>
      </c>
      <c r="L19" s="3"/>
      <c r="M19" s="3" t="s">
        <v>24</v>
      </c>
      <c r="N19" s="9">
        <v>0</v>
      </c>
      <c r="O19" s="9">
        <v>714.5</v>
      </c>
      <c r="P19" s="12" t="s">
        <v>61</v>
      </c>
      <c r="Q19" s="9">
        <v>0</v>
      </c>
      <c r="R19" s="11">
        <v>0</v>
      </c>
      <c r="S19" s="10">
        <v>0</v>
      </c>
      <c r="T19" s="9">
        <v>714.5</v>
      </c>
      <c r="U19" s="14">
        <v>0</v>
      </c>
      <c r="V19" s="12" t="s">
        <v>170</v>
      </c>
      <c r="W19" s="9"/>
      <c r="X19" s="9"/>
    </row>
    <row r="20" spans="1:24" x14ac:dyDescent="0.35">
      <c r="A20" s="3">
        <v>16</v>
      </c>
      <c r="B20" s="3" t="s">
        <v>80</v>
      </c>
      <c r="C20" s="8">
        <v>43827.416666666701</v>
      </c>
      <c r="D20" s="8">
        <v>43827.583333333299</v>
      </c>
      <c r="E20" s="12" t="s">
        <v>29</v>
      </c>
      <c r="F20" s="12" t="s">
        <v>57</v>
      </c>
      <c r="G20" s="9">
        <v>48</v>
      </c>
      <c r="H20" s="9">
        <v>602.5</v>
      </c>
      <c r="I20" s="9">
        <v>0</v>
      </c>
      <c r="J20" s="9">
        <v>0</v>
      </c>
      <c r="K20" s="9">
        <v>650.5</v>
      </c>
      <c r="L20" s="3"/>
      <c r="M20" s="3" t="s">
        <v>24</v>
      </c>
      <c r="N20" s="9">
        <v>0</v>
      </c>
      <c r="O20" s="9">
        <v>650.5</v>
      </c>
      <c r="P20" s="12" t="s">
        <v>29</v>
      </c>
      <c r="Q20" s="9">
        <v>0</v>
      </c>
      <c r="R20" s="11">
        <v>0</v>
      </c>
      <c r="S20" s="10">
        <v>0</v>
      </c>
      <c r="T20" s="9">
        <v>650.5</v>
      </c>
      <c r="U20" s="14">
        <v>0</v>
      </c>
      <c r="V20" s="12" t="s">
        <v>170</v>
      </c>
      <c r="W20" s="9"/>
      <c r="X20" s="9"/>
    </row>
    <row r="21" spans="1:24" x14ac:dyDescent="0.35">
      <c r="A21" s="3">
        <v>17</v>
      </c>
      <c r="B21" s="3" t="s">
        <v>82</v>
      </c>
      <c r="C21" s="8">
        <v>43822.416666666701</v>
      </c>
      <c r="D21" s="8">
        <v>43823.416666666701</v>
      </c>
      <c r="E21" s="12" t="s">
        <v>61</v>
      </c>
      <c r="F21" s="12" t="s">
        <v>85</v>
      </c>
      <c r="G21" s="9">
        <v>140</v>
      </c>
      <c r="H21" s="9">
        <v>3302.5</v>
      </c>
      <c r="I21" s="9">
        <v>0</v>
      </c>
      <c r="J21" s="9">
        <v>0</v>
      </c>
      <c r="K21" s="9">
        <v>3442.5</v>
      </c>
      <c r="L21" s="7">
        <v>43810.625</v>
      </c>
      <c r="M21" s="3" t="s">
        <v>167</v>
      </c>
      <c r="N21" s="9">
        <v>3382.5</v>
      </c>
      <c r="O21" s="9">
        <v>0</v>
      </c>
      <c r="P21" s="12" t="s">
        <v>24</v>
      </c>
      <c r="Q21" s="9">
        <v>0</v>
      </c>
      <c r="R21" s="11">
        <v>0</v>
      </c>
      <c r="S21" s="10">
        <v>3382.5</v>
      </c>
      <c r="T21" s="9">
        <v>0</v>
      </c>
      <c r="U21" s="14">
        <v>1</v>
      </c>
      <c r="V21" s="12" t="s">
        <v>166</v>
      </c>
      <c r="W21" s="9"/>
      <c r="X21" s="9"/>
    </row>
    <row r="22" spans="1:24" x14ac:dyDescent="0.35">
      <c r="A22" s="3">
        <v>18</v>
      </c>
      <c r="B22" s="3" t="s">
        <v>86</v>
      </c>
      <c r="C22" s="8">
        <v>43832.583333333299</v>
      </c>
      <c r="D22" s="8">
        <v>43833.583333333299</v>
      </c>
      <c r="E22" s="12" t="s">
        <v>61</v>
      </c>
      <c r="F22" s="12" t="s">
        <v>57</v>
      </c>
      <c r="G22" s="9">
        <v>112</v>
      </c>
      <c r="H22" s="9">
        <v>602.5</v>
      </c>
      <c r="I22" s="9">
        <v>0</v>
      </c>
      <c r="J22" s="9">
        <v>0</v>
      </c>
      <c r="K22" s="9">
        <v>714.5</v>
      </c>
      <c r="L22" s="3"/>
      <c r="M22" s="3" t="s">
        <v>24</v>
      </c>
      <c r="N22" s="9">
        <v>0</v>
      </c>
      <c r="O22" s="9">
        <v>714.5</v>
      </c>
      <c r="P22" s="12" t="s">
        <v>61</v>
      </c>
      <c r="Q22" s="9">
        <v>0</v>
      </c>
      <c r="R22" s="11">
        <v>0</v>
      </c>
      <c r="S22" s="10">
        <v>0</v>
      </c>
      <c r="T22" s="9">
        <v>714.5</v>
      </c>
      <c r="U22" s="14">
        <v>0</v>
      </c>
      <c r="V22" s="12" t="s">
        <v>170</v>
      </c>
      <c r="W22" s="9"/>
      <c r="X22" s="9"/>
    </row>
    <row r="23" spans="1:24" ht="22" x14ac:dyDescent="0.35">
      <c r="A23" s="3">
        <v>19</v>
      </c>
      <c r="B23" s="3" t="s">
        <v>88</v>
      </c>
      <c r="C23" s="8">
        <v>43833.583333333299</v>
      </c>
      <c r="D23" s="8">
        <v>43836.583333333299</v>
      </c>
      <c r="E23" s="12" t="s">
        <v>51</v>
      </c>
      <c r="F23" s="12" t="s">
        <v>77</v>
      </c>
      <c r="G23" s="9">
        <v>672</v>
      </c>
      <c r="H23" s="9">
        <v>2252.5</v>
      </c>
      <c r="I23" s="9">
        <v>0</v>
      </c>
      <c r="J23" s="9">
        <v>0</v>
      </c>
      <c r="K23" s="9">
        <v>2924.5</v>
      </c>
      <c r="L23" s="3"/>
      <c r="M23" s="3" t="s">
        <v>24</v>
      </c>
      <c r="N23" s="9">
        <v>0</v>
      </c>
      <c r="O23" s="9">
        <v>2924.5</v>
      </c>
      <c r="P23" s="12" t="s">
        <v>51</v>
      </c>
      <c r="Q23" s="9">
        <v>0</v>
      </c>
      <c r="R23" s="11">
        <v>0</v>
      </c>
      <c r="S23" s="10">
        <v>0</v>
      </c>
      <c r="T23" s="9">
        <v>2924.5</v>
      </c>
      <c r="U23" s="14">
        <v>0</v>
      </c>
      <c r="V23" s="12" t="s">
        <v>170</v>
      </c>
      <c r="W23" s="9"/>
      <c r="X23" s="9"/>
    </row>
    <row r="24" spans="1:24" x14ac:dyDescent="0.35">
      <c r="A24" s="3">
        <v>20</v>
      </c>
      <c r="B24" s="3" t="s">
        <v>91</v>
      </c>
      <c r="C24" s="8">
        <v>43824.416666666701</v>
      </c>
      <c r="D24" s="8">
        <v>43825.416666666701</v>
      </c>
      <c r="E24" s="12" t="s">
        <v>61</v>
      </c>
      <c r="F24" s="12" t="s">
        <v>67</v>
      </c>
      <c r="G24" s="9">
        <v>56</v>
      </c>
      <c r="H24" s="9">
        <v>28602.5</v>
      </c>
      <c r="I24" s="9">
        <v>0</v>
      </c>
      <c r="J24" s="9">
        <v>0</v>
      </c>
      <c r="K24" s="9">
        <v>28658.5</v>
      </c>
      <c r="L24" s="7">
        <v>43811.458333333299</v>
      </c>
      <c r="M24" s="3" t="s">
        <v>174</v>
      </c>
      <c r="N24" s="9">
        <v>28642.5</v>
      </c>
      <c r="O24" s="9">
        <v>0</v>
      </c>
      <c r="P24" s="12" t="s">
        <v>24</v>
      </c>
      <c r="Q24" s="9">
        <v>0</v>
      </c>
      <c r="R24" s="11">
        <v>0</v>
      </c>
      <c r="S24" s="10">
        <v>28642.5</v>
      </c>
      <c r="T24" s="9">
        <v>0</v>
      </c>
      <c r="U24" s="14">
        <v>1</v>
      </c>
      <c r="V24" s="12" t="s">
        <v>166</v>
      </c>
      <c r="W24" s="9"/>
      <c r="X24" s="9"/>
    </row>
    <row r="25" spans="1:24" ht="22" x14ac:dyDescent="0.35">
      <c r="A25" s="3">
        <v>21</v>
      </c>
      <c r="B25" s="3" t="s">
        <v>95</v>
      </c>
      <c r="C25" s="8">
        <v>43830.583333333299</v>
      </c>
      <c r="D25" s="8">
        <v>43831.583333333299</v>
      </c>
      <c r="E25" s="12" t="s">
        <v>61</v>
      </c>
      <c r="F25" s="12" t="s">
        <v>36</v>
      </c>
      <c r="G25" s="9">
        <v>168</v>
      </c>
      <c r="H25" s="9">
        <v>3677.5</v>
      </c>
      <c r="I25" s="9">
        <v>0</v>
      </c>
      <c r="J25" s="9">
        <v>0</v>
      </c>
      <c r="K25" s="9">
        <v>3845.5</v>
      </c>
      <c r="L25" s="3"/>
      <c r="M25" s="3" t="s">
        <v>24</v>
      </c>
      <c r="N25" s="9">
        <v>0</v>
      </c>
      <c r="O25" s="9">
        <v>3845.5</v>
      </c>
      <c r="P25" s="12" t="s">
        <v>61</v>
      </c>
      <c r="Q25" s="9">
        <v>0</v>
      </c>
      <c r="R25" s="11">
        <v>0</v>
      </c>
      <c r="S25" s="10">
        <v>0</v>
      </c>
      <c r="T25" s="9">
        <v>3845.5</v>
      </c>
      <c r="U25" s="14">
        <v>0</v>
      </c>
      <c r="V25" s="12" t="s">
        <v>170</v>
      </c>
      <c r="W25" s="9"/>
      <c r="X25" s="9"/>
    </row>
    <row r="26" spans="1:24" x14ac:dyDescent="0.35">
      <c r="A26" s="3">
        <v>22</v>
      </c>
      <c r="B26" s="3" t="s">
        <v>98</v>
      </c>
      <c r="C26" s="8">
        <v>43825.416666666701</v>
      </c>
      <c r="D26" s="8">
        <v>43826.416666666701</v>
      </c>
      <c r="E26" s="12" t="s">
        <v>61</v>
      </c>
      <c r="F26" s="12" t="s">
        <v>67</v>
      </c>
      <c r="G26" s="9">
        <v>56</v>
      </c>
      <c r="H26" s="9">
        <v>602.5</v>
      </c>
      <c r="I26" s="9">
        <v>0</v>
      </c>
      <c r="J26" s="9">
        <v>0</v>
      </c>
      <c r="K26" s="9">
        <v>658.5</v>
      </c>
      <c r="L26" s="3"/>
      <c r="M26" s="3" t="s">
        <v>24</v>
      </c>
      <c r="N26" s="9">
        <v>0</v>
      </c>
      <c r="O26" s="9">
        <v>658.5</v>
      </c>
      <c r="P26" s="12" t="s">
        <v>61</v>
      </c>
      <c r="Q26" s="9">
        <v>0</v>
      </c>
      <c r="R26" s="11">
        <v>0</v>
      </c>
      <c r="S26" s="10">
        <v>0</v>
      </c>
      <c r="T26" s="9">
        <v>658.5</v>
      </c>
      <c r="U26" s="14">
        <v>0</v>
      </c>
      <c r="V26" s="12" t="s">
        <v>170</v>
      </c>
      <c r="W26" s="9"/>
      <c r="X26" s="9"/>
    </row>
    <row r="27" spans="1:24" x14ac:dyDescent="0.35">
      <c r="A27" s="3">
        <v>23</v>
      </c>
      <c r="B27" s="3" t="s">
        <v>101</v>
      </c>
      <c r="C27" s="8">
        <v>43832.583333333299</v>
      </c>
      <c r="D27" s="8">
        <v>43833.583333333299</v>
      </c>
      <c r="E27" s="12" t="s">
        <v>61</v>
      </c>
      <c r="F27" s="12" t="s">
        <v>52</v>
      </c>
      <c r="G27" s="9">
        <v>224</v>
      </c>
      <c r="H27" s="9">
        <v>43602.5</v>
      </c>
      <c r="I27" s="9">
        <v>0</v>
      </c>
      <c r="J27" s="9">
        <v>0</v>
      </c>
      <c r="K27" s="9">
        <v>43826.5</v>
      </c>
      <c r="L27" s="3"/>
      <c r="M27" s="3" t="s">
        <v>24</v>
      </c>
      <c r="N27" s="9">
        <v>0</v>
      </c>
      <c r="O27" s="9">
        <v>43826.5</v>
      </c>
      <c r="P27" s="12" t="s">
        <v>61</v>
      </c>
      <c r="Q27" s="9">
        <v>0</v>
      </c>
      <c r="R27" s="11">
        <v>0</v>
      </c>
      <c r="S27" s="10">
        <v>0</v>
      </c>
      <c r="T27" s="9">
        <v>43826.5</v>
      </c>
      <c r="U27" s="14">
        <v>0</v>
      </c>
      <c r="V27" s="12" t="s">
        <v>170</v>
      </c>
      <c r="W27" s="9"/>
      <c r="X27" s="9"/>
    </row>
    <row r="28" spans="1:24" x14ac:dyDescent="0.35">
      <c r="A28" s="3">
        <v>24</v>
      </c>
      <c r="B28" s="3" t="s">
        <v>103</v>
      </c>
      <c r="C28" s="8">
        <v>43826.416666666701</v>
      </c>
      <c r="D28" s="8">
        <v>43827.416666666701</v>
      </c>
      <c r="E28" s="12" t="s">
        <v>61</v>
      </c>
      <c r="F28" s="12" t="s">
        <v>67</v>
      </c>
      <c r="G28" s="9">
        <v>56</v>
      </c>
      <c r="H28" s="9">
        <v>1577.5</v>
      </c>
      <c r="I28" s="9">
        <v>0</v>
      </c>
      <c r="J28" s="9">
        <v>0</v>
      </c>
      <c r="K28" s="9">
        <v>1633.5</v>
      </c>
      <c r="L28" s="3"/>
      <c r="M28" s="3" t="s">
        <v>24</v>
      </c>
      <c r="N28" s="9">
        <v>0</v>
      </c>
      <c r="O28" s="9">
        <v>1633.5</v>
      </c>
      <c r="P28" s="12" t="s">
        <v>61</v>
      </c>
      <c r="Q28" s="9">
        <v>0</v>
      </c>
      <c r="R28" s="11">
        <v>0</v>
      </c>
      <c r="S28" s="10">
        <v>0</v>
      </c>
      <c r="T28" s="9">
        <v>1633.5</v>
      </c>
      <c r="U28" s="14">
        <v>0</v>
      </c>
      <c r="V28" s="12" t="s">
        <v>170</v>
      </c>
      <c r="W28" s="9"/>
      <c r="X28" s="9"/>
    </row>
    <row r="29" spans="1:24" x14ac:dyDescent="0.35">
      <c r="A29" s="3">
        <v>25</v>
      </c>
      <c r="B29" s="3" t="s">
        <v>106</v>
      </c>
      <c r="C29" s="8">
        <v>43813.416666666701</v>
      </c>
      <c r="D29" s="8">
        <v>43815.416666666701</v>
      </c>
      <c r="E29" s="12" t="s">
        <v>61</v>
      </c>
      <c r="F29" s="12" t="s">
        <v>67</v>
      </c>
      <c r="G29" s="9">
        <v>56</v>
      </c>
      <c r="H29" s="9">
        <v>2524.5</v>
      </c>
      <c r="I29" s="9">
        <v>0</v>
      </c>
      <c r="J29" s="9">
        <v>0</v>
      </c>
      <c r="K29" s="9">
        <v>2580.5</v>
      </c>
      <c r="L29" s="3"/>
      <c r="M29" s="3" t="s">
        <v>24</v>
      </c>
      <c r="N29" s="9">
        <v>0</v>
      </c>
      <c r="O29" s="9">
        <v>2580.5</v>
      </c>
      <c r="P29" s="12" t="s">
        <v>61</v>
      </c>
      <c r="Q29" s="9">
        <v>0</v>
      </c>
      <c r="R29" s="11">
        <v>0</v>
      </c>
      <c r="S29" s="10">
        <v>0</v>
      </c>
      <c r="T29" s="9">
        <v>2580.5</v>
      </c>
      <c r="U29" s="14">
        <v>0</v>
      </c>
      <c r="V29" s="12" t="s">
        <v>170</v>
      </c>
      <c r="W29" s="9"/>
      <c r="X29" s="9"/>
    </row>
    <row r="30" spans="1:24" x14ac:dyDescent="0.35">
      <c r="A30" s="3">
        <v>26</v>
      </c>
      <c r="B30" s="3" t="s">
        <v>108</v>
      </c>
      <c r="C30" s="8">
        <v>43829.583333333299</v>
      </c>
      <c r="D30" s="8">
        <v>43830.583333333299</v>
      </c>
      <c r="E30" s="12" t="s">
        <v>61</v>
      </c>
      <c r="F30" s="12" t="s">
        <v>57</v>
      </c>
      <c r="G30" s="9">
        <v>112</v>
      </c>
      <c r="H30" s="9">
        <v>3442.30004882813</v>
      </c>
      <c r="I30" s="9">
        <v>0</v>
      </c>
      <c r="J30" s="9">
        <v>0</v>
      </c>
      <c r="K30" s="9">
        <v>3554.30004882813</v>
      </c>
      <c r="L30" s="3"/>
      <c r="M30" s="3" t="s">
        <v>24</v>
      </c>
      <c r="N30" s="9">
        <v>0</v>
      </c>
      <c r="O30" s="9">
        <v>3554.30004882813</v>
      </c>
      <c r="P30" s="12" t="s">
        <v>61</v>
      </c>
      <c r="Q30" s="9">
        <v>0</v>
      </c>
      <c r="R30" s="11">
        <v>0</v>
      </c>
      <c r="S30" s="10">
        <v>0</v>
      </c>
      <c r="T30" s="9">
        <v>3554.30004882813</v>
      </c>
      <c r="U30" s="14">
        <v>0</v>
      </c>
      <c r="V30" s="12" t="s">
        <v>170</v>
      </c>
      <c r="W30" s="9"/>
      <c r="X30" s="9"/>
    </row>
    <row r="31" spans="1:24" x14ac:dyDescent="0.35">
      <c r="A31" s="3">
        <v>27</v>
      </c>
      <c r="B31" s="3" t="s">
        <v>110</v>
      </c>
      <c r="C31" s="8">
        <v>43823.416666666701</v>
      </c>
      <c r="D31" s="8">
        <v>43824.416666666701</v>
      </c>
      <c r="E31" s="12" t="s">
        <v>61</v>
      </c>
      <c r="F31" s="12" t="s">
        <v>67</v>
      </c>
      <c r="G31" s="9">
        <v>56</v>
      </c>
      <c r="H31" s="9">
        <v>2972.5</v>
      </c>
      <c r="I31" s="9">
        <v>0</v>
      </c>
      <c r="J31" s="9">
        <v>0</v>
      </c>
      <c r="K31" s="9">
        <v>3028.5</v>
      </c>
      <c r="L31" s="7">
        <v>43810.625</v>
      </c>
      <c r="M31" s="3" t="s">
        <v>167</v>
      </c>
      <c r="N31" s="9">
        <v>3004.5</v>
      </c>
      <c r="O31" s="9">
        <v>0</v>
      </c>
      <c r="P31" s="12" t="s">
        <v>24</v>
      </c>
      <c r="Q31" s="9">
        <v>0</v>
      </c>
      <c r="R31" s="11">
        <v>0</v>
      </c>
      <c r="S31" s="10">
        <v>3004.5</v>
      </c>
      <c r="T31" s="9">
        <v>0</v>
      </c>
      <c r="U31" s="14">
        <v>1</v>
      </c>
      <c r="V31" s="12" t="s">
        <v>166</v>
      </c>
      <c r="W31" s="9"/>
      <c r="X31" s="9"/>
    </row>
    <row r="32" spans="1:24" x14ac:dyDescent="0.35">
      <c r="A32" s="3">
        <v>28</v>
      </c>
      <c r="B32" s="3" t="s">
        <v>113</v>
      </c>
      <c r="C32" s="8">
        <v>43832.583333333299</v>
      </c>
      <c r="D32" s="8">
        <v>43833.583333333299</v>
      </c>
      <c r="E32" s="12" t="s">
        <v>61</v>
      </c>
      <c r="F32" s="12" t="s">
        <v>67</v>
      </c>
      <c r="G32" s="9">
        <v>56</v>
      </c>
      <c r="H32" s="9">
        <v>1586.5</v>
      </c>
      <c r="I32" s="9">
        <v>0</v>
      </c>
      <c r="J32" s="9">
        <v>0</v>
      </c>
      <c r="K32" s="9">
        <v>1642.5</v>
      </c>
      <c r="L32" s="7">
        <v>43810.625</v>
      </c>
      <c r="M32" s="3" t="s">
        <v>182</v>
      </c>
      <c r="N32" s="9">
        <v>1658.5</v>
      </c>
      <c r="O32" s="9">
        <v>8</v>
      </c>
      <c r="P32" s="12" t="s">
        <v>183</v>
      </c>
      <c r="Q32" s="9">
        <v>0</v>
      </c>
      <c r="R32" s="11">
        <v>0</v>
      </c>
      <c r="S32" s="10">
        <v>1658.5</v>
      </c>
      <c r="T32" s="9">
        <v>8</v>
      </c>
      <c r="U32" s="14">
        <v>0.89999997615814198</v>
      </c>
      <c r="V32" s="12" t="s">
        <v>169</v>
      </c>
      <c r="W32" s="9"/>
      <c r="X32" s="9"/>
    </row>
    <row r="33" spans="1:24" ht="22" x14ac:dyDescent="0.35">
      <c r="A33" s="3">
        <v>29</v>
      </c>
      <c r="B33" s="3" t="s">
        <v>117</v>
      </c>
      <c r="C33" s="8">
        <v>43833.583333333299</v>
      </c>
      <c r="D33" s="8">
        <v>43833.708333333299</v>
      </c>
      <c r="E33" s="12" t="s">
        <v>29</v>
      </c>
      <c r="F33" s="12" t="s">
        <v>67</v>
      </c>
      <c r="G33" s="9">
        <v>24</v>
      </c>
      <c r="H33" s="9">
        <v>602.5</v>
      </c>
      <c r="I33" s="9">
        <v>0</v>
      </c>
      <c r="J33" s="9">
        <v>0</v>
      </c>
      <c r="K33" s="9">
        <v>626.5</v>
      </c>
      <c r="L33" s="3"/>
      <c r="M33" s="3" t="s">
        <v>24</v>
      </c>
      <c r="N33" s="9">
        <v>0</v>
      </c>
      <c r="O33" s="9">
        <v>626.5</v>
      </c>
      <c r="P33" s="12" t="s">
        <v>29</v>
      </c>
      <c r="Q33" s="9">
        <v>0</v>
      </c>
      <c r="R33" s="11">
        <v>0</v>
      </c>
      <c r="S33" s="10">
        <v>0</v>
      </c>
      <c r="T33" s="9">
        <v>626.5</v>
      </c>
      <c r="U33" s="14">
        <v>0</v>
      </c>
      <c r="V33" s="12" t="s">
        <v>170</v>
      </c>
      <c r="W33" s="9"/>
      <c r="X33" s="9"/>
    </row>
    <row r="34" spans="1:24" x14ac:dyDescent="0.35">
      <c r="A34" s="3">
        <v>30</v>
      </c>
      <c r="B34" s="3" t="s">
        <v>120</v>
      </c>
      <c r="C34" s="8">
        <v>43838.583333333299</v>
      </c>
      <c r="D34" s="8">
        <v>43839.5</v>
      </c>
      <c r="E34" s="12" t="s">
        <v>124</v>
      </c>
      <c r="F34" s="12" t="s">
        <v>67</v>
      </c>
      <c r="G34" s="9">
        <v>48</v>
      </c>
      <c r="H34" s="9">
        <v>602.5</v>
      </c>
      <c r="I34" s="9">
        <v>0</v>
      </c>
      <c r="J34" s="9">
        <v>0</v>
      </c>
      <c r="K34" s="9">
        <v>650.5</v>
      </c>
      <c r="L34" s="3"/>
      <c r="M34" s="3" t="s">
        <v>24</v>
      </c>
      <c r="N34" s="9">
        <v>0</v>
      </c>
      <c r="O34" s="9">
        <v>650.5</v>
      </c>
      <c r="P34" s="12" t="s">
        <v>124</v>
      </c>
      <c r="Q34" s="9">
        <v>0</v>
      </c>
      <c r="R34" s="11">
        <v>0</v>
      </c>
      <c r="S34" s="10">
        <v>0</v>
      </c>
      <c r="T34" s="9">
        <v>650.5</v>
      </c>
      <c r="U34" s="14">
        <v>0</v>
      </c>
      <c r="V34" s="12" t="s">
        <v>170</v>
      </c>
      <c r="W34" s="9"/>
      <c r="X34" s="9"/>
    </row>
    <row r="35" spans="1:24" x14ac:dyDescent="0.35">
      <c r="A35" s="3">
        <v>31</v>
      </c>
      <c r="B35" s="3" t="s">
        <v>125</v>
      </c>
      <c r="C35" s="8">
        <v>43839.5</v>
      </c>
      <c r="D35" s="8">
        <v>43839.5</v>
      </c>
      <c r="E35" s="12" t="s">
        <v>24</v>
      </c>
      <c r="F35" s="12"/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3"/>
      <c r="M35" s="3" t="s">
        <v>24</v>
      </c>
      <c r="N35" s="9">
        <v>0</v>
      </c>
      <c r="O35" s="9">
        <v>0</v>
      </c>
      <c r="P35" s="12" t="s">
        <v>24</v>
      </c>
      <c r="Q35" s="9">
        <v>0</v>
      </c>
      <c r="R35" s="11">
        <v>0</v>
      </c>
      <c r="S35" s="10">
        <v>0</v>
      </c>
      <c r="T35" s="9">
        <v>0</v>
      </c>
      <c r="U35" s="14">
        <v>0</v>
      </c>
      <c r="V35" s="12" t="s">
        <v>170</v>
      </c>
      <c r="W35" s="9"/>
      <c r="X35" s="9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Blad9"/>
  <dimension ref="A1:X35"/>
  <sheetViews>
    <sheetView topLeftCell="C1" workbookViewId="0">
      <selection activeCell="W5" sqref="W5:X35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150</v>
      </c>
      <c r="C1" s="7">
        <v>43812.708333333299</v>
      </c>
      <c r="E1" s="1" t="s">
        <v>151</v>
      </c>
      <c r="F1" s="4" t="s">
        <v>184</v>
      </c>
    </row>
    <row r="3" spans="1:24" x14ac:dyDescent="0.35">
      <c r="A3" s="24" t="s">
        <v>0</v>
      </c>
      <c r="B3" s="24"/>
      <c r="C3" s="24" t="s">
        <v>2</v>
      </c>
      <c r="D3" s="24"/>
      <c r="E3" s="24"/>
      <c r="F3" s="24" t="s">
        <v>3</v>
      </c>
      <c r="G3" s="24"/>
      <c r="H3" s="24" t="s">
        <v>4</v>
      </c>
      <c r="I3" s="24"/>
      <c r="J3" s="24"/>
      <c r="K3" s="24"/>
      <c r="L3" s="24" t="s">
        <v>152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153</v>
      </c>
      <c r="M4" s="1" t="s">
        <v>154</v>
      </c>
      <c r="N4" s="1" t="s">
        <v>155</v>
      </c>
      <c r="O4" s="1" t="s">
        <v>156</v>
      </c>
      <c r="P4" s="1" t="s">
        <v>157</v>
      </c>
      <c r="Q4" s="1" t="s">
        <v>158</v>
      </c>
      <c r="R4" s="1" t="s">
        <v>159</v>
      </c>
      <c r="S4" s="1" t="s">
        <v>160</v>
      </c>
      <c r="T4" s="1" t="s">
        <v>161</v>
      </c>
      <c r="U4" s="1" t="s">
        <v>162</v>
      </c>
      <c r="V4" s="1" t="s">
        <v>152</v>
      </c>
      <c r="W4" s="1" t="s">
        <v>163</v>
      </c>
      <c r="X4" s="1" t="s">
        <v>164</v>
      </c>
    </row>
    <row r="5" spans="1:24" x14ac:dyDescent="0.35">
      <c r="A5" s="2">
        <v>0</v>
      </c>
      <c r="B5" s="3" t="s">
        <v>18</v>
      </c>
      <c r="C5" s="5">
        <v>43808.375</v>
      </c>
      <c r="D5" s="5">
        <v>43839.5</v>
      </c>
      <c r="E5" s="2" t="s">
        <v>20</v>
      </c>
      <c r="F5" s="2"/>
      <c r="G5" s="6"/>
      <c r="H5" s="6">
        <v>118411.30004882799</v>
      </c>
      <c r="I5" s="6"/>
      <c r="J5" s="6"/>
      <c r="K5" s="6">
        <v>126955.30004882799</v>
      </c>
      <c r="L5" s="2"/>
      <c r="M5" s="2" t="s">
        <v>35</v>
      </c>
      <c r="N5" s="6"/>
      <c r="O5" s="6"/>
      <c r="P5" s="2"/>
      <c r="Q5" s="6"/>
      <c r="R5" s="6"/>
      <c r="S5" s="6">
        <v>56665</v>
      </c>
      <c r="T5" s="6"/>
      <c r="U5" s="13">
        <v>0.449772478755887</v>
      </c>
      <c r="V5" s="2"/>
      <c r="W5" s="6"/>
      <c r="X5" s="6"/>
    </row>
    <row r="6" spans="1:24" x14ac:dyDescent="0.35">
      <c r="A6" s="3">
        <v>1</v>
      </c>
      <c r="B6" s="3" t="s">
        <v>21</v>
      </c>
      <c r="C6" s="8">
        <v>43808.375</v>
      </c>
      <c r="D6" s="8">
        <v>43806.708333333299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43808.375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166</v>
      </c>
      <c r="W6" s="9"/>
      <c r="X6" s="9"/>
    </row>
    <row r="7" spans="1:24" ht="22" x14ac:dyDescent="0.35">
      <c r="A7" s="3">
        <v>2</v>
      </c>
      <c r="B7" s="3" t="s">
        <v>25</v>
      </c>
      <c r="C7" s="8">
        <v>43808.375</v>
      </c>
      <c r="D7" s="8">
        <v>43808.5</v>
      </c>
      <c r="E7" s="12" t="s">
        <v>29</v>
      </c>
      <c r="F7" s="12" t="s">
        <v>30</v>
      </c>
      <c r="G7" s="9">
        <v>36</v>
      </c>
      <c r="H7" s="9">
        <v>931.5</v>
      </c>
      <c r="I7" s="9">
        <v>0</v>
      </c>
      <c r="J7" s="9">
        <v>0</v>
      </c>
      <c r="K7" s="9">
        <v>967.5</v>
      </c>
      <c r="L7" s="7">
        <v>43808.375</v>
      </c>
      <c r="M7" s="3" t="s">
        <v>29</v>
      </c>
      <c r="N7" s="9">
        <v>967.5</v>
      </c>
      <c r="O7" s="9">
        <v>0</v>
      </c>
      <c r="P7" s="12" t="s">
        <v>24</v>
      </c>
      <c r="Q7" s="9">
        <v>0</v>
      </c>
      <c r="R7" s="11">
        <v>0</v>
      </c>
      <c r="S7" s="10">
        <v>967.5</v>
      </c>
      <c r="T7" s="9">
        <v>0</v>
      </c>
      <c r="U7" s="14">
        <v>1</v>
      </c>
      <c r="V7" s="12" t="s">
        <v>166</v>
      </c>
      <c r="W7" s="9"/>
      <c r="X7" s="9"/>
    </row>
    <row r="8" spans="1:24" x14ac:dyDescent="0.35">
      <c r="A8" s="3">
        <v>3</v>
      </c>
      <c r="B8" s="3" t="s">
        <v>31</v>
      </c>
      <c r="C8" s="8">
        <v>43808.541666666701</v>
      </c>
      <c r="D8" s="8">
        <v>43813.5</v>
      </c>
      <c r="E8" s="12" t="s">
        <v>35</v>
      </c>
      <c r="F8" s="12" t="s">
        <v>36</v>
      </c>
      <c r="G8" s="9">
        <v>840</v>
      </c>
      <c r="H8" s="9">
        <v>950.5</v>
      </c>
      <c r="I8" s="9">
        <v>0</v>
      </c>
      <c r="J8" s="9">
        <v>0</v>
      </c>
      <c r="K8" s="9">
        <v>1790.5</v>
      </c>
      <c r="L8" s="7">
        <v>43808.541666666701</v>
      </c>
      <c r="M8" s="3" t="s">
        <v>181</v>
      </c>
      <c r="N8" s="9">
        <v>1550.5</v>
      </c>
      <c r="O8" s="9">
        <v>0</v>
      </c>
      <c r="P8" s="12" t="s">
        <v>24</v>
      </c>
      <c r="Q8" s="9">
        <v>0</v>
      </c>
      <c r="R8" s="11">
        <v>0</v>
      </c>
      <c r="S8" s="10">
        <v>1550.5</v>
      </c>
      <c r="T8" s="9">
        <v>0</v>
      </c>
      <c r="U8" s="14">
        <v>1</v>
      </c>
      <c r="V8" s="12" t="s">
        <v>166</v>
      </c>
      <c r="W8" s="9"/>
      <c r="X8" s="9"/>
    </row>
    <row r="9" spans="1:24" x14ac:dyDescent="0.35">
      <c r="A9" s="3">
        <v>4</v>
      </c>
      <c r="B9" s="3" t="s">
        <v>37</v>
      </c>
      <c r="C9" s="8">
        <v>43813.541666666701</v>
      </c>
      <c r="D9" s="8">
        <v>43816.625</v>
      </c>
      <c r="E9" s="12" t="s">
        <v>41</v>
      </c>
      <c r="F9" s="12" t="s">
        <v>42</v>
      </c>
      <c r="G9" s="9">
        <v>640</v>
      </c>
      <c r="H9" s="9">
        <v>8819</v>
      </c>
      <c r="I9" s="9">
        <v>0</v>
      </c>
      <c r="J9" s="9">
        <v>0</v>
      </c>
      <c r="K9" s="9">
        <v>9459</v>
      </c>
      <c r="L9" s="7">
        <v>43812.375</v>
      </c>
      <c r="M9" s="3" t="s">
        <v>61</v>
      </c>
      <c r="N9" s="9">
        <v>9099</v>
      </c>
      <c r="O9" s="9">
        <v>120</v>
      </c>
      <c r="P9" s="12" t="s">
        <v>29</v>
      </c>
      <c r="Q9" s="9">
        <v>0</v>
      </c>
      <c r="R9" s="11">
        <v>0</v>
      </c>
      <c r="S9" s="10">
        <v>9099</v>
      </c>
      <c r="T9" s="9">
        <v>120</v>
      </c>
      <c r="U9" s="14">
        <v>0.69999998807907104</v>
      </c>
      <c r="V9" s="12" t="s">
        <v>169</v>
      </c>
      <c r="W9" s="9"/>
      <c r="X9" s="9"/>
    </row>
    <row r="10" spans="1:24" ht="22" x14ac:dyDescent="0.35">
      <c r="A10" s="3">
        <v>5</v>
      </c>
      <c r="B10" s="3" t="s">
        <v>43</v>
      </c>
      <c r="C10" s="8">
        <v>43816.625</v>
      </c>
      <c r="D10" s="8">
        <v>43827.708333333299</v>
      </c>
      <c r="E10" s="12" t="s">
        <v>47</v>
      </c>
      <c r="F10" s="12" t="s">
        <v>42</v>
      </c>
      <c r="G10" s="9">
        <v>2880</v>
      </c>
      <c r="H10" s="9">
        <v>3166.5</v>
      </c>
      <c r="I10" s="9">
        <v>0</v>
      </c>
      <c r="J10" s="9">
        <v>0</v>
      </c>
      <c r="K10" s="9">
        <v>6046.5</v>
      </c>
      <c r="L10" s="3"/>
      <c r="M10" s="3" t="s">
        <v>24</v>
      </c>
      <c r="N10" s="9">
        <v>0</v>
      </c>
      <c r="O10" s="9">
        <v>6046.5</v>
      </c>
      <c r="P10" s="12" t="s">
        <v>47</v>
      </c>
      <c r="Q10" s="9">
        <v>0</v>
      </c>
      <c r="R10" s="11">
        <v>0</v>
      </c>
      <c r="S10" s="10">
        <v>0</v>
      </c>
      <c r="T10" s="9">
        <v>6046.5</v>
      </c>
      <c r="U10" s="14">
        <v>0</v>
      </c>
      <c r="V10" s="12" t="s">
        <v>170</v>
      </c>
      <c r="W10" s="9"/>
      <c r="X10" s="9"/>
    </row>
    <row r="11" spans="1:24" x14ac:dyDescent="0.35">
      <c r="A11" s="3">
        <v>6</v>
      </c>
      <c r="B11" s="3" t="s">
        <v>48</v>
      </c>
      <c r="C11" s="8">
        <v>43830.583333333299</v>
      </c>
      <c r="D11" s="8">
        <v>43832.583333333299</v>
      </c>
      <c r="E11" s="12" t="s">
        <v>51</v>
      </c>
      <c r="F11" s="12" t="s">
        <v>52</v>
      </c>
      <c r="G11" s="9">
        <v>448</v>
      </c>
      <c r="H11" s="9">
        <v>1802.5</v>
      </c>
      <c r="I11" s="9">
        <v>0</v>
      </c>
      <c r="J11" s="9">
        <v>0</v>
      </c>
      <c r="K11" s="9">
        <v>2250.5</v>
      </c>
      <c r="L11" s="7">
        <v>43808.541666666701</v>
      </c>
      <c r="M11" s="3" t="s">
        <v>41</v>
      </c>
      <c r="N11" s="9">
        <v>2314.5</v>
      </c>
      <c r="O11" s="9">
        <v>0</v>
      </c>
      <c r="P11" s="12" t="s">
        <v>24</v>
      </c>
      <c r="Q11" s="9">
        <v>0</v>
      </c>
      <c r="R11" s="11">
        <v>0</v>
      </c>
      <c r="S11" s="10">
        <v>2314.5</v>
      </c>
      <c r="T11" s="9">
        <v>0</v>
      </c>
      <c r="U11" s="14">
        <v>1</v>
      </c>
      <c r="V11" s="12" t="s">
        <v>166</v>
      </c>
      <c r="W11" s="9"/>
      <c r="X11" s="9"/>
    </row>
    <row r="12" spans="1:24" x14ac:dyDescent="0.35">
      <c r="A12" s="3">
        <v>7</v>
      </c>
      <c r="B12" s="3" t="s">
        <v>53</v>
      </c>
      <c r="C12" s="8">
        <v>43815.416666666701</v>
      </c>
      <c r="D12" s="8">
        <v>43822.416666666701</v>
      </c>
      <c r="E12" s="12" t="s">
        <v>56</v>
      </c>
      <c r="F12" s="12" t="s">
        <v>57</v>
      </c>
      <c r="G12" s="9">
        <v>672</v>
      </c>
      <c r="H12" s="9">
        <v>1970.5</v>
      </c>
      <c r="I12" s="9">
        <v>0</v>
      </c>
      <c r="J12" s="9">
        <v>0</v>
      </c>
      <c r="K12" s="9">
        <v>2642.5</v>
      </c>
      <c r="L12" s="3"/>
      <c r="M12" s="3" t="s">
        <v>24</v>
      </c>
      <c r="N12" s="9">
        <v>0</v>
      </c>
      <c r="O12" s="9">
        <v>2642.5</v>
      </c>
      <c r="P12" s="12" t="s">
        <v>56</v>
      </c>
      <c r="Q12" s="9">
        <v>0</v>
      </c>
      <c r="R12" s="11">
        <v>0</v>
      </c>
      <c r="S12" s="10">
        <v>0</v>
      </c>
      <c r="T12" s="9">
        <v>2642.5</v>
      </c>
      <c r="U12" s="14">
        <v>0</v>
      </c>
      <c r="V12" s="12" t="s">
        <v>170</v>
      </c>
      <c r="W12" s="9"/>
      <c r="X12" s="9"/>
    </row>
    <row r="13" spans="1:24" ht="22" x14ac:dyDescent="0.35">
      <c r="A13" s="3">
        <v>8</v>
      </c>
      <c r="B13" s="3" t="s">
        <v>58</v>
      </c>
      <c r="C13" s="8">
        <v>43831.583333333299</v>
      </c>
      <c r="D13" s="8">
        <v>43832.583333333299</v>
      </c>
      <c r="E13" s="12" t="s">
        <v>61</v>
      </c>
      <c r="F13" s="12" t="s">
        <v>57</v>
      </c>
      <c r="G13" s="9">
        <v>112</v>
      </c>
      <c r="H13" s="9">
        <v>602.5</v>
      </c>
      <c r="I13" s="9">
        <v>0</v>
      </c>
      <c r="J13" s="9">
        <v>0</v>
      </c>
      <c r="K13" s="9">
        <v>714.5</v>
      </c>
      <c r="L13" s="3"/>
      <c r="M13" s="3" t="s">
        <v>24</v>
      </c>
      <c r="N13" s="9">
        <v>0</v>
      </c>
      <c r="O13" s="9">
        <v>714.5</v>
      </c>
      <c r="P13" s="12" t="s">
        <v>61</v>
      </c>
      <c r="Q13" s="9">
        <v>0</v>
      </c>
      <c r="R13" s="11">
        <v>0</v>
      </c>
      <c r="S13" s="10">
        <v>0</v>
      </c>
      <c r="T13" s="9">
        <v>714.5</v>
      </c>
      <c r="U13" s="14">
        <v>0</v>
      </c>
      <c r="V13" s="12" t="s">
        <v>170</v>
      </c>
      <c r="W13" s="9"/>
      <c r="X13" s="9"/>
    </row>
    <row r="14" spans="1:24" x14ac:dyDescent="0.35">
      <c r="A14" s="3">
        <v>9</v>
      </c>
      <c r="B14" s="3" t="s">
        <v>62</v>
      </c>
      <c r="C14" s="8">
        <v>43829.583333333299</v>
      </c>
      <c r="D14" s="8">
        <v>43830.583333333299</v>
      </c>
      <c r="E14" s="12" t="s">
        <v>61</v>
      </c>
      <c r="F14" s="12" t="s">
        <v>57</v>
      </c>
      <c r="G14" s="9">
        <v>112</v>
      </c>
      <c r="H14" s="9">
        <v>602.5</v>
      </c>
      <c r="I14" s="9">
        <v>0</v>
      </c>
      <c r="J14" s="9">
        <v>0</v>
      </c>
      <c r="K14" s="9">
        <v>714.5</v>
      </c>
      <c r="L14" s="3"/>
      <c r="M14" s="3" t="s">
        <v>24</v>
      </c>
      <c r="N14" s="9">
        <v>0</v>
      </c>
      <c r="O14" s="9">
        <v>714.5</v>
      </c>
      <c r="P14" s="12" t="s">
        <v>61</v>
      </c>
      <c r="Q14" s="9">
        <v>0</v>
      </c>
      <c r="R14" s="11">
        <v>0</v>
      </c>
      <c r="S14" s="10">
        <v>0</v>
      </c>
      <c r="T14" s="9">
        <v>714.5</v>
      </c>
      <c r="U14" s="14">
        <v>0</v>
      </c>
      <c r="V14" s="12" t="s">
        <v>170</v>
      </c>
      <c r="W14" s="9"/>
      <c r="X14" s="9"/>
    </row>
    <row r="15" spans="1:24" ht="22" x14ac:dyDescent="0.35">
      <c r="A15" s="3">
        <v>10</v>
      </c>
      <c r="B15" s="3" t="s">
        <v>64</v>
      </c>
      <c r="C15" s="8">
        <v>43829.375</v>
      </c>
      <c r="D15" s="8">
        <v>43829.708333333299</v>
      </c>
      <c r="E15" s="12" t="s">
        <v>61</v>
      </c>
      <c r="F15" s="12" t="s">
        <v>67</v>
      </c>
      <c r="G15" s="9">
        <v>56</v>
      </c>
      <c r="H15" s="9">
        <v>602.5</v>
      </c>
      <c r="I15" s="9">
        <v>0</v>
      </c>
      <c r="J15" s="9">
        <v>0</v>
      </c>
      <c r="K15" s="9">
        <v>658.5</v>
      </c>
      <c r="L15" s="3"/>
      <c r="M15" s="3" t="s">
        <v>24</v>
      </c>
      <c r="N15" s="9">
        <v>0</v>
      </c>
      <c r="O15" s="9">
        <v>658.5</v>
      </c>
      <c r="P15" s="12" t="s">
        <v>61</v>
      </c>
      <c r="Q15" s="9">
        <v>0</v>
      </c>
      <c r="R15" s="11">
        <v>0</v>
      </c>
      <c r="S15" s="10">
        <v>0</v>
      </c>
      <c r="T15" s="9">
        <v>658.5</v>
      </c>
      <c r="U15" s="14">
        <v>0</v>
      </c>
      <c r="V15" s="12" t="s">
        <v>170</v>
      </c>
      <c r="W15" s="9"/>
      <c r="X15" s="9"/>
    </row>
    <row r="16" spans="1:24" x14ac:dyDescent="0.35">
      <c r="A16" s="3">
        <v>11</v>
      </c>
      <c r="B16" s="3" t="s">
        <v>68</v>
      </c>
      <c r="C16" s="8">
        <v>43813.416666666701</v>
      </c>
      <c r="D16" s="8">
        <v>43815.416666666701</v>
      </c>
      <c r="E16" s="12" t="s">
        <v>61</v>
      </c>
      <c r="F16" s="12" t="s">
        <v>67</v>
      </c>
      <c r="G16" s="9">
        <v>56</v>
      </c>
      <c r="H16" s="9">
        <v>602.5</v>
      </c>
      <c r="I16" s="9">
        <v>0</v>
      </c>
      <c r="J16" s="9">
        <v>0</v>
      </c>
      <c r="K16" s="9">
        <v>658.5</v>
      </c>
      <c r="L16" s="3"/>
      <c r="M16" s="3" t="s">
        <v>24</v>
      </c>
      <c r="N16" s="9">
        <v>0</v>
      </c>
      <c r="O16" s="9">
        <v>658.5</v>
      </c>
      <c r="P16" s="12" t="s">
        <v>61</v>
      </c>
      <c r="Q16" s="9">
        <v>0</v>
      </c>
      <c r="R16" s="11">
        <v>0</v>
      </c>
      <c r="S16" s="10">
        <v>0</v>
      </c>
      <c r="T16" s="9">
        <v>658.5</v>
      </c>
      <c r="U16" s="14">
        <v>0</v>
      </c>
      <c r="V16" s="12" t="s">
        <v>170</v>
      </c>
      <c r="W16" s="9"/>
      <c r="X16" s="9"/>
    </row>
    <row r="17" spans="1:24" ht="22" x14ac:dyDescent="0.35">
      <c r="A17" s="3">
        <v>13</v>
      </c>
      <c r="B17" s="3" t="s">
        <v>70</v>
      </c>
      <c r="C17" s="8">
        <v>43823.416666666701</v>
      </c>
      <c r="D17" s="8">
        <v>43823.583333333299</v>
      </c>
      <c r="E17" s="12" t="s">
        <v>29</v>
      </c>
      <c r="F17" s="12" t="s">
        <v>67</v>
      </c>
      <c r="G17" s="9">
        <v>24</v>
      </c>
      <c r="H17" s="9">
        <v>602.5</v>
      </c>
      <c r="I17" s="9">
        <v>0</v>
      </c>
      <c r="J17" s="9">
        <v>0</v>
      </c>
      <c r="K17" s="9">
        <v>626.5</v>
      </c>
      <c r="L17" s="7">
        <v>43811.458333333299</v>
      </c>
      <c r="M17" s="3" t="s">
        <v>29</v>
      </c>
      <c r="N17" s="9">
        <v>626.5</v>
      </c>
      <c r="O17" s="9">
        <v>0</v>
      </c>
      <c r="P17" s="12" t="s">
        <v>24</v>
      </c>
      <c r="Q17" s="9">
        <v>0</v>
      </c>
      <c r="R17" s="11">
        <v>0</v>
      </c>
      <c r="S17" s="10">
        <v>626.5</v>
      </c>
      <c r="T17" s="9">
        <v>0</v>
      </c>
      <c r="U17" s="14">
        <v>1</v>
      </c>
      <c r="V17" s="12" t="s">
        <v>166</v>
      </c>
      <c r="W17" s="9"/>
      <c r="X17" s="9"/>
    </row>
    <row r="18" spans="1:24" x14ac:dyDescent="0.35">
      <c r="A18" s="3">
        <v>14</v>
      </c>
      <c r="B18" s="3" t="s">
        <v>74</v>
      </c>
      <c r="C18" s="8">
        <v>43836.583333333299</v>
      </c>
      <c r="D18" s="8">
        <v>43838.583333333299</v>
      </c>
      <c r="E18" s="12" t="s">
        <v>51</v>
      </c>
      <c r="F18" s="12" t="s">
        <v>77</v>
      </c>
      <c r="G18" s="9">
        <v>672</v>
      </c>
      <c r="H18" s="9">
        <v>602.5</v>
      </c>
      <c r="I18" s="9">
        <v>0</v>
      </c>
      <c r="J18" s="9">
        <v>0</v>
      </c>
      <c r="K18" s="9">
        <v>1274.5</v>
      </c>
      <c r="L18" s="3"/>
      <c r="M18" s="3" t="s">
        <v>24</v>
      </c>
      <c r="N18" s="9">
        <v>0</v>
      </c>
      <c r="O18" s="9">
        <v>1274.5</v>
      </c>
      <c r="P18" s="12" t="s">
        <v>51</v>
      </c>
      <c r="Q18" s="9">
        <v>0</v>
      </c>
      <c r="R18" s="11">
        <v>0</v>
      </c>
      <c r="S18" s="10">
        <v>0</v>
      </c>
      <c r="T18" s="9">
        <v>1274.5</v>
      </c>
      <c r="U18" s="14">
        <v>0</v>
      </c>
      <c r="V18" s="12" t="s">
        <v>170</v>
      </c>
      <c r="W18" s="9"/>
      <c r="X18" s="9"/>
    </row>
    <row r="19" spans="1:24" x14ac:dyDescent="0.35">
      <c r="A19" s="3">
        <v>15</v>
      </c>
      <c r="B19" s="3" t="s">
        <v>78</v>
      </c>
      <c r="C19" s="8">
        <v>43829.583333333299</v>
      </c>
      <c r="D19" s="8">
        <v>43830.583333333299</v>
      </c>
      <c r="E19" s="12" t="s">
        <v>61</v>
      </c>
      <c r="F19" s="12" t="s">
        <v>57</v>
      </c>
      <c r="G19" s="9">
        <v>112</v>
      </c>
      <c r="H19" s="9">
        <v>602.5</v>
      </c>
      <c r="I19" s="9">
        <v>0</v>
      </c>
      <c r="J19" s="9">
        <v>0</v>
      </c>
      <c r="K19" s="9">
        <v>714.5</v>
      </c>
      <c r="L19" s="3"/>
      <c r="M19" s="3" t="s">
        <v>24</v>
      </c>
      <c r="N19" s="9">
        <v>0</v>
      </c>
      <c r="O19" s="9">
        <v>714.5</v>
      </c>
      <c r="P19" s="12" t="s">
        <v>61</v>
      </c>
      <c r="Q19" s="9">
        <v>0</v>
      </c>
      <c r="R19" s="11">
        <v>0</v>
      </c>
      <c r="S19" s="10">
        <v>0</v>
      </c>
      <c r="T19" s="9">
        <v>714.5</v>
      </c>
      <c r="U19" s="14">
        <v>0</v>
      </c>
      <c r="V19" s="12" t="s">
        <v>170</v>
      </c>
      <c r="W19" s="9"/>
      <c r="X19" s="9"/>
    </row>
    <row r="20" spans="1:24" x14ac:dyDescent="0.35">
      <c r="A20" s="3">
        <v>16</v>
      </c>
      <c r="B20" s="3" t="s">
        <v>80</v>
      </c>
      <c r="C20" s="8">
        <v>43827.416666666701</v>
      </c>
      <c r="D20" s="8">
        <v>43827.583333333299</v>
      </c>
      <c r="E20" s="12" t="s">
        <v>29</v>
      </c>
      <c r="F20" s="12" t="s">
        <v>57</v>
      </c>
      <c r="G20" s="9">
        <v>48</v>
      </c>
      <c r="H20" s="9">
        <v>602.5</v>
      </c>
      <c r="I20" s="9">
        <v>0</v>
      </c>
      <c r="J20" s="9">
        <v>0</v>
      </c>
      <c r="K20" s="9">
        <v>650.5</v>
      </c>
      <c r="L20" s="3"/>
      <c r="M20" s="3" t="s">
        <v>24</v>
      </c>
      <c r="N20" s="9">
        <v>0</v>
      </c>
      <c r="O20" s="9">
        <v>650.5</v>
      </c>
      <c r="P20" s="12" t="s">
        <v>29</v>
      </c>
      <c r="Q20" s="9">
        <v>0</v>
      </c>
      <c r="R20" s="11">
        <v>0</v>
      </c>
      <c r="S20" s="10">
        <v>0</v>
      </c>
      <c r="T20" s="9">
        <v>650.5</v>
      </c>
      <c r="U20" s="14">
        <v>0</v>
      </c>
      <c r="V20" s="12" t="s">
        <v>170</v>
      </c>
      <c r="W20" s="9"/>
      <c r="X20" s="9"/>
    </row>
    <row r="21" spans="1:24" x14ac:dyDescent="0.35">
      <c r="A21" s="3">
        <v>17</v>
      </c>
      <c r="B21" s="3" t="s">
        <v>82</v>
      </c>
      <c r="C21" s="8">
        <v>43822.416666666701</v>
      </c>
      <c r="D21" s="8">
        <v>43823.416666666701</v>
      </c>
      <c r="E21" s="12" t="s">
        <v>61</v>
      </c>
      <c r="F21" s="12" t="s">
        <v>85</v>
      </c>
      <c r="G21" s="9">
        <v>140</v>
      </c>
      <c r="H21" s="9">
        <v>3302.5</v>
      </c>
      <c r="I21" s="9">
        <v>0</v>
      </c>
      <c r="J21" s="9">
        <v>0</v>
      </c>
      <c r="K21" s="9">
        <v>3442.5</v>
      </c>
      <c r="L21" s="7">
        <v>43810.625</v>
      </c>
      <c r="M21" s="3" t="s">
        <v>167</v>
      </c>
      <c r="N21" s="9">
        <v>3382.5</v>
      </c>
      <c r="O21" s="9">
        <v>0</v>
      </c>
      <c r="P21" s="12" t="s">
        <v>24</v>
      </c>
      <c r="Q21" s="9">
        <v>0</v>
      </c>
      <c r="R21" s="11">
        <v>0</v>
      </c>
      <c r="S21" s="10">
        <v>3382.5</v>
      </c>
      <c r="T21" s="9">
        <v>0</v>
      </c>
      <c r="U21" s="14">
        <v>1</v>
      </c>
      <c r="V21" s="12" t="s">
        <v>166</v>
      </c>
      <c r="W21" s="9"/>
      <c r="X21" s="9"/>
    </row>
    <row r="22" spans="1:24" x14ac:dyDescent="0.35">
      <c r="A22" s="3">
        <v>18</v>
      </c>
      <c r="B22" s="3" t="s">
        <v>86</v>
      </c>
      <c r="C22" s="8">
        <v>43832.583333333299</v>
      </c>
      <c r="D22" s="8">
        <v>43833.583333333299</v>
      </c>
      <c r="E22" s="12" t="s">
        <v>61</v>
      </c>
      <c r="F22" s="12" t="s">
        <v>57</v>
      </c>
      <c r="G22" s="9">
        <v>112</v>
      </c>
      <c r="H22" s="9">
        <v>602.5</v>
      </c>
      <c r="I22" s="9">
        <v>0</v>
      </c>
      <c r="J22" s="9">
        <v>0</v>
      </c>
      <c r="K22" s="9">
        <v>714.5</v>
      </c>
      <c r="L22" s="3"/>
      <c r="M22" s="3" t="s">
        <v>24</v>
      </c>
      <c r="N22" s="9">
        <v>0</v>
      </c>
      <c r="O22" s="9">
        <v>714.5</v>
      </c>
      <c r="P22" s="12" t="s">
        <v>61</v>
      </c>
      <c r="Q22" s="9">
        <v>0</v>
      </c>
      <c r="R22" s="11">
        <v>0</v>
      </c>
      <c r="S22" s="10">
        <v>0</v>
      </c>
      <c r="T22" s="9">
        <v>714.5</v>
      </c>
      <c r="U22" s="14">
        <v>0</v>
      </c>
      <c r="V22" s="12" t="s">
        <v>170</v>
      </c>
      <c r="W22" s="9"/>
      <c r="X22" s="9"/>
    </row>
    <row r="23" spans="1:24" ht="22" x14ac:dyDescent="0.35">
      <c r="A23" s="3">
        <v>19</v>
      </c>
      <c r="B23" s="3" t="s">
        <v>88</v>
      </c>
      <c r="C23" s="8">
        <v>43833.583333333299</v>
      </c>
      <c r="D23" s="8">
        <v>43836.583333333299</v>
      </c>
      <c r="E23" s="12" t="s">
        <v>51</v>
      </c>
      <c r="F23" s="12" t="s">
        <v>77</v>
      </c>
      <c r="G23" s="9">
        <v>672</v>
      </c>
      <c r="H23" s="9">
        <v>2252.5</v>
      </c>
      <c r="I23" s="9">
        <v>0</v>
      </c>
      <c r="J23" s="9">
        <v>0</v>
      </c>
      <c r="K23" s="9">
        <v>2924.5</v>
      </c>
      <c r="L23" s="3"/>
      <c r="M23" s="3" t="s">
        <v>24</v>
      </c>
      <c r="N23" s="9">
        <v>0</v>
      </c>
      <c r="O23" s="9">
        <v>2924.5</v>
      </c>
      <c r="P23" s="12" t="s">
        <v>51</v>
      </c>
      <c r="Q23" s="9">
        <v>0</v>
      </c>
      <c r="R23" s="11">
        <v>0</v>
      </c>
      <c r="S23" s="10">
        <v>0</v>
      </c>
      <c r="T23" s="9">
        <v>2924.5</v>
      </c>
      <c r="U23" s="14">
        <v>0</v>
      </c>
      <c r="V23" s="12" t="s">
        <v>170</v>
      </c>
      <c r="W23" s="9"/>
      <c r="X23" s="9"/>
    </row>
    <row r="24" spans="1:24" x14ac:dyDescent="0.35">
      <c r="A24" s="3">
        <v>20</v>
      </c>
      <c r="B24" s="3" t="s">
        <v>91</v>
      </c>
      <c r="C24" s="8">
        <v>43824.416666666701</v>
      </c>
      <c r="D24" s="8">
        <v>43825.416666666701</v>
      </c>
      <c r="E24" s="12" t="s">
        <v>61</v>
      </c>
      <c r="F24" s="12" t="s">
        <v>67</v>
      </c>
      <c r="G24" s="9">
        <v>56</v>
      </c>
      <c r="H24" s="9">
        <v>28602.5</v>
      </c>
      <c r="I24" s="9">
        <v>0</v>
      </c>
      <c r="J24" s="9">
        <v>0</v>
      </c>
      <c r="K24" s="9">
        <v>28658.5</v>
      </c>
      <c r="L24" s="7">
        <v>43811.458333333299</v>
      </c>
      <c r="M24" s="3" t="s">
        <v>174</v>
      </c>
      <c r="N24" s="9">
        <v>28642.5</v>
      </c>
      <c r="O24" s="9">
        <v>0</v>
      </c>
      <c r="P24" s="12" t="s">
        <v>24</v>
      </c>
      <c r="Q24" s="9">
        <v>0</v>
      </c>
      <c r="R24" s="11">
        <v>0</v>
      </c>
      <c r="S24" s="10">
        <v>28642.5</v>
      </c>
      <c r="T24" s="9">
        <v>0</v>
      </c>
      <c r="U24" s="14">
        <v>1</v>
      </c>
      <c r="V24" s="12" t="s">
        <v>166</v>
      </c>
      <c r="W24" s="9"/>
      <c r="X24" s="9"/>
    </row>
    <row r="25" spans="1:24" ht="22" x14ac:dyDescent="0.35">
      <c r="A25" s="3">
        <v>21</v>
      </c>
      <c r="B25" s="3" t="s">
        <v>95</v>
      </c>
      <c r="C25" s="8">
        <v>43830.583333333299</v>
      </c>
      <c r="D25" s="8">
        <v>43831.583333333299</v>
      </c>
      <c r="E25" s="12" t="s">
        <v>61</v>
      </c>
      <c r="F25" s="12" t="s">
        <v>36</v>
      </c>
      <c r="G25" s="9">
        <v>168</v>
      </c>
      <c r="H25" s="9">
        <v>3677.5</v>
      </c>
      <c r="I25" s="9">
        <v>0</v>
      </c>
      <c r="J25" s="9">
        <v>0</v>
      </c>
      <c r="K25" s="9">
        <v>3845.5</v>
      </c>
      <c r="L25" s="3"/>
      <c r="M25" s="3" t="s">
        <v>24</v>
      </c>
      <c r="N25" s="9">
        <v>0</v>
      </c>
      <c r="O25" s="9">
        <v>3845.5</v>
      </c>
      <c r="P25" s="12" t="s">
        <v>61</v>
      </c>
      <c r="Q25" s="9">
        <v>0</v>
      </c>
      <c r="R25" s="11">
        <v>0</v>
      </c>
      <c r="S25" s="10">
        <v>0</v>
      </c>
      <c r="T25" s="9">
        <v>3845.5</v>
      </c>
      <c r="U25" s="14">
        <v>0</v>
      </c>
      <c r="V25" s="12" t="s">
        <v>170</v>
      </c>
      <c r="W25" s="9"/>
      <c r="X25" s="9"/>
    </row>
    <row r="26" spans="1:24" x14ac:dyDescent="0.35">
      <c r="A26" s="3">
        <v>22</v>
      </c>
      <c r="B26" s="3" t="s">
        <v>98</v>
      </c>
      <c r="C26" s="8">
        <v>43825.416666666701</v>
      </c>
      <c r="D26" s="8">
        <v>43826.416666666701</v>
      </c>
      <c r="E26" s="12" t="s">
        <v>61</v>
      </c>
      <c r="F26" s="12" t="s">
        <v>67</v>
      </c>
      <c r="G26" s="9">
        <v>56</v>
      </c>
      <c r="H26" s="9">
        <v>602.5</v>
      </c>
      <c r="I26" s="9">
        <v>0</v>
      </c>
      <c r="J26" s="9">
        <v>0</v>
      </c>
      <c r="K26" s="9">
        <v>658.5</v>
      </c>
      <c r="L26" s="7">
        <v>43812.375</v>
      </c>
      <c r="M26" s="3" t="s">
        <v>124</v>
      </c>
      <c r="N26" s="9">
        <v>650.5</v>
      </c>
      <c r="O26" s="9">
        <v>0</v>
      </c>
      <c r="P26" s="12" t="s">
        <v>24</v>
      </c>
      <c r="Q26" s="9">
        <v>0</v>
      </c>
      <c r="R26" s="11">
        <v>0</v>
      </c>
      <c r="S26" s="10">
        <v>650.5</v>
      </c>
      <c r="T26" s="9">
        <v>0</v>
      </c>
      <c r="U26" s="14">
        <v>1</v>
      </c>
      <c r="V26" s="12" t="s">
        <v>166</v>
      </c>
      <c r="W26" s="9"/>
      <c r="X26" s="9"/>
    </row>
    <row r="27" spans="1:24" x14ac:dyDescent="0.35">
      <c r="A27" s="3">
        <v>23</v>
      </c>
      <c r="B27" s="3" t="s">
        <v>101</v>
      </c>
      <c r="C27" s="8">
        <v>43832.583333333299</v>
      </c>
      <c r="D27" s="8">
        <v>43833.583333333299</v>
      </c>
      <c r="E27" s="12" t="s">
        <v>61</v>
      </c>
      <c r="F27" s="12" t="s">
        <v>52</v>
      </c>
      <c r="G27" s="9">
        <v>224</v>
      </c>
      <c r="H27" s="9">
        <v>43602.5</v>
      </c>
      <c r="I27" s="9">
        <v>0</v>
      </c>
      <c r="J27" s="9">
        <v>0</v>
      </c>
      <c r="K27" s="9">
        <v>43826.5</v>
      </c>
      <c r="L27" s="3"/>
      <c r="M27" s="3" t="s">
        <v>24</v>
      </c>
      <c r="N27" s="9">
        <v>0</v>
      </c>
      <c r="O27" s="9">
        <v>43826.5</v>
      </c>
      <c r="P27" s="12" t="s">
        <v>61</v>
      </c>
      <c r="Q27" s="9">
        <v>0</v>
      </c>
      <c r="R27" s="11">
        <v>0</v>
      </c>
      <c r="S27" s="10">
        <v>0</v>
      </c>
      <c r="T27" s="9">
        <v>43826.5</v>
      </c>
      <c r="U27" s="14">
        <v>0</v>
      </c>
      <c r="V27" s="12" t="s">
        <v>170</v>
      </c>
      <c r="W27" s="9"/>
      <c r="X27" s="9"/>
    </row>
    <row r="28" spans="1:24" x14ac:dyDescent="0.35">
      <c r="A28" s="3">
        <v>24</v>
      </c>
      <c r="B28" s="3" t="s">
        <v>103</v>
      </c>
      <c r="C28" s="8">
        <v>43826.416666666701</v>
      </c>
      <c r="D28" s="8">
        <v>43827.416666666701</v>
      </c>
      <c r="E28" s="12" t="s">
        <v>61</v>
      </c>
      <c r="F28" s="12" t="s">
        <v>67</v>
      </c>
      <c r="G28" s="9">
        <v>56</v>
      </c>
      <c r="H28" s="9">
        <v>1577.5</v>
      </c>
      <c r="I28" s="9">
        <v>0</v>
      </c>
      <c r="J28" s="9">
        <v>0</v>
      </c>
      <c r="K28" s="9">
        <v>1633.5</v>
      </c>
      <c r="L28" s="7">
        <v>43812.666666666701</v>
      </c>
      <c r="M28" s="3" t="s">
        <v>183</v>
      </c>
      <c r="N28" s="9">
        <v>1585.5</v>
      </c>
      <c r="O28" s="9">
        <v>48</v>
      </c>
      <c r="P28" s="12" t="s">
        <v>124</v>
      </c>
      <c r="Q28" s="9">
        <v>0</v>
      </c>
      <c r="R28" s="11">
        <v>0</v>
      </c>
      <c r="S28" s="10">
        <v>1585.5</v>
      </c>
      <c r="T28" s="9">
        <v>48</v>
      </c>
      <c r="U28" s="14">
        <v>0.14285714924335499</v>
      </c>
      <c r="V28" s="12" t="s">
        <v>169</v>
      </c>
      <c r="W28" s="9"/>
      <c r="X28" s="9"/>
    </row>
    <row r="29" spans="1:24" x14ac:dyDescent="0.35">
      <c r="A29" s="3">
        <v>25</v>
      </c>
      <c r="B29" s="3" t="s">
        <v>106</v>
      </c>
      <c r="C29" s="8">
        <v>43813.416666666701</v>
      </c>
      <c r="D29" s="8">
        <v>43815.416666666701</v>
      </c>
      <c r="E29" s="12" t="s">
        <v>61</v>
      </c>
      <c r="F29" s="12" t="s">
        <v>67</v>
      </c>
      <c r="G29" s="9">
        <v>56</v>
      </c>
      <c r="H29" s="9">
        <v>2524.5</v>
      </c>
      <c r="I29" s="9">
        <v>0</v>
      </c>
      <c r="J29" s="9">
        <v>0</v>
      </c>
      <c r="K29" s="9">
        <v>2580.5</v>
      </c>
      <c r="L29" s="7">
        <v>43812.541666666701</v>
      </c>
      <c r="M29" s="3" t="s">
        <v>167</v>
      </c>
      <c r="N29" s="9">
        <v>2556.5</v>
      </c>
      <c r="O29" s="9">
        <v>24</v>
      </c>
      <c r="P29" s="12" t="s">
        <v>29</v>
      </c>
      <c r="Q29" s="9">
        <v>0</v>
      </c>
      <c r="R29" s="11">
        <v>0</v>
      </c>
      <c r="S29" s="10">
        <v>2556.5</v>
      </c>
      <c r="T29" s="9">
        <v>24</v>
      </c>
      <c r="U29" s="14">
        <v>0.57142859697341897</v>
      </c>
      <c r="V29" s="12" t="s">
        <v>169</v>
      </c>
      <c r="W29" s="9"/>
      <c r="X29" s="9"/>
    </row>
    <row r="30" spans="1:24" x14ac:dyDescent="0.35">
      <c r="A30" s="3">
        <v>26</v>
      </c>
      <c r="B30" s="3" t="s">
        <v>108</v>
      </c>
      <c r="C30" s="8">
        <v>43829.583333333299</v>
      </c>
      <c r="D30" s="8">
        <v>43830.583333333299</v>
      </c>
      <c r="E30" s="12" t="s">
        <v>61</v>
      </c>
      <c r="F30" s="12" t="s">
        <v>57</v>
      </c>
      <c r="G30" s="9">
        <v>112</v>
      </c>
      <c r="H30" s="9">
        <v>3442.30004882813</v>
      </c>
      <c r="I30" s="9">
        <v>0</v>
      </c>
      <c r="J30" s="9">
        <v>0</v>
      </c>
      <c r="K30" s="9">
        <v>3554.30004882813</v>
      </c>
      <c r="L30" s="3"/>
      <c r="M30" s="3" t="s">
        <v>24</v>
      </c>
      <c r="N30" s="9">
        <v>0</v>
      </c>
      <c r="O30" s="9">
        <v>3554.30004882813</v>
      </c>
      <c r="P30" s="12" t="s">
        <v>61</v>
      </c>
      <c r="Q30" s="9">
        <v>0</v>
      </c>
      <c r="R30" s="11">
        <v>0</v>
      </c>
      <c r="S30" s="10">
        <v>0</v>
      </c>
      <c r="T30" s="9">
        <v>3554.30004882813</v>
      </c>
      <c r="U30" s="14">
        <v>0</v>
      </c>
      <c r="V30" s="12" t="s">
        <v>170</v>
      </c>
      <c r="W30" s="9"/>
      <c r="X30" s="9"/>
    </row>
    <row r="31" spans="1:24" x14ac:dyDescent="0.35">
      <c r="A31" s="3">
        <v>27</v>
      </c>
      <c r="B31" s="3" t="s">
        <v>110</v>
      </c>
      <c r="C31" s="8">
        <v>43823.416666666701</v>
      </c>
      <c r="D31" s="8">
        <v>43824.416666666701</v>
      </c>
      <c r="E31" s="12" t="s">
        <v>61</v>
      </c>
      <c r="F31" s="12" t="s">
        <v>67</v>
      </c>
      <c r="G31" s="9">
        <v>56</v>
      </c>
      <c r="H31" s="9">
        <v>2972.5</v>
      </c>
      <c r="I31" s="9">
        <v>0</v>
      </c>
      <c r="J31" s="9">
        <v>0</v>
      </c>
      <c r="K31" s="9">
        <v>3028.5</v>
      </c>
      <c r="L31" s="7">
        <v>43810.625</v>
      </c>
      <c r="M31" s="3" t="s">
        <v>167</v>
      </c>
      <c r="N31" s="9">
        <v>3004.5</v>
      </c>
      <c r="O31" s="9">
        <v>0</v>
      </c>
      <c r="P31" s="12" t="s">
        <v>24</v>
      </c>
      <c r="Q31" s="9">
        <v>0</v>
      </c>
      <c r="R31" s="11">
        <v>0</v>
      </c>
      <c r="S31" s="10">
        <v>3004.5</v>
      </c>
      <c r="T31" s="9">
        <v>0</v>
      </c>
      <c r="U31" s="14">
        <v>1</v>
      </c>
      <c r="V31" s="12" t="s">
        <v>166</v>
      </c>
      <c r="W31" s="9"/>
      <c r="X31" s="9"/>
    </row>
    <row r="32" spans="1:24" x14ac:dyDescent="0.35">
      <c r="A32" s="3">
        <v>28</v>
      </c>
      <c r="B32" s="3" t="s">
        <v>113</v>
      </c>
      <c r="C32" s="8">
        <v>43832.583333333299</v>
      </c>
      <c r="D32" s="8">
        <v>43833.583333333299</v>
      </c>
      <c r="E32" s="12" t="s">
        <v>61</v>
      </c>
      <c r="F32" s="12" t="s">
        <v>67</v>
      </c>
      <c r="G32" s="9">
        <v>56</v>
      </c>
      <c r="H32" s="9">
        <v>1586.5</v>
      </c>
      <c r="I32" s="9">
        <v>0</v>
      </c>
      <c r="J32" s="9">
        <v>0</v>
      </c>
      <c r="K32" s="9">
        <v>1642.5</v>
      </c>
      <c r="L32" s="7">
        <v>43810.625</v>
      </c>
      <c r="M32" s="3" t="s">
        <v>185</v>
      </c>
      <c r="N32" s="9">
        <v>1666.5</v>
      </c>
      <c r="O32" s="9">
        <v>0</v>
      </c>
      <c r="P32" s="12" t="s">
        <v>24</v>
      </c>
      <c r="Q32" s="9">
        <v>0</v>
      </c>
      <c r="R32" s="11">
        <v>0</v>
      </c>
      <c r="S32" s="10">
        <v>1666.5</v>
      </c>
      <c r="T32" s="9">
        <v>0</v>
      </c>
      <c r="U32" s="14">
        <v>1</v>
      </c>
      <c r="V32" s="12" t="s">
        <v>166</v>
      </c>
      <c r="W32" s="9"/>
      <c r="X32" s="9"/>
    </row>
    <row r="33" spans="1:24" ht="22" x14ac:dyDescent="0.35">
      <c r="A33" s="3">
        <v>29</v>
      </c>
      <c r="B33" s="3" t="s">
        <v>117</v>
      </c>
      <c r="C33" s="8">
        <v>43833.583333333299</v>
      </c>
      <c r="D33" s="8">
        <v>43833.708333333299</v>
      </c>
      <c r="E33" s="12" t="s">
        <v>29</v>
      </c>
      <c r="F33" s="12" t="s">
        <v>67</v>
      </c>
      <c r="G33" s="9">
        <v>24</v>
      </c>
      <c r="H33" s="9">
        <v>602.5</v>
      </c>
      <c r="I33" s="9">
        <v>0</v>
      </c>
      <c r="J33" s="9">
        <v>0</v>
      </c>
      <c r="K33" s="9">
        <v>626.5</v>
      </c>
      <c r="L33" s="7">
        <v>43812.416666666701</v>
      </c>
      <c r="M33" s="3" t="s">
        <v>177</v>
      </c>
      <c r="N33" s="9">
        <v>618.5</v>
      </c>
      <c r="O33" s="9">
        <v>0</v>
      </c>
      <c r="P33" s="12" t="s">
        <v>24</v>
      </c>
      <c r="Q33" s="9">
        <v>0</v>
      </c>
      <c r="R33" s="11">
        <v>0</v>
      </c>
      <c r="S33" s="10">
        <v>618.5</v>
      </c>
      <c r="T33" s="9">
        <v>0</v>
      </c>
      <c r="U33" s="14">
        <v>1</v>
      </c>
      <c r="V33" s="12" t="s">
        <v>166</v>
      </c>
      <c r="W33" s="9"/>
      <c r="X33" s="9"/>
    </row>
    <row r="34" spans="1:24" x14ac:dyDescent="0.35">
      <c r="A34" s="3">
        <v>30</v>
      </c>
      <c r="B34" s="3" t="s">
        <v>120</v>
      </c>
      <c r="C34" s="8">
        <v>43838.583333333299</v>
      </c>
      <c r="D34" s="8">
        <v>43839.5</v>
      </c>
      <c r="E34" s="12" t="s">
        <v>124</v>
      </c>
      <c r="F34" s="12" t="s">
        <v>67</v>
      </c>
      <c r="G34" s="9">
        <v>48</v>
      </c>
      <c r="H34" s="9">
        <v>602.5</v>
      </c>
      <c r="I34" s="9">
        <v>0</v>
      </c>
      <c r="J34" s="9">
        <v>0</v>
      </c>
      <c r="K34" s="9">
        <v>650.5</v>
      </c>
      <c r="L34" s="3"/>
      <c r="M34" s="3" t="s">
        <v>24</v>
      </c>
      <c r="N34" s="9">
        <v>0</v>
      </c>
      <c r="O34" s="9">
        <v>650.5</v>
      </c>
      <c r="P34" s="12" t="s">
        <v>124</v>
      </c>
      <c r="Q34" s="9">
        <v>0</v>
      </c>
      <c r="R34" s="11">
        <v>0</v>
      </c>
      <c r="S34" s="10">
        <v>0</v>
      </c>
      <c r="T34" s="9">
        <v>650.5</v>
      </c>
      <c r="U34" s="14">
        <v>0</v>
      </c>
      <c r="V34" s="12" t="s">
        <v>170</v>
      </c>
      <c r="W34" s="9"/>
      <c r="X34" s="9"/>
    </row>
    <row r="35" spans="1:24" x14ac:dyDescent="0.35">
      <c r="A35" s="3">
        <v>31</v>
      </c>
      <c r="B35" s="3" t="s">
        <v>125</v>
      </c>
      <c r="C35" s="8">
        <v>43839.5</v>
      </c>
      <c r="D35" s="8">
        <v>43839.5</v>
      </c>
      <c r="E35" s="12" t="s">
        <v>24</v>
      </c>
      <c r="F35" s="12"/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3"/>
      <c r="M35" s="3" t="s">
        <v>24</v>
      </c>
      <c r="N35" s="9">
        <v>0</v>
      </c>
      <c r="O35" s="9">
        <v>0</v>
      </c>
      <c r="P35" s="12" t="s">
        <v>24</v>
      </c>
      <c r="Q35" s="9">
        <v>0</v>
      </c>
      <c r="R35" s="11">
        <v>0</v>
      </c>
      <c r="S35" s="10">
        <v>0</v>
      </c>
      <c r="T35" s="9">
        <v>0</v>
      </c>
      <c r="U35" s="14">
        <v>0</v>
      </c>
      <c r="V35" s="12" t="s">
        <v>170</v>
      </c>
      <c r="W35" s="9"/>
      <c r="X35" s="9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Blad10"/>
  <dimension ref="A1:X35"/>
  <sheetViews>
    <sheetView topLeftCell="C1" workbookViewId="0">
      <selection activeCell="W5" sqref="W5:X35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150</v>
      </c>
      <c r="C1" s="7">
        <v>43813.708333333299</v>
      </c>
      <c r="E1" s="1" t="s">
        <v>151</v>
      </c>
      <c r="F1" s="4" t="s">
        <v>186</v>
      </c>
    </row>
    <row r="3" spans="1:24" x14ac:dyDescent="0.35">
      <c r="A3" s="24" t="s">
        <v>0</v>
      </c>
      <c r="B3" s="24"/>
      <c r="C3" s="24" t="s">
        <v>2</v>
      </c>
      <c r="D3" s="24"/>
      <c r="E3" s="24"/>
      <c r="F3" s="24" t="s">
        <v>3</v>
      </c>
      <c r="G3" s="24"/>
      <c r="H3" s="24" t="s">
        <v>4</v>
      </c>
      <c r="I3" s="24"/>
      <c r="J3" s="24"/>
      <c r="K3" s="24"/>
      <c r="L3" s="24" t="s">
        <v>152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153</v>
      </c>
      <c r="M4" s="1" t="s">
        <v>154</v>
      </c>
      <c r="N4" s="1" t="s">
        <v>155</v>
      </c>
      <c r="O4" s="1" t="s">
        <v>156</v>
      </c>
      <c r="P4" s="1" t="s">
        <v>157</v>
      </c>
      <c r="Q4" s="1" t="s">
        <v>158</v>
      </c>
      <c r="R4" s="1" t="s">
        <v>159</v>
      </c>
      <c r="S4" s="1" t="s">
        <v>160</v>
      </c>
      <c r="T4" s="1" t="s">
        <v>161</v>
      </c>
      <c r="U4" s="1" t="s">
        <v>162</v>
      </c>
      <c r="V4" s="1" t="s">
        <v>152</v>
      </c>
      <c r="W4" s="1" t="s">
        <v>163</v>
      </c>
      <c r="X4" s="1" t="s">
        <v>164</v>
      </c>
    </row>
    <row r="5" spans="1:24" x14ac:dyDescent="0.35">
      <c r="A5" s="2">
        <v>0</v>
      </c>
      <c r="B5" s="3" t="s">
        <v>18</v>
      </c>
      <c r="C5" s="5">
        <v>43808.375</v>
      </c>
      <c r="D5" s="5">
        <v>43839.5</v>
      </c>
      <c r="E5" s="2" t="s">
        <v>20</v>
      </c>
      <c r="F5" s="2"/>
      <c r="G5" s="6"/>
      <c r="H5" s="6">
        <v>118411.30004882799</v>
      </c>
      <c r="I5" s="6"/>
      <c r="J5" s="6"/>
      <c r="K5" s="6">
        <v>126955.30004882799</v>
      </c>
      <c r="L5" s="2"/>
      <c r="M5" s="2" t="s">
        <v>56</v>
      </c>
      <c r="N5" s="6"/>
      <c r="O5" s="6"/>
      <c r="P5" s="2"/>
      <c r="Q5" s="6"/>
      <c r="R5" s="6"/>
      <c r="S5" s="6">
        <v>60802</v>
      </c>
      <c r="T5" s="6"/>
      <c r="U5" s="13">
        <v>0.48300894437776798</v>
      </c>
      <c r="V5" s="2"/>
      <c r="W5" s="6"/>
      <c r="X5" s="6"/>
    </row>
    <row r="6" spans="1:24" x14ac:dyDescent="0.35">
      <c r="A6" s="3">
        <v>1</v>
      </c>
      <c r="B6" s="3" t="s">
        <v>21</v>
      </c>
      <c r="C6" s="8">
        <v>43808.375</v>
      </c>
      <c r="D6" s="8">
        <v>43806.708333333299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43808.375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166</v>
      </c>
      <c r="W6" s="9"/>
      <c r="X6" s="9"/>
    </row>
    <row r="7" spans="1:24" ht="22" x14ac:dyDescent="0.35">
      <c r="A7" s="3">
        <v>2</v>
      </c>
      <c r="B7" s="3" t="s">
        <v>25</v>
      </c>
      <c r="C7" s="8">
        <v>43808.375</v>
      </c>
      <c r="D7" s="8">
        <v>43808.5</v>
      </c>
      <c r="E7" s="12" t="s">
        <v>29</v>
      </c>
      <c r="F7" s="12" t="s">
        <v>30</v>
      </c>
      <c r="G7" s="9">
        <v>36</v>
      </c>
      <c r="H7" s="9">
        <v>931.5</v>
      </c>
      <c r="I7" s="9">
        <v>0</v>
      </c>
      <c r="J7" s="9">
        <v>0</v>
      </c>
      <c r="K7" s="9">
        <v>967.5</v>
      </c>
      <c r="L7" s="7">
        <v>43808.375</v>
      </c>
      <c r="M7" s="3" t="s">
        <v>29</v>
      </c>
      <c r="N7" s="9">
        <v>967.5</v>
      </c>
      <c r="O7" s="9">
        <v>0</v>
      </c>
      <c r="P7" s="12" t="s">
        <v>24</v>
      </c>
      <c r="Q7" s="9">
        <v>0</v>
      </c>
      <c r="R7" s="11">
        <v>0</v>
      </c>
      <c r="S7" s="10">
        <v>967.5</v>
      </c>
      <c r="T7" s="9">
        <v>0</v>
      </c>
      <c r="U7" s="14">
        <v>1</v>
      </c>
      <c r="V7" s="12" t="s">
        <v>166</v>
      </c>
      <c r="W7" s="9"/>
      <c r="X7" s="9"/>
    </row>
    <row r="8" spans="1:24" x14ac:dyDescent="0.35">
      <c r="A8" s="3">
        <v>3</v>
      </c>
      <c r="B8" s="3" t="s">
        <v>31</v>
      </c>
      <c r="C8" s="8">
        <v>43808.541666666701</v>
      </c>
      <c r="D8" s="8">
        <v>43813.5</v>
      </c>
      <c r="E8" s="12" t="s">
        <v>35</v>
      </c>
      <c r="F8" s="12" t="s">
        <v>36</v>
      </c>
      <c r="G8" s="9">
        <v>840</v>
      </c>
      <c r="H8" s="9">
        <v>950.5</v>
      </c>
      <c r="I8" s="9">
        <v>0</v>
      </c>
      <c r="J8" s="9">
        <v>0</v>
      </c>
      <c r="K8" s="9">
        <v>1790.5</v>
      </c>
      <c r="L8" s="7">
        <v>43808.541666666701</v>
      </c>
      <c r="M8" s="3" t="s">
        <v>181</v>
      </c>
      <c r="N8" s="9">
        <v>1550.5</v>
      </c>
      <c r="O8" s="9">
        <v>0</v>
      </c>
      <c r="P8" s="12" t="s">
        <v>24</v>
      </c>
      <c r="Q8" s="9">
        <v>0</v>
      </c>
      <c r="R8" s="11">
        <v>0</v>
      </c>
      <c r="S8" s="10">
        <v>1550.5</v>
      </c>
      <c r="T8" s="9">
        <v>0</v>
      </c>
      <c r="U8" s="14">
        <v>1</v>
      </c>
      <c r="V8" s="12" t="s">
        <v>166</v>
      </c>
      <c r="W8" s="9"/>
      <c r="X8" s="9"/>
    </row>
    <row r="9" spans="1:24" x14ac:dyDescent="0.35">
      <c r="A9" s="3">
        <v>4</v>
      </c>
      <c r="B9" s="3" t="s">
        <v>37</v>
      </c>
      <c r="C9" s="8">
        <v>43813.541666666701</v>
      </c>
      <c r="D9" s="8">
        <v>43816.625</v>
      </c>
      <c r="E9" s="12" t="s">
        <v>41</v>
      </c>
      <c r="F9" s="12" t="s">
        <v>42</v>
      </c>
      <c r="G9" s="9">
        <v>640</v>
      </c>
      <c r="H9" s="9">
        <v>8819</v>
      </c>
      <c r="I9" s="9">
        <v>0</v>
      </c>
      <c r="J9" s="9">
        <v>0</v>
      </c>
      <c r="K9" s="9">
        <v>9459</v>
      </c>
      <c r="L9" s="7">
        <v>43812.375</v>
      </c>
      <c r="M9" s="3" t="s">
        <v>185</v>
      </c>
      <c r="N9" s="9">
        <v>9219</v>
      </c>
      <c r="O9" s="9">
        <v>0</v>
      </c>
      <c r="P9" s="12" t="s">
        <v>24</v>
      </c>
      <c r="Q9" s="9">
        <v>0</v>
      </c>
      <c r="R9" s="11">
        <v>0</v>
      </c>
      <c r="S9" s="10">
        <v>9219</v>
      </c>
      <c r="T9" s="9">
        <v>0</v>
      </c>
      <c r="U9" s="14">
        <v>1</v>
      </c>
      <c r="V9" s="12" t="s">
        <v>166</v>
      </c>
      <c r="W9" s="9"/>
      <c r="X9" s="9"/>
    </row>
    <row r="10" spans="1:24" ht="22" x14ac:dyDescent="0.35">
      <c r="A10" s="3">
        <v>5</v>
      </c>
      <c r="B10" s="3" t="s">
        <v>43</v>
      </c>
      <c r="C10" s="8">
        <v>43816.625</v>
      </c>
      <c r="D10" s="8">
        <v>43827.708333333299</v>
      </c>
      <c r="E10" s="12" t="s">
        <v>47</v>
      </c>
      <c r="F10" s="12" t="s">
        <v>42</v>
      </c>
      <c r="G10" s="9">
        <v>2880</v>
      </c>
      <c r="H10" s="9">
        <v>3166.5</v>
      </c>
      <c r="I10" s="9">
        <v>0</v>
      </c>
      <c r="J10" s="9">
        <v>0</v>
      </c>
      <c r="K10" s="9">
        <v>6046.5</v>
      </c>
      <c r="L10" s="7">
        <v>43813.541666666701</v>
      </c>
      <c r="M10" s="3" t="s">
        <v>167</v>
      </c>
      <c r="N10" s="9">
        <v>3326.5</v>
      </c>
      <c r="O10" s="9">
        <v>2480</v>
      </c>
      <c r="P10" s="12" t="s">
        <v>187</v>
      </c>
      <c r="Q10" s="9">
        <v>0</v>
      </c>
      <c r="R10" s="11">
        <v>0</v>
      </c>
      <c r="S10" s="10">
        <v>3326.5</v>
      </c>
      <c r="T10" s="9">
        <v>2480</v>
      </c>
      <c r="U10" s="14">
        <v>6.0606062412261998E-2</v>
      </c>
      <c r="V10" s="12" t="s">
        <v>169</v>
      </c>
      <c r="W10" s="9"/>
      <c r="X10" s="9"/>
    </row>
    <row r="11" spans="1:24" x14ac:dyDescent="0.35">
      <c r="A11" s="3">
        <v>6</v>
      </c>
      <c r="B11" s="3" t="s">
        <v>48</v>
      </c>
      <c r="C11" s="8">
        <v>43830.583333333299</v>
      </c>
      <c r="D11" s="8">
        <v>43832.583333333299</v>
      </c>
      <c r="E11" s="12" t="s">
        <v>51</v>
      </c>
      <c r="F11" s="12" t="s">
        <v>52</v>
      </c>
      <c r="G11" s="9">
        <v>448</v>
      </c>
      <c r="H11" s="9">
        <v>1802.5</v>
      </c>
      <c r="I11" s="9">
        <v>0</v>
      </c>
      <c r="J11" s="9">
        <v>0</v>
      </c>
      <c r="K11" s="9">
        <v>2250.5</v>
      </c>
      <c r="L11" s="7">
        <v>43808.541666666701</v>
      </c>
      <c r="M11" s="3" t="s">
        <v>41</v>
      </c>
      <c r="N11" s="9">
        <v>2314.5</v>
      </c>
      <c r="O11" s="9">
        <v>0</v>
      </c>
      <c r="P11" s="12" t="s">
        <v>24</v>
      </c>
      <c r="Q11" s="9">
        <v>0</v>
      </c>
      <c r="R11" s="11">
        <v>0</v>
      </c>
      <c r="S11" s="10">
        <v>2314.5</v>
      </c>
      <c r="T11" s="9">
        <v>0</v>
      </c>
      <c r="U11" s="14">
        <v>1</v>
      </c>
      <c r="V11" s="12" t="s">
        <v>166</v>
      </c>
      <c r="W11" s="9"/>
      <c r="X11" s="9"/>
    </row>
    <row r="12" spans="1:24" x14ac:dyDescent="0.35">
      <c r="A12" s="3">
        <v>7</v>
      </c>
      <c r="B12" s="3" t="s">
        <v>53</v>
      </c>
      <c r="C12" s="8">
        <v>43815.416666666701</v>
      </c>
      <c r="D12" s="8">
        <v>43822.416666666701</v>
      </c>
      <c r="E12" s="12" t="s">
        <v>56</v>
      </c>
      <c r="F12" s="12" t="s">
        <v>57</v>
      </c>
      <c r="G12" s="9">
        <v>672</v>
      </c>
      <c r="H12" s="9">
        <v>1970.5</v>
      </c>
      <c r="I12" s="9">
        <v>0</v>
      </c>
      <c r="J12" s="9">
        <v>0</v>
      </c>
      <c r="K12" s="9">
        <v>2642.5</v>
      </c>
      <c r="L12" s="3"/>
      <c r="M12" s="3" t="s">
        <v>24</v>
      </c>
      <c r="N12" s="9">
        <v>0</v>
      </c>
      <c r="O12" s="9">
        <v>2642.5</v>
      </c>
      <c r="P12" s="12" t="s">
        <v>56</v>
      </c>
      <c r="Q12" s="9">
        <v>0</v>
      </c>
      <c r="R12" s="11">
        <v>0</v>
      </c>
      <c r="S12" s="10">
        <v>0</v>
      </c>
      <c r="T12" s="9">
        <v>2642.5</v>
      </c>
      <c r="U12" s="14">
        <v>0</v>
      </c>
      <c r="V12" s="12" t="s">
        <v>170</v>
      </c>
      <c r="W12" s="9"/>
      <c r="X12" s="9"/>
    </row>
    <row r="13" spans="1:24" ht="22" x14ac:dyDescent="0.35">
      <c r="A13" s="3">
        <v>8</v>
      </c>
      <c r="B13" s="3" t="s">
        <v>58</v>
      </c>
      <c r="C13" s="8">
        <v>43831.583333333299</v>
      </c>
      <c r="D13" s="8">
        <v>43832.583333333299</v>
      </c>
      <c r="E13" s="12" t="s">
        <v>61</v>
      </c>
      <c r="F13" s="12" t="s">
        <v>57</v>
      </c>
      <c r="G13" s="9">
        <v>112</v>
      </c>
      <c r="H13" s="9">
        <v>602.5</v>
      </c>
      <c r="I13" s="9">
        <v>0</v>
      </c>
      <c r="J13" s="9">
        <v>0</v>
      </c>
      <c r="K13" s="9">
        <v>714.5</v>
      </c>
      <c r="L13" s="3"/>
      <c r="M13" s="3" t="s">
        <v>24</v>
      </c>
      <c r="N13" s="9">
        <v>0</v>
      </c>
      <c r="O13" s="9">
        <v>714.5</v>
      </c>
      <c r="P13" s="12" t="s">
        <v>61</v>
      </c>
      <c r="Q13" s="9">
        <v>0</v>
      </c>
      <c r="R13" s="11">
        <v>0</v>
      </c>
      <c r="S13" s="10">
        <v>0</v>
      </c>
      <c r="T13" s="9">
        <v>714.5</v>
      </c>
      <c r="U13" s="14">
        <v>0</v>
      </c>
      <c r="V13" s="12" t="s">
        <v>170</v>
      </c>
      <c r="W13" s="9"/>
      <c r="X13" s="9"/>
    </row>
    <row r="14" spans="1:24" x14ac:dyDescent="0.35">
      <c r="A14" s="3">
        <v>9</v>
      </c>
      <c r="B14" s="3" t="s">
        <v>62</v>
      </c>
      <c r="C14" s="8">
        <v>43829.583333333299</v>
      </c>
      <c r="D14" s="8">
        <v>43830.583333333299</v>
      </c>
      <c r="E14" s="12" t="s">
        <v>61</v>
      </c>
      <c r="F14" s="12" t="s">
        <v>57</v>
      </c>
      <c r="G14" s="9">
        <v>112</v>
      </c>
      <c r="H14" s="9">
        <v>602.5</v>
      </c>
      <c r="I14" s="9">
        <v>0</v>
      </c>
      <c r="J14" s="9">
        <v>0</v>
      </c>
      <c r="K14" s="9">
        <v>714.5</v>
      </c>
      <c r="L14" s="3"/>
      <c r="M14" s="3" t="s">
        <v>24</v>
      </c>
      <c r="N14" s="9">
        <v>0</v>
      </c>
      <c r="O14" s="9">
        <v>714.5</v>
      </c>
      <c r="P14" s="12" t="s">
        <v>61</v>
      </c>
      <c r="Q14" s="9">
        <v>0</v>
      </c>
      <c r="R14" s="11">
        <v>0</v>
      </c>
      <c r="S14" s="10">
        <v>0</v>
      </c>
      <c r="T14" s="9">
        <v>714.5</v>
      </c>
      <c r="U14" s="14">
        <v>0</v>
      </c>
      <c r="V14" s="12" t="s">
        <v>170</v>
      </c>
      <c r="W14" s="9"/>
      <c r="X14" s="9"/>
    </row>
    <row r="15" spans="1:24" ht="22" x14ac:dyDescent="0.35">
      <c r="A15" s="3">
        <v>10</v>
      </c>
      <c r="B15" s="3" t="s">
        <v>64</v>
      </c>
      <c r="C15" s="8">
        <v>43829.375</v>
      </c>
      <c r="D15" s="8">
        <v>43829.708333333299</v>
      </c>
      <c r="E15" s="12" t="s">
        <v>61</v>
      </c>
      <c r="F15" s="12" t="s">
        <v>67</v>
      </c>
      <c r="G15" s="9">
        <v>56</v>
      </c>
      <c r="H15" s="9">
        <v>602.5</v>
      </c>
      <c r="I15" s="9">
        <v>0</v>
      </c>
      <c r="J15" s="9">
        <v>0</v>
      </c>
      <c r="K15" s="9">
        <v>658.5</v>
      </c>
      <c r="L15" s="3"/>
      <c r="M15" s="3" t="s">
        <v>24</v>
      </c>
      <c r="N15" s="9">
        <v>0</v>
      </c>
      <c r="O15" s="9">
        <v>658.5</v>
      </c>
      <c r="P15" s="12" t="s">
        <v>61</v>
      </c>
      <c r="Q15" s="9">
        <v>0</v>
      </c>
      <c r="R15" s="11">
        <v>0</v>
      </c>
      <c r="S15" s="10">
        <v>0</v>
      </c>
      <c r="T15" s="9">
        <v>658.5</v>
      </c>
      <c r="U15" s="14">
        <v>0</v>
      </c>
      <c r="V15" s="12" t="s">
        <v>170</v>
      </c>
      <c r="W15" s="9"/>
      <c r="X15" s="9"/>
    </row>
    <row r="16" spans="1:24" x14ac:dyDescent="0.35">
      <c r="A16" s="3">
        <v>11</v>
      </c>
      <c r="B16" s="3" t="s">
        <v>68</v>
      </c>
      <c r="C16" s="8">
        <v>43813.416666666701</v>
      </c>
      <c r="D16" s="8">
        <v>43815.416666666701</v>
      </c>
      <c r="E16" s="12" t="s">
        <v>61</v>
      </c>
      <c r="F16" s="12" t="s">
        <v>67</v>
      </c>
      <c r="G16" s="9">
        <v>56</v>
      </c>
      <c r="H16" s="9">
        <v>602.5</v>
      </c>
      <c r="I16" s="9">
        <v>0</v>
      </c>
      <c r="J16" s="9">
        <v>0</v>
      </c>
      <c r="K16" s="9">
        <v>658.5</v>
      </c>
      <c r="L16" s="3"/>
      <c r="M16" s="3" t="s">
        <v>24</v>
      </c>
      <c r="N16" s="9">
        <v>0</v>
      </c>
      <c r="O16" s="9">
        <v>658.5</v>
      </c>
      <c r="P16" s="12" t="s">
        <v>61</v>
      </c>
      <c r="Q16" s="9">
        <v>0</v>
      </c>
      <c r="R16" s="11">
        <v>0</v>
      </c>
      <c r="S16" s="10">
        <v>0</v>
      </c>
      <c r="T16" s="9">
        <v>658.5</v>
      </c>
      <c r="U16" s="14">
        <v>0</v>
      </c>
      <c r="V16" s="12" t="s">
        <v>170</v>
      </c>
      <c r="W16" s="9"/>
      <c r="X16" s="9"/>
    </row>
    <row r="17" spans="1:24" ht="22" x14ac:dyDescent="0.35">
      <c r="A17" s="3">
        <v>13</v>
      </c>
      <c r="B17" s="3" t="s">
        <v>70</v>
      </c>
      <c r="C17" s="8">
        <v>43823.416666666701</v>
      </c>
      <c r="D17" s="8">
        <v>43823.583333333299</v>
      </c>
      <c r="E17" s="12" t="s">
        <v>29</v>
      </c>
      <c r="F17" s="12" t="s">
        <v>67</v>
      </c>
      <c r="G17" s="9">
        <v>24</v>
      </c>
      <c r="H17" s="9">
        <v>602.5</v>
      </c>
      <c r="I17" s="9">
        <v>0</v>
      </c>
      <c r="J17" s="9">
        <v>0</v>
      </c>
      <c r="K17" s="9">
        <v>626.5</v>
      </c>
      <c r="L17" s="7">
        <v>43811.458333333299</v>
      </c>
      <c r="M17" s="3" t="s">
        <v>29</v>
      </c>
      <c r="N17" s="9">
        <v>626.5</v>
      </c>
      <c r="O17" s="9">
        <v>0</v>
      </c>
      <c r="P17" s="12" t="s">
        <v>24</v>
      </c>
      <c r="Q17" s="9">
        <v>0</v>
      </c>
      <c r="R17" s="11">
        <v>0</v>
      </c>
      <c r="S17" s="10">
        <v>626.5</v>
      </c>
      <c r="T17" s="9">
        <v>0</v>
      </c>
      <c r="U17" s="14">
        <v>1</v>
      </c>
      <c r="V17" s="12" t="s">
        <v>166</v>
      </c>
      <c r="W17" s="9"/>
      <c r="X17" s="9"/>
    </row>
    <row r="18" spans="1:24" x14ac:dyDescent="0.35">
      <c r="A18" s="3">
        <v>14</v>
      </c>
      <c r="B18" s="3" t="s">
        <v>74</v>
      </c>
      <c r="C18" s="8">
        <v>43836.583333333299</v>
      </c>
      <c r="D18" s="8">
        <v>43838.583333333299</v>
      </c>
      <c r="E18" s="12" t="s">
        <v>51</v>
      </c>
      <c r="F18" s="12" t="s">
        <v>77</v>
      </c>
      <c r="G18" s="9">
        <v>672</v>
      </c>
      <c r="H18" s="9">
        <v>602.5</v>
      </c>
      <c r="I18" s="9">
        <v>0</v>
      </c>
      <c r="J18" s="9">
        <v>0</v>
      </c>
      <c r="K18" s="9">
        <v>1274.5</v>
      </c>
      <c r="L18" s="3"/>
      <c r="M18" s="3" t="s">
        <v>24</v>
      </c>
      <c r="N18" s="9">
        <v>0</v>
      </c>
      <c r="O18" s="9">
        <v>1274.5</v>
      </c>
      <c r="P18" s="12" t="s">
        <v>51</v>
      </c>
      <c r="Q18" s="9">
        <v>0</v>
      </c>
      <c r="R18" s="11">
        <v>0</v>
      </c>
      <c r="S18" s="10">
        <v>0</v>
      </c>
      <c r="T18" s="9">
        <v>1274.5</v>
      </c>
      <c r="U18" s="14">
        <v>0</v>
      </c>
      <c r="V18" s="12" t="s">
        <v>170</v>
      </c>
      <c r="W18" s="9"/>
      <c r="X18" s="9"/>
    </row>
    <row r="19" spans="1:24" x14ac:dyDescent="0.35">
      <c r="A19" s="3">
        <v>15</v>
      </c>
      <c r="B19" s="3" t="s">
        <v>78</v>
      </c>
      <c r="C19" s="8">
        <v>43829.583333333299</v>
      </c>
      <c r="D19" s="8">
        <v>43830.583333333299</v>
      </c>
      <c r="E19" s="12" t="s">
        <v>61</v>
      </c>
      <c r="F19" s="12" t="s">
        <v>57</v>
      </c>
      <c r="G19" s="9">
        <v>112</v>
      </c>
      <c r="H19" s="9">
        <v>602.5</v>
      </c>
      <c r="I19" s="9">
        <v>0</v>
      </c>
      <c r="J19" s="9">
        <v>0</v>
      </c>
      <c r="K19" s="9">
        <v>714.5</v>
      </c>
      <c r="L19" s="3"/>
      <c r="M19" s="3" t="s">
        <v>24</v>
      </c>
      <c r="N19" s="9">
        <v>0</v>
      </c>
      <c r="O19" s="9">
        <v>714.5</v>
      </c>
      <c r="P19" s="12" t="s">
        <v>61</v>
      </c>
      <c r="Q19" s="9">
        <v>0</v>
      </c>
      <c r="R19" s="11">
        <v>0</v>
      </c>
      <c r="S19" s="10">
        <v>0</v>
      </c>
      <c r="T19" s="9">
        <v>714.5</v>
      </c>
      <c r="U19" s="14">
        <v>0</v>
      </c>
      <c r="V19" s="12" t="s">
        <v>170</v>
      </c>
      <c r="W19" s="9"/>
      <c r="X19" s="9"/>
    </row>
    <row r="20" spans="1:24" x14ac:dyDescent="0.35">
      <c r="A20" s="3">
        <v>16</v>
      </c>
      <c r="B20" s="3" t="s">
        <v>80</v>
      </c>
      <c r="C20" s="8">
        <v>43827.416666666701</v>
      </c>
      <c r="D20" s="8">
        <v>43827.583333333299</v>
      </c>
      <c r="E20" s="12" t="s">
        <v>29</v>
      </c>
      <c r="F20" s="12" t="s">
        <v>57</v>
      </c>
      <c r="G20" s="9">
        <v>48</v>
      </c>
      <c r="H20" s="9">
        <v>602.5</v>
      </c>
      <c r="I20" s="9">
        <v>0</v>
      </c>
      <c r="J20" s="9">
        <v>0</v>
      </c>
      <c r="K20" s="9">
        <v>650.5</v>
      </c>
      <c r="L20" s="7">
        <v>43813.666666666701</v>
      </c>
      <c r="M20" s="3" t="s">
        <v>183</v>
      </c>
      <c r="N20" s="9">
        <v>618.5</v>
      </c>
      <c r="O20" s="9">
        <v>48</v>
      </c>
      <c r="P20" s="12" t="s">
        <v>29</v>
      </c>
      <c r="Q20" s="9">
        <v>0</v>
      </c>
      <c r="R20" s="11">
        <v>0</v>
      </c>
      <c r="S20" s="10">
        <v>618.5</v>
      </c>
      <c r="T20" s="9">
        <v>48</v>
      </c>
      <c r="U20" s="14">
        <v>0.25</v>
      </c>
      <c r="V20" s="12" t="s">
        <v>169</v>
      </c>
      <c r="W20" s="9"/>
      <c r="X20" s="9"/>
    </row>
    <row r="21" spans="1:24" x14ac:dyDescent="0.35">
      <c r="A21" s="3">
        <v>17</v>
      </c>
      <c r="B21" s="3" t="s">
        <v>82</v>
      </c>
      <c r="C21" s="8">
        <v>43822.416666666701</v>
      </c>
      <c r="D21" s="8">
        <v>43823.416666666701</v>
      </c>
      <c r="E21" s="12" t="s">
        <v>61</v>
      </c>
      <c r="F21" s="12" t="s">
        <v>85</v>
      </c>
      <c r="G21" s="9">
        <v>140</v>
      </c>
      <c r="H21" s="9">
        <v>3302.5</v>
      </c>
      <c r="I21" s="9">
        <v>0</v>
      </c>
      <c r="J21" s="9">
        <v>0</v>
      </c>
      <c r="K21" s="9">
        <v>3442.5</v>
      </c>
      <c r="L21" s="7">
        <v>43810.625</v>
      </c>
      <c r="M21" s="3" t="s">
        <v>167</v>
      </c>
      <c r="N21" s="9">
        <v>3382.5</v>
      </c>
      <c r="O21" s="9">
        <v>0</v>
      </c>
      <c r="P21" s="12" t="s">
        <v>24</v>
      </c>
      <c r="Q21" s="9">
        <v>0</v>
      </c>
      <c r="R21" s="11">
        <v>0</v>
      </c>
      <c r="S21" s="10">
        <v>3382.5</v>
      </c>
      <c r="T21" s="9">
        <v>0</v>
      </c>
      <c r="U21" s="14">
        <v>1</v>
      </c>
      <c r="V21" s="12" t="s">
        <v>166</v>
      </c>
      <c r="W21" s="9"/>
      <c r="X21" s="9"/>
    </row>
    <row r="22" spans="1:24" x14ac:dyDescent="0.35">
      <c r="A22" s="3">
        <v>18</v>
      </c>
      <c r="B22" s="3" t="s">
        <v>86</v>
      </c>
      <c r="C22" s="8">
        <v>43832.583333333299</v>
      </c>
      <c r="D22" s="8">
        <v>43833.583333333299</v>
      </c>
      <c r="E22" s="12" t="s">
        <v>61</v>
      </c>
      <c r="F22" s="12" t="s">
        <v>57</v>
      </c>
      <c r="G22" s="9">
        <v>112</v>
      </c>
      <c r="H22" s="9">
        <v>602.5</v>
      </c>
      <c r="I22" s="9">
        <v>0</v>
      </c>
      <c r="J22" s="9">
        <v>0</v>
      </c>
      <c r="K22" s="9">
        <v>714.5</v>
      </c>
      <c r="L22" s="3"/>
      <c r="M22" s="3" t="s">
        <v>24</v>
      </c>
      <c r="N22" s="9">
        <v>0</v>
      </c>
      <c r="O22" s="9">
        <v>714.5</v>
      </c>
      <c r="P22" s="12" t="s">
        <v>61</v>
      </c>
      <c r="Q22" s="9">
        <v>0</v>
      </c>
      <c r="R22" s="11">
        <v>0</v>
      </c>
      <c r="S22" s="10">
        <v>0</v>
      </c>
      <c r="T22" s="9">
        <v>714.5</v>
      </c>
      <c r="U22" s="14">
        <v>0</v>
      </c>
      <c r="V22" s="12" t="s">
        <v>170</v>
      </c>
      <c r="W22" s="9"/>
      <c r="X22" s="9"/>
    </row>
    <row r="23" spans="1:24" ht="22" x14ac:dyDescent="0.35">
      <c r="A23" s="3">
        <v>19</v>
      </c>
      <c r="B23" s="3" t="s">
        <v>88</v>
      </c>
      <c r="C23" s="8">
        <v>43833.583333333299</v>
      </c>
      <c r="D23" s="8">
        <v>43836.583333333299</v>
      </c>
      <c r="E23" s="12" t="s">
        <v>51</v>
      </c>
      <c r="F23" s="12" t="s">
        <v>77</v>
      </c>
      <c r="G23" s="9">
        <v>672</v>
      </c>
      <c r="H23" s="9">
        <v>2252.5</v>
      </c>
      <c r="I23" s="9">
        <v>0</v>
      </c>
      <c r="J23" s="9">
        <v>0</v>
      </c>
      <c r="K23" s="9">
        <v>2924.5</v>
      </c>
      <c r="L23" s="3"/>
      <c r="M23" s="3" t="s">
        <v>24</v>
      </c>
      <c r="N23" s="9">
        <v>0</v>
      </c>
      <c r="O23" s="9">
        <v>2924.5</v>
      </c>
      <c r="P23" s="12" t="s">
        <v>51</v>
      </c>
      <c r="Q23" s="9">
        <v>0</v>
      </c>
      <c r="R23" s="11">
        <v>0</v>
      </c>
      <c r="S23" s="10">
        <v>0</v>
      </c>
      <c r="T23" s="9">
        <v>2924.5</v>
      </c>
      <c r="U23" s="14">
        <v>0</v>
      </c>
      <c r="V23" s="12" t="s">
        <v>170</v>
      </c>
      <c r="W23" s="9"/>
      <c r="X23" s="9"/>
    </row>
    <row r="24" spans="1:24" x14ac:dyDescent="0.35">
      <c r="A24" s="3">
        <v>20</v>
      </c>
      <c r="B24" s="3" t="s">
        <v>91</v>
      </c>
      <c r="C24" s="8">
        <v>43824.416666666701</v>
      </c>
      <c r="D24" s="8">
        <v>43825.416666666701</v>
      </c>
      <c r="E24" s="12" t="s">
        <v>61</v>
      </c>
      <c r="F24" s="12" t="s">
        <v>67</v>
      </c>
      <c r="G24" s="9">
        <v>56</v>
      </c>
      <c r="H24" s="9">
        <v>28602.5</v>
      </c>
      <c r="I24" s="9">
        <v>0</v>
      </c>
      <c r="J24" s="9">
        <v>0</v>
      </c>
      <c r="K24" s="9">
        <v>28658.5</v>
      </c>
      <c r="L24" s="7">
        <v>43811.458333333299</v>
      </c>
      <c r="M24" s="3" t="s">
        <v>174</v>
      </c>
      <c r="N24" s="9">
        <v>28642.5</v>
      </c>
      <c r="O24" s="9">
        <v>0</v>
      </c>
      <c r="P24" s="12" t="s">
        <v>24</v>
      </c>
      <c r="Q24" s="9">
        <v>0</v>
      </c>
      <c r="R24" s="11">
        <v>0</v>
      </c>
      <c r="S24" s="10">
        <v>28642.5</v>
      </c>
      <c r="T24" s="9">
        <v>0</v>
      </c>
      <c r="U24" s="14">
        <v>1</v>
      </c>
      <c r="V24" s="12" t="s">
        <v>166</v>
      </c>
      <c r="W24" s="9"/>
      <c r="X24" s="9"/>
    </row>
    <row r="25" spans="1:24" ht="22" x14ac:dyDescent="0.35">
      <c r="A25" s="3">
        <v>21</v>
      </c>
      <c r="B25" s="3" t="s">
        <v>95</v>
      </c>
      <c r="C25" s="8">
        <v>43830.583333333299</v>
      </c>
      <c r="D25" s="8">
        <v>43831.583333333299</v>
      </c>
      <c r="E25" s="12" t="s">
        <v>61</v>
      </c>
      <c r="F25" s="12" t="s">
        <v>36</v>
      </c>
      <c r="G25" s="9">
        <v>168</v>
      </c>
      <c r="H25" s="9">
        <v>3677.5</v>
      </c>
      <c r="I25" s="9">
        <v>0</v>
      </c>
      <c r="J25" s="9">
        <v>0</v>
      </c>
      <c r="K25" s="9">
        <v>3845.5</v>
      </c>
      <c r="L25" s="3"/>
      <c r="M25" s="3" t="s">
        <v>24</v>
      </c>
      <c r="N25" s="9">
        <v>0</v>
      </c>
      <c r="O25" s="9">
        <v>3845.5</v>
      </c>
      <c r="P25" s="12" t="s">
        <v>61</v>
      </c>
      <c r="Q25" s="9">
        <v>0</v>
      </c>
      <c r="R25" s="11">
        <v>0</v>
      </c>
      <c r="S25" s="10">
        <v>0</v>
      </c>
      <c r="T25" s="9">
        <v>3845.5</v>
      </c>
      <c r="U25" s="14">
        <v>0</v>
      </c>
      <c r="V25" s="12" t="s">
        <v>170</v>
      </c>
      <c r="W25" s="9"/>
      <c r="X25" s="9"/>
    </row>
    <row r="26" spans="1:24" x14ac:dyDescent="0.35">
      <c r="A26" s="3">
        <v>22</v>
      </c>
      <c r="B26" s="3" t="s">
        <v>98</v>
      </c>
      <c r="C26" s="8">
        <v>43825.416666666701</v>
      </c>
      <c r="D26" s="8">
        <v>43826.416666666701</v>
      </c>
      <c r="E26" s="12" t="s">
        <v>61</v>
      </c>
      <c r="F26" s="12" t="s">
        <v>67</v>
      </c>
      <c r="G26" s="9">
        <v>56</v>
      </c>
      <c r="H26" s="9">
        <v>602.5</v>
      </c>
      <c r="I26" s="9">
        <v>0</v>
      </c>
      <c r="J26" s="9">
        <v>0</v>
      </c>
      <c r="K26" s="9">
        <v>658.5</v>
      </c>
      <c r="L26" s="7">
        <v>43812.375</v>
      </c>
      <c r="M26" s="3" t="s">
        <v>124</v>
      </c>
      <c r="N26" s="9">
        <v>650.5</v>
      </c>
      <c r="O26" s="9">
        <v>0</v>
      </c>
      <c r="P26" s="12" t="s">
        <v>24</v>
      </c>
      <c r="Q26" s="9">
        <v>0</v>
      </c>
      <c r="R26" s="11">
        <v>0</v>
      </c>
      <c r="S26" s="10">
        <v>650.5</v>
      </c>
      <c r="T26" s="9">
        <v>0</v>
      </c>
      <c r="U26" s="14">
        <v>1</v>
      </c>
      <c r="V26" s="12" t="s">
        <v>166</v>
      </c>
      <c r="W26" s="9"/>
      <c r="X26" s="9"/>
    </row>
    <row r="27" spans="1:24" x14ac:dyDescent="0.35">
      <c r="A27" s="3">
        <v>23</v>
      </c>
      <c r="B27" s="3" t="s">
        <v>101</v>
      </c>
      <c r="C27" s="8">
        <v>43832.583333333299</v>
      </c>
      <c r="D27" s="8">
        <v>43833.583333333299</v>
      </c>
      <c r="E27" s="12" t="s">
        <v>61</v>
      </c>
      <c r="F27" s="12" t="s">
        <v>52</v>
      </c>
      <c r="G27" s="9">
        <v>224</v>
      </c>
      <c r="H27" s="9">
        <v>43602.5</v>
      </c>
      <c r="I27" s="9">
        <v>0</v>
      </c>
      <c r="J27" s="9">
        <v>0</v>
      </c>
      <c r="K27" s="9">
        <v>43826.5</v>
      </c>
      <c r="L27" s="3"/>
      <c r="M27" s="3" t="s">
        <v>24</v>
      </c>
      <c r="N27" s="9">
        <v>0</v>
      </c>
      <c r="O27" s="9">
        <v>43826.5</v>
      </c>
      <c r="P27" s="12" t="s">
        <v>61</v>
      </c>
      <c r="Q27" s="9">
        <v>0</v>
      </c>
      <c r="R27" s="11">
        <v>0</v>
      </c>
      <c r="S27" s="10">
        <v>0</v>
      </c>
      <c r="T27" s="9">
        <v>43826.5</v>
      </c>
      <c r="U27" s="14">
        <v>0</v>
      </c>
      <c r="V27" s="12" t="s">
        <v>170</v>
      </c>
      <c r="W27" s="9"/>
      <c r="X27" s="9"/>
    </row>
    <row r="28" spans="1:24" x14ac:dyDescent="0.35">
      <c r="A28" s="3">
        <v>24</v>
      </c>
      <c r="B28" s="3" t="s">
        <v>103</v>
      </c>
      <c r="C28" s="8">
        <v>43826.416666666701</v>
      </c>
      <c r="D28" s="8">
        <v>43827.416666666701</v>
      </c>
      <c r="E28" s="12" t="s">
        <v>61</v>
      </c>
      <c r="F28" s="12" t="s">
        <v>67</v>
      </c>
      <c r="G28" s="9">
        <v>56</v>
      </c>
      <c r="H28" s="9">
        <v>1577.5</v>
      </c>
      <c r="I28" s="9">
        <v>0</v>
      </c>
      <c r="J28" s="9">
        <v>0</v>
      </c>
      <c r="K28" s="9">
        <v>1633.5</v>
      </c>
      <c r="L28" s="7">
        <v>43812.666666666701</v>
      </c>
      <c r="M28" s="3" t="s">
        <v>61</v>
      </c>
      <c r="N28" s="9">
        <v>1633.5</v>
      </c>
      <c r="O28" s="9">
        <v>0</v>
      </c>
      <c r="P28" s="12" t="s">
        <v>24</v>
      </c>
      <c r="Q28" s="9">
        <v>0</v>
      </c>
      <c r="R28" s="11">
        <v>0</v>
      </c>
      <c r="S28" s="10">
        <v>1633.5</v>
      </c>
      <c r="T28" s="9">
        <v>0</v>
      </c>
      <c r="U28" s="14">
        <v>1</v>
      </c>
      <c r="V28" s="12" t="s">
        <v>166</v>
      </c>
      <c r="W28" s="9"/>
      <c r="X28" s="9"/>
    </row>
    <row r="29" spans="1:24" x14ac:dyDescent="0.35">
      <c r="A29" s="3">
        <v>25</v>
      </c>
      <c r="B29" s="3" t="s">
        <v>106</v>
      </c>
      <c r="C29" s="8">
        <v>43813.416666666701</v>
      </c>
      <c r="D29" s="8">
        <v>43815.416666666701</v>
      </c>
      <c r="E29" s="12" t="s">
        <v>61</v>
      </c>
      <c r="F29" s="12" t="s">
        <v>67</v>
      </c>
      <c r="G29" s="9">
        <v>56</v>
      </c>
      <c r="H29" s="9">
        <v>2524.5</v>
      </c>
      <c r="I29" s="9">
        <v>0</v>
      </c>
      <c r="J29" s="9">
        <v>0</v>
      </c>
      <c r="K29" s="9">
        <v>2580.5</v>
      </c>
      <c r="L29" s="7">
        <v>43812.541666666701</v>
      </c>
      <c r="M29" s="3" t="s">
        <v>61</v>
      </c>
      <c r="N29" s="9">
        <v>2580.5</v>
      </c>
      <c r="O29" s="9">
        <v>0</v>
      </c>
      <c r="P29" s="12" t="s">
        <v>24</v>
      </c>
      <c r="Q29" s="9">
        <v>0</v>
      </c>
      <c r="R29" s="11">
        <v>0</v>
      </c>
      <c r="S29" s="10">
        <v>2580.5</v>
      </c>
      <c r="T29" s="9">
        <v>0</v>
      </c>
      <c r="U29" s="14">
        <v>1</v>
      </c>
      <c r="V29" s="12" t="s">
        <v>166</v>
      </c>
      <c r="W29" s="9"/>
      <c r="X29" s="9"/>
    </row>
    <row r="30" spans="1:24" x14ac:dyDescent="0.35">
      <c r="A30" s="3">
        <v>26</v>
      </c>
      <c r="B30" s="3" t="s">
        <v>108</v>
      </c>
      <c r="C30" s="8">
        <v>43829.583333333299</v>
      </c>
      <c r="D30" s="8">
        <v>43830.583333333299</v>
      </c>
      <c r="E30" s="12" t="s">
        <v>61</v>
      </c>
      <c r="F30" s="12" t="s">
        <v>57</v>
      </c>
      <c r="G30" s="9">
        <v>112</v>
      </c>
      <c r="H30" s="9">
        <v>3442.30004882813</v>
      </c>
      <c r="I30" s="9">
        <v>0</v>
      </c>
      <c r="J30" s="9">
        <v>0</v>
      </c>
      <c r="K30" s="9">
        <v>3554.30004882813</v>
      </c>
      <c r="L30" s="3"/>
      <c r="M30" s="3" t="s">
        <v>24</v>
      </c>
      <c r="N30" s="9">
        <v>0</v>
      </c>
      <c r="O30" s="9">
        <v>3554.30004882813</v>
      </c>
      <c r="P30" s="12" t="s">
        <v>61</v>
      </c>
      <c r="Q30" s="9">
        <v>0</v>
      </c>
      <c r="R30" s="11">
        <v>0</v>
      </c>
      <c r="S30" s="10">
        <v>0</v>
      </c>
      <c r="T30" s="9">
        <v>3554.30004882813</v>
      </c>
      <c r="U30" s="14">
        <v>0</v>
      </c>
      <c r="V30" s="12" t="s">
        <v>170</v>
      </c>
      <c r="W30" s="9"/>
      <c r="X30" s="9"/>
    </row>
    <row r="31" spans="1:24" x14ac:dyDescent="0.35">
      <c r="A31" s="3">
        <v>27</v>
      </c>
      <c r="B31" s="3" t="s">
        <v>110</v>
      </c>
      <c r="C31" s="8">
        <v>43823.416666666701</v>
      </c>
      <c r="D31" s="8">
        <v>43824.416666666701</v>
      </c>
      <c r="E31" s="12" t="s">
        <v>61</v>
      </c>
      <c r="F31" s="12" t="s">
        <v>67</v>
      </c>
      <c r="G31" s="9">
        <v>56</v>
      </c>
      <c r="H31" s="9">
        <v>2972.5</v>
      </c>
      <c r="I31" s="9">
        <v>0</v>
      </c>
      <c r="J31" s="9">
        <v>0</v>
      </c>
      <c r="K31" s="9">
        <v>3028.5</v>
      </c>
      <c r="L31" s="7">
        <v>43810.625</v>
      </c>
      <c r="M31" s="3" t="s">
        <v>167</v>
      </c>
      <c r="N31" s="9">
        <v>3004.5</v>
      </c>
      <c r="O31" s="9">
        <v>0</v>
      </c>
      <c r="P31" s="12" t="s">
        <v>24</v>
      </c>
      <c r="Q31" s="9">
        <v>0</v>
      </c>
      <c r="R31" s="11">
        <v>0</v>
      </c>
      <c r="S31" s="10">
        <v>3004.5</v>
      </c>
      <c r="T31" s="9">
        <v>0</v>
      </c>
      <c r="U31" s="14">
        <v>1</v>
      </c>
      <c r="V31" s="12" t="s">
        <v>166</v>
      </c>
      <c r="W31" s="9"/>
      <c r="X31" s="9"/>
    </row>
    <row r="32" spans="1:24" x14ac:dyDescent="0.35">
      <c r="A32" s="3">
        <v>28</v>
      </c>
      <c r="B32" s="3" t="s">
        <v>113</v>
      </c>
      <c r="C32" s="8">
        <v>43832.583333333299</v>
      </c>
      <c r="D32" s="8">
        <v>43833.583333333299</v>
      </c>
      <c r="E32" s="12" t="s">
        <v>61</v>
      </c>
      <c r="F32" s="12" t="s">
        <v>67</v>
      </c>
      <c r="G32" s="9">
        <v>56</v>
      </c>
      <c r="H32" s="9">
        <v>1586.5</v>
      </c>
      <c r="I32" s="9">
        <v>0</v>
      </c>
      <c r="J32" s="9">
        <v>0</v>
      </c>
      <c r="K32" s="9">
        <v>1642.5</v>
      </c>
      <c r="L32" s="7">
        <v>43810.625</v>
      </c>
      <c r="M32" s="3" t="s">
        <v>185</v>
      </c>
      <c r="N32" s="9">
        <v>1666.5</v>
      </c>
      <c r="O32" s="9">
        <v>0</v>
      </c>
      <c r="P32" s="12" t="s">
        <v>24</v>
      </c>
      <c r="Q32" s="9">
        <v>0</v>
      </c>
      <c r="R32" s="11">
        <v>0</v>
      </c>
      <c r="S32" s="10">
        <v>1666.5</v>
      </c>
      <c r="T32" s="9">
        <v>0</v>
      </c>
      <c r="U32" s="14">
        <v>1</v>
      </c>
      <c r="V32" s="12" t="s">
        <v>166</v>
      </c>
      <c r="W32" s="9"/>
      <c r="X32" s="9"/>
    </row>
    <row r="33" spans="1:24" ht="22" x14ac:dyDescent="0.35">
      <c r="A33" s="3">
        <v>29</v>
      </c>
      <c r="B33" s="3" t="s">
        <v>117</v>
      </c>
      <c r="C33" s="8">
        <v>43833.583333333299</v>
      </c>
      <c r="D33" s="8">
        <v>43833.708333333299</v>
      </c>
      <c r="E33" s="12" t="s">
        <v>29</v>
      </c>
      <c r="F33" s="12" t="s">
        <v>67</v>
      </c>
      <c r="G33" s="9">
        <v>24</v>
      </c>
      <c r="H33" s="9">
        <v>602.5</v>
      </c>
      <c r="I33" s="9">
        <v>0</v>
      </c>
      <c r="J33" s="9">
        <v>0</v>
      </c>
      <c r="K33" s="9">
        <v>626.5</v>
      </c>
      <c r="L33" s="7">
        <v>43812.416666666701</v>
      </c>
      <c r="M33" s="3" t="s">
        <v>177</v>
      </c>
      <c r="N33" s="9">
        <v>618.5</v>
      </c>
      <c r="O33" s="9">
        <v>0</v>
      </c>
      <c r="P33" s="12" t="s">
        <v>24</v>
      </c>
      <c r="Q33" s="9">
        <v>0</v>
      </c>
      <c r="R33" s="11">
        <v>0</v>
      </c>
      <c r="S33" s="10">
        <v>618.5</v>
      </c>
      <c r="T33" s="9">
        <v>0</v>
      </c>
      <c r="U33" s="14">
        <v>1</v>
      </c>
      <c r="V33" s="12" t="s">
        <v>166</v>
      </c>
      <c r="W33" s="9"/>
      <c r="X33" s="9"/>
    </row>
    <row r="34" spans="1:24" x14ac:dyDescent="0.35">
      <c r="A34" s="3">
        <v>30</v>
      </c>
      <c r="B34" s="3" t="s">
        <v>120</v>
      </c>
      <c r="C34" s="8">
        <v>43838.583333333299</v>
      </c>
      <c r="D34" s="8">
        <v>43839.5</v>
      </c>
      <c r="E34" s="12" t="s">
        <v>124</v>
      </c>
      <c r="F34" s="12" t="s">
        <v>67</v>
      </c>
      <c r="G34" s="9">
        <v>48</v>
      </c>
      <c r="H34" s="9">
        <v>602.5</v>
      </c>
      <c r="I34" s="9">
        <v>0</v>
      </c>
      <c r="J34" s="9">
        <v>0</v>
      </c>
      <c r="K34" s="9">
        <v>650.5</v>
      </c>
      <c r="L34" s="3"/>
      <c r="M34" s="3" t="s">
        <v>24</v>
      </c>
      <c r="N34" s="9">
        <v>0</v>
      </c>
      <c r="O34" s="9">
        <v>650.5</v>
      </c>
      <c r="P34" s="12" t="s">
        <v>124</v>
      </c>
      <c r="Q34" s="9">
        <v>0</v>
      </c>
      <c r="R34" s="11">
        <v>0</v>
      </c>
      <c r="S34" s="10">
        <v>0</v>
      </c>
      <c r="T34" s="9">
        <v>650.5</v>
      </c>
      <c r="U34" s="14">
        <v>0</v>
      </c>
      <c r="V34" s="12" t="s">
        <v>170</v>
      </c>
      <c r="W34" s="9"/>
      <c r="X34" s="9"/>
    </row>
    <row r="35" spans="1:24" x14ac:dyDescent="0.35">
      <c r="A35" s="3">
        <v>31</v>
      </c>
      <c r="B35" s="3" t="s">
        <v>125</v>
      </c>
      <c r="C35" s="8">
        <v>43839.5</v>
      </c>
      <c r="D35" s="8">
        <v>43839.5</v>
      </c>
      <c r="E35" s="12" t="s">
        <v>24</v>
      </c>
      <c r="F35" s="12"/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3"/>
      <c r="M35" s="3" t="s">
        <v>24</v>
      </c>
      <c r="N35" s="9">
        <v>0</v>
      </c>
      <c r="O35" s="9">
        <v>0</v>
      </c>
      <c r="P35" s="12" t="s">
        <v>24</v>
      </c>
      <c r="Q35" s="9">
        <v>0</v>
      </c>
      <c r="R35" s="11">
        <v>0</v>
      </c>
      <c r="S35" s="10">
        <v>0</v>
      </c>
      <c r="T35" s="9">
        <v>0</v>
      </c>
      <c r="U35" s="14">
        <v>0</v>
      </c>
      <c r="V35" s="12" t="s">
        <v>170</v>
      </c>
      <c r="W35" s="9"/>
      <c r="X35" s="9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Blad11"/>
  <dimension ref="A1:X35"/>
  <sheetViews>
    <sheetView topLeftCell="C1" workbookViewId="0">
      <selection activeCell="W5" sqref="W5:X35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150</v>
      </c>
      <c r="C1" s="7">
        <v>43815.708333333299</v>
      </c>
      <c r="E1" s="1" t="s">
        <v>151</v>
      </c>
      <c r="F1" s="4" t="s">
        <v>188</v>
      </c>
    </row>
    <row r="3" spans="1:24" x14ac:dyDescent="0.35">
      <c r="A3" s="24" t="s">
        <v>0</v>
      </c>
      <c r="B3" s="24"/>
      <c r="C3" s="24" t="s">
        <v>2</v>
      </c>
      <c r="D3" s="24"/>
      <c r="E3" s="24"/>
      <c r="F3" s="24" t="s">
        <v>3</v>
      </c>
      <c r="G3" s="24"/>
      <c r="H3" s="24" t="s">
        <v>4</v>
      </c>
      <c r="I3" s="24"/>
      <c r="J3" s="24"/>
      <c r="K3" s="24"/>
      <c r="L3" s="24" t="s">
        <v>152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153</v>
      </c>
      <c r="M4" s="1" t="s">
        <v>154</v>
      </c>
      <c r="N4" s="1" t="s">
        <v>155</v>
      </c>
      <c r="O4" s="1" t="s">
        <v>156</v>
      </c>
      <c r="P4" s="1" t="s">
        <v>157</v>
      </c>
      <c r="Q4" s="1" t="s">
        <v>158</v>
      </c>
      <c r="R4" s="1" t="s">
        <v>159</v>
      </c>
      <c r="S4" s="1" t="s">
        <v>160</v>
      </c>
      <c r="T4" s="1" t="s">
        <v>161</v>
      </c>
      <c r="U4" s="1" t="s">
        <v>162</v>
      </c>
      <c r="V4" s="1" t="s">
        <v>152</v>
      </c>
      <c r="W4" s="1" t="s">
        <v>163</v>
      </c>
      <c r="X4" s="1" t="s">
        <v>164</v>
      </c>
    </row>
    <row r="5" spans="1:24" x14ac:dyDescent="0.35">
      <c r="A5" s="2">
        <v>0</v>
      </c>
      <c r="B5" s="3" t="s">
        <v>18</v>
      </c>
      <c r="C5" s="5">
        <v>43808.375</v>
      </c>
      <c r="D5" s="5">
        <v>43839.5</v>
      </c>
      <c r="E5" s="2" t="s">
        <v>20</v>
      </c>
      <c r="F5" s="2"/>
      <c r="G5" s="6"/>
      <c r="H5" s="6">
        <v>118411.30004882799</v>
      </c>
      <c r="I5" s="6"/>
      <c r="J5" s="6"/>
      <c r="K5" s="6">
        <v>126955.30004882799</v>
      </c>
      <c r="L5" s="2"/>
      <c r="M5" s="2" t="s">
        <v>189</v>
      </c>
      <c r="N5" s="6"/>
      <c r="O5" s="6"/>
      <c r="P5" s="2"/>
      <c r="Q5" s="6"/>
      <c r="R5" s="6"/>
      <c r="S5" s="6">
        <v>63164.5</v>
      </c>
      <c r="T5" s="6"/>
      <c r="U5" s="13">
        <v>0.501597806408703</v>
      </c>
      <c r="V5" s="2"/>
      <c r="W5" s="6"/>
      <c r="X5" s="6"/>
    </row>
    <row r="6" spans="1:24" x14ac:dyDescent="0.35">
      <c r="A6" s="3">
        <v>1</v>
      </c>
      <c r="B6" s="3" t="s">
        <v>21</v>
      </c>
      <c r="C6" s="8">
        <v>43808.375</v>
      </c>
      <c r="D6" s="8">
        <v>43806.708333333299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43808.375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166</v>
      </c>
      <c r="W6" s="9"/>
      <c r="X6" s="9"/>
    </row>
    <row r="7" spans="1:24" ht="22" x14ac:dyDescent="0.35">
      <c r="A7" s="3">
        <v>2</v>
      </c>
      <c r="B7" s="3" t="s">
        <v>25</v>
      </c>
      <c r="C7" s="8">
        <v>43808.375</v>
      </c>
      <c r="D7" s="8">
        <v>43808.5</v>
      </c>
      <c r="E7" s="12" t="s">
        <v>29</v>
      </c>
      <c r="F7" s="12" t="s">
        <v>30</v>
      </c>
      <c r="G7" s="9">
        <v>36</v>
      </c>
      <c r="H7" s="9">
        <v>931.5</v>
      </c>
      <c r="I7" s="9">
        <v>0</v>
      </c>
      <c r="J7" s="9">
        <v>0</v>
      </c>
      <c r="K7" s="9">
        <v>967.5</v>
      </c>
      <c r="L7" s="7">
        <v>43808.375</v>
      </c>
      <c r="M7" s="3" t="s">
        <v>29</v>
      </c>
      <c r="N7" s="9">
        <v>967.5</v>
      </c>
      <c r="O7" s="9">
        <v>0</v>
      </c>
      <c r="P7" s="12" t="s">
        <v>24</v>
      </c>
      <c r="Q7" s="9">
        <v>0</v>
      </c>
      <c r="R7" s="11">
        <v>0</v>
      </c>
      <c r="S7" s="10">
        <v>967.5</v>
      </c>
      <c r="T7" s="9">
        <v>0</v>
      </c>
      <c r="U7" s="14">
        <v>1</v>
      </c>
      <c r="V7" s="12" t="s">
        <v>166</v>
      </c>
      <c r="W7" s="9"/>
      <c r="X7" s="9"/>
    </row>
    <row r="8" spans="1:24" x14ac:dyDescent="0.35">
      <c r="A8" s="3">
        <v>3</v>
      </c>
      <c r="B8" s="3" t="s">
        <v>31</v>
      </c>
      <c r="C8" s="8">
        <v>43808.541666666701</v>
      </c>
      <c r="D8" s="8">
        <v>43813.5</v>
      </c>
      <c r="E8" s="12" t="s">
        <v>35</v>
      </c>
      <c r="F8" s="12" t="s">
        <v>36</v>
      </c>
      <c r="G8" s="9">
        <v>840</v>
      </c>
      <c r="H8" s="9">
        <v>950.5</v>
      </c>
      <c r="I8" s="9">
        <v>0</v>
      </c>
      <c r="J8" s="9">
        <v>0</v>
      </c>
      <c r="K8" s="9">
        <v>1790.5</v>
      </c>
      <c r="L8" s="7">
        <v>43808.541666666701</v>
      </c>
      <c r="M8" s="3" t="s">
        <v>181</v>
      </c>
      <c r="N8" s="9">
        <v>1550.5</v>
      </c>
      <c r="O8" s="9">
        <v>0</v>
      </c>
      <c r="P8" s="12" t="s">
        <v>24</v>
      </c>
      <c r="Q8" s="9">
        <v>0</v>
      </c>
      <c r="R8" s="11">
        <v>0</v>
      </c>
      <c r="S8" s="10">
        <v>1550.5</v>
      </c>
      <c r="T8" s="9">
        <v>0</v>
      </c>
      <c r="U8" s="14">
        <v>1</v>
      </c>
      <c r="V8" s="12" t="s">
        <v>166</v>
      </c>
      <c r="W8" s="9"/>
      <c r="X8" s="9"/>
    </row>
    <row r="9" spans="1:24" x14ac:dyDescent="0.35">
      <c r="A9" s="3">
        <v>4</v>
      </c>
      <c r="B9" s="3" t="s">
        <v>37</v>
      </c>
      <c r="C9" s="8">
        <v>43813.541666666701</v>
      </c>
      <c r="D9" s="8">
        <v>43816.625</v>
      </c>
      <c r="E9" s="12" t="s">
        <v>41</v>
      </c>
      <c r="F9" s="12" t="s">
        <v>42</v>
      </c>
      <c r="G9" s="9">
        <v>640</v>
      </c>
      <c r="H9" s="9">
        <v>8819</v>
      </c>
      <c r="I9" s="9">
        <v>0</v>
      </c>
      <c r="J9" s="9">
        <v>0</v>
      </c>
      <c r="K9" s="9">
        <v>9459</v>
      </c>
      <c r="L9" s="7">
        <v>43812.375</v>
      </c>
      <c r="M9" s="3" t="s">
        <v>185</v>
      </c>
      <c r="N9" s="9">
        <v>9219</v>
      </c>
      <c r="O9" s="9">
        <v>0</v>
      </c>
      <c r="P9" s="12" t="s">
        <v>24</v>
      </c>
      <c r="Q9" s="9">
        <v>0</v>
      </c>
      <c r="R9" s="11">
        <v>0</v>
      </c>
      <c r="S9" s="10">
        <v>9219</v>
      </c>
      <c r="T9" s="9">
        <v>0</v>
      </c>
      <c r="U9" s="14">
        <v>1</v>
      </c>
      <c r="V9" s="12" t="s">
        <v>166</v>
      </c>
      <c r="W9" s="9"/>
      <c r="X9" s="9"/>
    </row>
    <row r="10" spans="1:24" ht="22" x14ac:dyDescent="0.35">
      <c r="A10" s="3">
        <v>5</v>
      </c>
      <c r="B10" s="3" t="s">
        <v>43</v>
      </c>
      <c r="C10" s="8">
        <v>43816.625</v>
      </c>
      <c r="D10" s="8">
        <v>43827.708333333299</v>
      </c>
      <c r="E10" s="12" t="s">
        <v>47</v>
      </c>
      <c r="F10" s="12" t="s">
        <v>42</v>
      </c>
      <c r="G10" s="9">
        <v>2880</v>
      </c>
      <c r="H10" s="9">
        <v>3166.5</v>
      </c>
      <c r="I10" s="9">
        <v>0</v>
      </c>
      <c r="J10" s="9">
        <v>0</v>
      </c>
      <c r="K10" s="9">
        <v>6046.5</v>
      </c>
      <c r="L10" s="7">
        <v>43813.541666666701</v>
      </c>
      <c r="M10" s="3" t="s">
        <v>173</v>
      </c>
      <c r="N10" s="9">
        <v>3606.5</v>
      </c>
      <c r="O10" s="9">
        <v>2200</v>
      </c>
      <c r="P10" s="12" t="s">
        <v>190</v>
      </c>
      <c r="Q10" s="9">
        <v>0</v>
      </c>
      <c r="R10" s="11">
        <v>0</v>
      </c>
      <c r="S10" s="10">
        <v>3606.5</v>
      </c>
      <c r="T10" s="9">
        <v>2200</v>
      </c>
      <c r="U10" s="14">
        <v>0.16666667163372001</v>
      </c>
      <c r="V10" s="12" t="s">
        <v>169</v>
      </c>
      <c r="W10" s="9"/>
      <c r="X10" s="9"/>
    </row>
    <row r="11" spans="1:24" x14ac:dyDescent="0.35">
      <c r="A11" s="3">
        <v>6</v>
      </c>
      <c r="B11" s="3" t="s">
        <v>48</v>
      </c>
      <c r="C11" s="8">
        <v>43830.583333333299</v>
      </c>
      <c r="D11" s="8">
        <v>43832.583333333299</v>
      </c>
      <c r="E11" s="12" t="s">
        <v>51</v>
      </c>
      <c r="F11" s="12" t="s">
        <v>52</v>
      </c>
      <c r="G11" s="9">
        <v>448</v>
      </c>
      <c r="H11" s="9">
        <v>1802.5</v>
      </c>
      <c r="I11" s="9">
        <v>0</v>
      </c>
      <c r="J11" s="9">
        <v>0</v>
      </c>
      <c r="K11" s="9">
        <v>2250.5</v>
      </c>
      <c r="L11" s="7">
        <v>43808.541666666701</v>
      </c>
      <c r="M11" s="3" t="s">
        <v>41</v>
      </c>
      <c r="N11" s="9">
        <v>2314.5</v>
      </c>
      <c r="O11" s="9">
        <v>0</v>
      </c>
      <c r="P11" s="12" t="s">
        <v>24</v>
      </c>
      <c r="Q11" s="9">
        <v>0</v>
      </c>
      <c r="R11" s="11">
        <v>0</v>
      </c>
      <c r="S11" s="10">
        <v>2314.5</v>
      </c>
      <c r="T11" s="9">
        <v>0</v>
      </c>
      <c r="U11" s="14">
        <v>1</v>
      </c>
      <c r="V11" s="12" t="s">
        <v>166</v>
      </c>
      <c r="W11" s="9"/>
      <c r="X11" s="9"/>
    </row>
    <row r="12" spans="1:24" x14ac:dyDescent="0.35">
      <c r="A12" s="3">
        <v>7</v>
      </c>
      <c r="B12" s="3" t="s">
        <v>53</v>
      </c>
      <c r="C12" s="8">
        <v>43815.416666666701</v>
      </c>
      <c r="D12" s="8">
        <v>43822.416666666701</v>
      </c>
      <c r="E12" s="12" t="s">
        <v>56</v>
      </c>
      <c r="F12" s="12" t="s">
        <v>57</v>
      </c>
      <c r="G12" s="9">
        <v>672</v>
      </c>
      <c r="H12" s="9">
        <v>1970.5</v>
      </c>
      <c r="I12" s="9">
        <v>0</v>
      </c>
      <c r="J12" s="9">
        <v>0</v>
      </c>
      <c r="K12" s="9">
        <v>2642.5</v>
      </c>
      <c r="L12" s="7">
        <v>43815.541666666701</v>
      </c>
      <c r="M12" s="3" t="s">
        <v>167</v>
      </c>
      <c r="N12" s="9">
        <v>2034.5</v>
      </c>
      <c r="O12" s="9">
        <v>832</v>
      </c>
      <c r="P12" s="12" t="s">
        <v>191</v>
      </c>
      <c r="Q12" s="9">
        <v>0</v>
      </c>
      <c r="R12" s="11">
        <v>0</v>
      </c>
      <c r="S12" s="10">
        <v>2034.5</v>
      </c>
      <c r="T12" s="9">
        <v>832</v>
      </c>
      <c r="U12" s="14">
        <v>7.1428574621677399E-2</v>
      </c>
      <c r="V12" s="12" t="s">
        <v>169</v>
      </c>
      <c r="W12" s="9"/>
      <c r="X12" s="9"/>
    </row>
    <row r="13" spans="1:24" ht="22" x14ac:dyDescent="0.35">
      <c r="A13" s="3">
        <v>8</v>
      </c>
      <c r="B13" s="3" t="s">
        <v>58</v>
      </c>
      <c r="C13" s="8">
        <v>43831.583333333299</v>
      </c>
      <c r="D13" s="8">
        <v>43832.583333333299</v>
      </c>
      <c r="E13" s="12" t="s">
        <v>61</v>
      </c>
      <c r="F13" s="12" t="s">
        <v>57</v>
      </c>
      <c r="G13" s="9">
        <v>112</v>
      </c>
      <c r="H13" s="9">
        <v>602.5</v>
      </c>
      <c r="I13" s="9">
        <v>0</v>
      </c>
      <c r="J13" s="9">
        <v>0</v>
      </c>
      <c r="K13" s="9">
        <v>714.5</v>
      </c>
      <c r="L13" s="3"/>
      <c r="M13" s="3" t="s">
        <v>24</v>
      </c>
      <c r="N13" s="9">
        <v>0</v>
      </c>
      <c r="O13" s="9">
        <v>714.5</v>
      </c>
      <c r="P13" s="12" t="s">
        <v>61</v>
      </c>
      <c r="Q13" s="9">
        <v>0</v>
      </c>
      <c r="R13" s="11">
        <v>0</v>
      </c>
      <c r="S13" s="10">
        <v>0</v>
      </c>
      <c r="T13" s="9">
        <v>714.5</v>
      </c>
      <c r="U13" s="14">
        <v>0</v>
      </c>
      <c r="V13" s="12" t="s">
        <v>170</v>
      </c>
      <c r="W13" s="9"/>
      <c r="X13" s="9"/>
    </row>
    <row r="14" spans="1:24" x14ac:dyDescent="0.35">
      <c r="A14" s="3">
        <v>9</v>
      </c>
      <c r="B14" s="3" t="s">
        <v>62</v>
      </c>
      <c r="C14" s="8">
        <v>43829.583333333299</v>
      </c>
      <c r="D14" s="8">
        <v>43830.583333333299</v>
      </c>
      <c r="E14" s="12" t="s">
        <v>61</v>
      </c>
      <c r="F14" s="12" t="s">
        <v>57</v>
      </c>
      <c r="G14" s="9">
        <v>112</v>
      </c>
      <c r="H14" s="9">
        <v>602.5</v>
      </c>
      <c r="I14" s="9">
        <v>0</v>
      </c>
      <c r="J14" s="9">
        <v>0</v>
      </c>
      <c r="K14" s="9">
        <v>714.5</v>
      </c>
      <c r="L14" s="3"/>
      <c r="M14" s="3" t="s">
        <v>24</v>
      </c>
      <c r="N14" s="9">
        <v>0</v>
      </c>
      <c r="O14" s="9">
        <v>714.5</v>
      </c>
      <c r="P14" s="12" t="s">
        <v>61</v>
      </c>
      <c r="Q14" s="9">
        <v>0</v>
      </c>
      <c r="R14" s="11">
        <v>0</v>
      </c>
      <c r="S14" s="10">
        <v>0</v>
      </c>
      <c r="T14" s="9">
        <v>714.5</v>
      </c>
      <c r="U14" s="14">
        <v>0</v>
      </c>
      <c r="V14" s="12" t="s">
        <v>170</v>
      </c>
      <c r="W14" s="9"/>
      <c r="X14" s="9"/>
    </row>
    <row r="15" spans="1:24" ht="22" x14ac:dyDescent="0.35">
      <c r="A15" s="3">
        <v>10</v>
      </c>
      <c r="B15" s="3" t="s">
        <v>64</v>
      </c>
      <c r="C15" s="8">
        <v>43829.375</v>
      </c>
      <c r="D15" s="8">
        <v>43829.708333333299</v>
      </c>
      <c r="E15" s="12" t="s">
        <v>61</v>
      </c>
      <c r="F15" s="12" t="s">
        <v>67</v>
      </c>
      <c r="G15" s="9">
        <v>56</v>
      </c>
      <c r="H15" s="9">
        <v>602.5</v>
      </c>
      <c r="I15" s="9">
        <v>0</v>
      </c>
      <c r="J15" s="9">
        <v>0</v>
      </c>
      <c r="K15" s="9">
        <v>658.5</v>
      </c>
      <c r="L15" s="3"/>
      <c r="M15" s="3" t="s">
        <v>24</v>
      </c>
      <c r="N15" s="9">
        <v>0</v>
      </c>
      <c r="O15" s="9">
        <v>658.5</v>
      </c>
      <c r="P15" s="12" t="s">
        <v>61</v>
      </c>
      <c r="Q15" s="9">
        <v>0</v>
      </c>
      <c r="R15" s="11">
        <v>0</v>
      </c>
      <c r="S15" s="10">
        <v>0</v>
      </c>
      <c r="T15" s="9">
        <v>658.5</v>
      </c>
      <c r="U15" s="14">
        <v>0</v>
      </c>
      <c r="V15" s="12" t="s">
        <v>170</v>
      </c>
      <c r="W15" s="9"/>
      <c r="X15" s="9"/>
    </row>
    <row r="16" spans="1:24" x14ac:dyDescent="0.35">
      <c r="A16" s="3">
        <v>11</v>
      </c>
      <c r="B16" s="3" t="s">
        <v>68</v>
      </c>
      <c r="C16" s="8">
        <v>43813.416666666701</v>
      </c>
      <c r="D16" s="8">
        <v>43815.416666666701</v>
      </c>
      <c r="E16" s="12" t="s">
        <v>61</v>
      </c>
      <c r="F16" s="12" t="s">
        <v>67</v>
      </c>
      <c r="G16" s="9">
        <v>56</v>
      </c>
      <c r="H16" s="9">
        <v>602.5</v>
      </c>
      <c r="I16" s="9">
        <v>0</v>
      </c>
      <c r="J16" s="9">
        <v>0</v>
      </c>
      <c r="K16" s="9">
        <v>658.5</v>
      </c>
      <c r="L16" s="3"/>
      <c r="M16" s="3" t="s">
        <v>24</v>
      </c>
      <c r="N16" s="9">
        <v>0</v>
      </c>
      <c r="O16" s="9">
        <v>658.5</v>
      </c>
      <c r="P16" s="12" t="s">
        <v>61</v>
      </c>
      <c r="Q16" s="9">
        <v>0</v>
      </c>
      <c r="R16" s="11">
        <v>0</v>
      </c>
      <c r="S16" s="10">
        <v>0</v>
      </c>
      <c r="T16" s="9">
        <v>658.5</v>
      </c>
      <c r="U16" s="14">
        <v>0</v>
      </c>
      <c r="V16" s="12" t="s">
        <v>170</v>
      </c>
      <c r="W16" s="9"/>
      <c r="X16" s="9"/>
    </row>
    <row r="17" spans="1:24" ht="22" x14ac:dyDescent="0.35">
      <c r="A17" s="3">
        <v>13</v>
      </c>
      <c r="B17" s="3" t="s">
        <v>70</v>
      </c>
      <c r="C17" s="8">
        <v>43823.416666666701</v>
      </c>
      <c r="D17" s="8">
        <v>43823.583333333299</v>
      </c>
      <c r="E17" s="12" t="s">
        <v>29</v>
      </c>
      <c r="F17" s="12" t="s">
        <v>67</v>
      </c>
      <c r="G17" s="9">
        <v>24</v>
      </c>
      <c r="H17" s="9">
        <v>602.5</v>
      </c>
      <c r="I17" s="9">
        <v>0</v>
      </c>
      <c r="J17" s="9">
        <v>0</v>
      </c>
      <c r="K17" s="9">
        <v>626.5</v>
      </c>
      <c r="L17" s="7">
        <v>43811.458333333299</v>
      </c>
      <c r="M17" s="3" t="s">
        <v>29</v>
      </c>
      <c r="N17" s="9">
        <v>626.5</v>
      </c>
      <c r="O17" s="9">
        <v>0</v>
      </c>
      <c r="P17" s="12" t="s">
        <v>24</v>
      </c>
      <c r="Q17" s="9">
        <v>0</v>
      </c>
      <c r="R17" s="11">
        <v>0</v>
      </c>
      <c r="S17" s="10">
        <v>626.5</v>
      </c>
      <c r="T17" s="9">
        <v>0</v>
      </c>
      <c r="U17" s="14">
        <v>1</v>
      </c>
      <c r="V17" s="12" t="s">
        <v>166</v>
      </c>
      <c r="W17" s="9"/>
      <c r="X17" s="9"/>
    </row>
    <row r="18" spans="1:24" x14ac:dyDescent="0.35">
      <c r="A18" s="3">
        <v>14</v>
      </c>
      <c r="B18" s="3" t="s">
        <v>74</v>
      </c>
      <c r="C18" s="8">
        <v>43836.583333333299</v>
      </c>
      <c r="D18" s="8">
        <v>43838.583333333299</v>
      </c>
      <c r="E18" s="12" t="s">
        <v>51</v>
      </c>
      <c r="F18" s="12" t="s">
        <v>77</v>
      </c>
      <c r="G18" s="9">
        <v>672</v>
      </c>
      <c r="H18" s="9">
        <v>602.5</v>
      </c>
      <c r="I18" s="9">
        <v>0</v>
      </c>
      <c r="J18" s="9">
        <v>0</v>
      </c>
      <c r="K18" s="9">
        <v>1274.5</v>
      </c>
      <c r="L18" s="3"/>
      <c r="M18" s="3" t="s">
        <v>24</v>
      </c>
      <c r="N18" s="9">
        <v>0</v>
      </c>
      <c r="O18" s="9">
        <v>1274.5</v>
      </c>
      <c r="P18" s="12" t="s">
        <v>51</v>
      </c>
      <c r="Q18" s="9">
        <v>0</v>
      </c>
      <c r="R18" s="11">
        <v>0</v>
      </c>
      <c r="S18" s="10">
        <v>0</v>
      </c>
      <c r="T18" s="9">
        <v>1274.5</v>
      </c>
      <c r="U18" s="14">
        <v>0</v>
      </c>
      <c r="V18" s="12" t="s">
        <v>170</v>
      </c>
      <c r="W18" s="9"/>
      <c r="X18" s="9"/>
    </row>
    <row r="19" spans="1:24" x14ac:dyDescent="0.35">
      <c r="A19" s="3">
        <v>15</v>
      </c>
      <c r="B19" s="3" t="s">
        <v>78</v>
      </c>
      <c r="C19" s="8">
        <v>43829.583333333299</v>
      </c>
      <c r="D19" s="8">
        <v>43830.583333333299</v>
      </c>
      <c r="E19" s="12" t="s">
        <v>61</v>
      </c>
      <c r="F19" s="12" t="s">
        <v>57</v>
      </c>
      <c r="G19" s="9">
        <v>112</v>
      </c>
      <c r="H19" s="9">
        <v>602.5</v>
      </c>
      <c r="I19" s="9">
        <v>0</v>
      </c>
      <c r="J19" s="9">
        <v>0</v>
      </c>
      <c r="K19" s="9">
        <v>714.5</v>
      </c>
      <c r="L19" s="3"/>
      <c r="M19" s="3" t="s">
        <v>24</v>
      </c>
      <c r="N19" s="9">
        <v>0</v>
      </c>
      <c r="O19" s="9">
        <v>714.5</v>
      </c>
      <c r="P19" s="12" t="s">
        <v>61</v>
      </c>
      <c r="Q19" s="9">
        <v>0</v>
      </c>
      <c r="R19" s="11">
        <v>0</v>
      </c>
      <c r="S19" s="10">
        <v>0</v>
      </c>
      <c r="T19" s="9">
        <v>714.5</v>
      </c>
      <c r="U19" s="14">
        <v>0</v>
      </c>
      <c r="V19" s="12" t="s">
        <v>170</v>
      </c>
      <c r="W19" s="9"/>
      <c r="X19" s="9"/>
    </row>
    <row r="20" spans="1:24" x14ac:dyDescent="0.35">
      <c r="A20" s="3">
        <v>16</v>
      </c>
      <c r="B20" s="3" t="s">
        <v>80</v>
      </c>
      <c r="C20" s="8">
        <v>43827.416666666701</v>
      </c>
      <c r="D20" s="8">
        <v>43827.583333333299</v>
      </c>
      <c r="E20" s="12" t="s">
        <v>29</v>
      </c>
      <c r="F20" s="12" t="s">
        <v>57</v>
      </c>
      <c r="G20" s="9">
        <v>48</v>
      </c>
      <c r="H20" s="9">
        <v>602.5</v>
      </c>
      <c r="I20" s="9">
        <v>0</v>
      </c>
      <c r="J20" s="9">
        <v>0</v>
      </c>
      <c r="K20" s="9">
        <v>650.5</v>
      </c>
      <c r="L20" s="7">
        <v>43813.666666666701</v>
      </c>
      <c r="M20" s="3" t="s">
        <v>167</v>
      </c>
      <c r="N20" s="9">
        <v>666.5</v>
      </c>
      <c r="O20" s="9">
        <v>0</v>
      </c>
      <c r="P20" s="12" t="s">
        <v>24</v>
      </c>
      <c r="Q20" s="9">
        <v>0</v>
      </c>
      <c r="R20" s="11">
        <v>0</v>
      </c>
      <c r="S20" s="10">
        <v>666.5</v>
      </c>
      <c r="T20" s="9">
        <v>0</v>
      </c>
      <c r="U20" s="14">
        <v>1</v>
      </c>
      <c r="V20" s="12" t="s">
        <v>166</v>
      </c>
      <c r="W20" s="9"/>
      <c r="X20" s="9"/>
    </row>
    <row r="21" spans="1:24" x14ac:dyDescent="0.35">
      <c r="A21" s="3">
        <v>17</v>
      </c>
      <c r="B21" s="3" t="s">
        <v>82</v>
      </c>
      <c r="C21" s="8">
        <v>43822.416666666701</v>
      </c>
      <c r="D21" s="8">
        <v>43823.416666666701</v>
      </c>
      <c r="E21" s="12" t="s">
        <v>61</v>
      </c>
      <c r="F21" s="12" t="s">
        <v>85</v>
      </c>
      <c r="G21" s="9">
        <v>140</v>
      </c>
      <c r="H21" s="9">
        <v>3302.5</v>
      </c>
      <c r="I21" s="9">
        <v>0</v>
      </c>
      <c r="J21" s="9">
        <v>0</v>
      </c>
      <c r="K21" s="9">
        <v>3442.5</v>
      </c>
      <c r="L21" s="7">
        <v>43810.625</v>
      </c>
      <c r="M21" s="3" t="s">
        <v>167</v>
      </c>
      <c r="N21" s="9">
        <v>3382.5</v>
      </c>
      <c r="O21" s="9">
        <v>0</v>
      </c>
      <c r="P21" s="12" t="s">
        <v>24</v>
      </c>
      <c r="Q21" s="9">
        <v>0</v>
      </c>
      <c r="R21" s="11">
        <v>0</v>
      </c>
      <c r="S21" s="10">
        <v>3382.5</v>
      </c>
      <c r="T21" s="9">
        <v>0</v>
      </c>
      <c r="U21" s="14">
        <v>1</v>
      </c>
      <c r="V21" s="12" t="s">
        <v>166</v>
      </c>
      <c r="W21" s="9"/>
      <c r="X21" s="9"/>
    </row>
    <row r="22" spans="1:24" x14ac:dyDescent="0.35">
      <c r="A22" s="3">
        <v>18</v>
      </c>
      <c r="B22" s="3" t="s">
        <v>86</v>
      </c>
      <c r="C22" s="8">
        <v>43832.583333333299</v>
      </c>
      <c r="D22" s="8">
        <v>43833.583333333299</v>
      </c>
      <c r="E22" s="12" t="s">
        <v>61</v>
      </c>
      <c r="F22" s="12" t="s">
        <v>57</v>
      </c>
      <c r="G22" s="9">
        <v>112</v>
      </c>
      <c r="H22" s="9">
        <v>602.5</v>
      </c>
      <c r="I22" s="9">
        <v>0</v>
      </c>
      <c r="J22" s="9">
        <v>0</v>
      </c>
      <c r="K22" s="9">
        <v>714.5</v>
      </c>
      <c r="L22" s="3"/>
      <c r="M22" s="3" t="s">
        <v>24</v>
      </c>
      <c r="N22" s="9">
        <v>0</v>
      </c>
      <c r="O22" s="9">
        <v>714.5</v>
      </c>
      <c r="P22" s="12" t="s">
        <v>61</v>
      </c>
      <c r="Q22" s="9">
        <v>0</v>
      </c>
      <c r="R22" s="11">
        <v>0</v>
      </c>
      <c r="S22" s="10">
        <v>0</v>
      </c>
      <c r="T22" s="9">
        <v>714.5</v>
      </c>
      <c r="U22" s="14">
        <v>0</v>
      </c>
      <c r="V22" s="12" t="s">
        <v>170</v>
      </c>
      <c r="W22" s="9"/>
      <c r="X22" s="9"/>
    </row>
    <row r="23" spans="1:24" ht="22" x14ac:dyDescent="0.35">
      <c r="A23" s="3">
        <v>19</v>
      </c>
      <c r="B23" s="3" t="s">
        <v>88</v>
      </c>
      <c r="C23" s="8">
        <v>43833.583333333299</v>
      </c>
      <c r="D23" s="8">
        <v>43836.583333333299</v>
      </c>
      <c r="E23" s="12" t="s">
        <v>51</v>
      </c>
      <c r="F23" s="12" t="s">
        <v>77</v>
      </c>
      <c r="G23" s="9">
        <v>672</v>
      </c>
      <c r="H23" s="9">
        <v>2252.5</v>
      </c>
      <c r="I23" s="9">
        <v>0</v>
      </c>
      <c r="J23" s="9">
        <v>0</v>
      </c>
      <c r="K23" s="9">
        <v>2924.5</v>
      </c>
      <c r="L23" s="3"/>
      <c r="M23" s="3" t="s">
        <v>24</v>
      </c>
      <c r="N23" s="9">
        <v>0</v>
      </c>
      <c r="O23" s="9">
        <v>2924.5</v>
      </c>
      <c r="P23" s="12" t="s">
        <v>51</v>
      </c>
      <c r="Q23" s="9">
        <v>0</v>
      </c>
      <c r="R23" s="11">
        <v>0</v>
      </c>
      <c r="S23" s="10">
        <v>0</v>
      </c>
      <c r="T23" s="9">
        <v>2924.5</v>
      </c>
      <c r="U23" s="14">
        <v>0</v>
      </c>
      <c r="V23" s="12" t="s">
        <v>170</v>
      </c>
      <c r="W23" s="9"/>
      <c r="X23" s="9"/>
    </row>
    <row r="24" spans="1:24" x14ac:dyDescent="0.35">
      <c r="A24" s="3">
        <v>20</v>
      </c>
      <c r="B24" s="3" t="s">
        <v>91</v>
      </c>
      <c r="C24" s="8">
        <v>43824.416666666701</v>
      </c>
      <c r="D24" s="8">
        <v>43825.416666666701</v>
      </c>
      <c r="E24" s="12" t="s">
        <v>61</v>
      </c>
      <c r="F24" s="12" t="s">
        <v>67</v>
      </c>
      <c r="G24" s="9">
        <v>56</v>
      </c>
      <c r="H24" s="9">
        <v>28602.5</v>
      </c>
      <c r="I24" s="9">
        <v>0</v>
      </c>
      <c r="J24" s="9">
        <v>0</v>
      </c>
      <c r="K24" s="9">
        <v>28658.5</v>
      </c>
      <c r="L24" s="7">
        <v>43811.458333333299</v>
      </c>
      <c r="M24" s="3" t="s">
        <v>174</v>
      </c>
      <c r="N24" s="9">
        <v>28642.5</v>
      </c>
      <c r="O24" s="9">
        <v>0</v>
      </c>
      <c r="P24" s="12" t="s">
        <v>24</v>
      </c>
      <c r="Q24" s="9">
        <v>0</v>
      </c>
      <c r="R24" s="11">
        <v>0</v>
      </c>
      <c r="S24" s="10">
        <v>28642.5</v>
      </c>
      <c r="T24" s="9">
        <v>0</v>
      </c>
      <c r="U24" s="14">
        <v>1</v>
      </c>
      <c r="V24" s="12" t="s">
        <v>166</v>
      </c>
      <c r="W24" s="9"/>
      <c r="X24" s="9"/>
    </row>
    <row r="25" spans="1:24" ht="22" x14ac:dyDescent="0.35">
      <c r="A25" s="3">
        <v>21</v>
      </c>
      <c r="B25" s="3" t="s">
        <v>95</v>
      </c>
      <c r="C25" s="8">
        <v>43830.583333333299</v>
      </c>
      <c r="D25" s="8">
        <v>43831.583333333299</v>
      </c>
      <c r="E25" s="12" t="s">
        <v>61</v>
      </c>
      <c r="F25" s="12" t="s">
        <v>36</v>
      </c>
      <c r="G25" s="9">
        <v>168</v>
      </c>
      <c r="H25" s="9">
        <v>3677.5</v>
      </c>
      <c r="I25" s="9">
        <v>0</v>
      </c>
      <c r="J25" s="9">
        <v>0</v>
      </c>
      <c r="K25" s="9">
        <v>3845.5</v>
      </c>
      <c r="L25" s="3"/>
      <c r="M25" s="3" t="s">
        <v>24</v>
      </c>
      <c r="N25" s="9">
        <v>0</v>
      </c>
      <c r="O25" s="9">
        <v>3845.5</v>
      </c>
      <c r="P25" s="12" t="s">
        <v>61</v>
      </c>
      <c r="Q25" s="9">
        <v>0</v>
      </c>
      <c r="R25" s="11">
        <v>0</v>
      </c>
      <c r="S25" s="10">
        <v>0</v>
      </c>
      <c r="T25" s="9">
        <v>3845.5</v>
      </c>
      <c r="U25" s="14">
        <v>0</v>
      </c>
      <c r="V25" s="12" t="s">
        <v>170</v>
      </c>
      <c r="W25" s="9"/>
      <c r="X25" s="9"/>
    </row>
    <row r="26" spans="1:24" x14ac:dyDescent="0.35">
      <c r="A26" s="3">
        <v>22</v>
      </c>
      <c r="B26" s="3" t="s">
        <v>98</v>
      </c>
      <c r="C26" s="8">
        <v>43825.416666666701</v>
      </c>
      <c r="D26" s="8">
        <v>43826.416666666701</v>
      </c>
      <c r="E26" s="12" t="s">
        <v>61</v>
      </c>
      <c r="F26" s="12" t="s">
        <v>67</v>
      </c>
      <c r="G26" s="9">
        <v>56</v>
      </c>
      <c r="H26" s="9">
        <v>602.5</v>
      </c>
      <c r="I26" s="9">
        <v>0</v>
      </c>
      <c r="J26" s="9">
        <v>0</v>
      </c>
      <c r="K26" s="9">
        <v>658.5</v>
      </c>
      <c r="L26" s="7">
        <v>43812.375</v>
      </c>
      <c r="M26" s="3" t="s">
        <v>124</v>
      </c>
      <c r="N26" s="9">
        <v>650.5</v>
      </c>
      <c r="O26" s="9">
        <v>0</v>
      </c>
      <c r="P26" s="12" t="s">
        <v>24</v>
      </c>
      <c r="Q26" s="9">
        <v>0</v>
      </c>
      <c r="R26" s="11">
        <v>0</v>
      </c>
      <c r="S26" s="10">
        <v>650.5</v>
      </c>
      <c r="T26" s="9">
        <v>0</v>
      </c>
      <c r="U26" s="14">
        <v>1</v>
      </c>
      <c r="V26" s="12" t="s">
        <v>166</v>
      </c>
      <c r="W26" s="9"/>
      <c r="X26" s="9"/>
    </row>
    <row r="27" spans="1:24" x14ac:dyDescent="0.35">
      <c r="A27" s="3">
        <v>23</v>
      </c>
      <c r="B27" s="3" t="s">
        <v>101</v>
      </c>
      <c r="C27" s="8">
        <v>43832.583333333299</v>
      </c>
      <c r="D27" s="8">
        <v>43833.583333333299</v>
      </c>
      <c r="E27" s="12" t="s">
        <v>61</v>
      </c>
      <c r="F27" s="12" t="s">
        <v>52</v>
      </c>
      <c r="G27" s="9">
        <v>224</v>
      </c>
      <c r="H27" s="9">
        <v>43602.5</v>
      </c>
      <c r="I27" s="9">
        <v>0</v>
      </c>
      <c r="J27" s="9">
        <v>0</v>
      </c>
      <c r="K27" s="9">
        <v>43826.5</v>
      </c>
      <c r="L27" s="3"/>
      <c r="M27" s="3" t="s">
        <v>24</v>
      </c>
      <c r="N27" s="9">
        <v>0</v>
      </c>
      <c r="O27" s="9">
        <v>43826.5</v>
      </c>
      <c r="P27" s="12" t="s">
        <v>61</v>
      </c>
      <c r="Q27" s="9">
        <v>0</v>
      </c>
      <c r="R27" s="11">
        <v>0</v>
      </c>
      <c r="S27" s="10">
        <v>0</v>
      </c>
      <c r="T27" s="9">
        <v>43826.5</v>
      </c>
      <c r="U27" s="14">
        <v>0</v>
      </c>
      <c r="V27" s="12" t="s">
        <v>170</v>
      </c>
      <c r="W27" s="9"/>
      <c r="X27" s="9"/>
    </row>
    <row r="28" spans="1:24" x14ac:dyDescent="0.35">
      <c r="A28" s="3">
        <v>24</v>
      </c>
      <c r="B28" s="3" t="s">
        <v>103</v>
      </c>
      <c r="C28" s="8">
        <v>43826.416666666701</v>
      </c>
      <c r="D28" s="8">
        <v>43827.416666666701</v>
      </c>
      <c r="E28" s="12" t="s">
        <v>61</v>
      </c>
      <c r="F28" s="12" t="s">
        <v>67</v>
      </c>
      <c r="G28" s="9">
        <v>56</v>
      </c>
      <c r="H28" s="9">
        <v>1577.5</v>
      </c>
      <c r="I28" s="9">
        <v>0</v>
      </c>
      <c r="J28" s="9">
        <v>0</v>
      </c>
      <c r="K28" s="9">
        <v>1633.5</v>
      </c>
      <c r="L28" s="7">
        <v>43812.666666666701</v>
      </c>
      <c r="M28" s="3" t="s">
        <v>61</v>
      </c>
      <c r="N28" s="9">
        <v>1633.5</v>
      </c>
      <c r="O28" s="9">
        <v>0</v>
      </c>
      <c r="P28" s="12" t="s">
        <v>24</v>
      </c>
      <c r="Q28" s="9">
        <v>0</v>
      </c>
      <c r="R28" s="11">
        <v>0</v>
      </c>
      <c r="S28" s="10">
        <v>1633.5</v>
      </c>
      <c r="T28" s="9">
        <v>0</v>
      </c>
      <c r="U28" s="14">
        <v>1</v>
      </c>
      <c r="V28" s="12" t="s">
        <v>166</v>
      </c>
      <c r="W28" s="9"/>
      <c r="X28" s="9"/>
    </row>
    <row r="29" spans="1:24" x14ac:dyDescent="0.35">
      <c r="A29" s="3">
        <v>25</v>
      </c>
      <c r="B29" s="3" t="s">
        <v>106</v>
      </c>
      <c r="C29" s="8">
        <v>43813.416666666701</v>
      </c>
      <c r="D29" s="8">
        <v>43815.416666666701</v>
      </c>
      <c r="E29" s="12" t="s">
        <v>61</v>
      </c>
      <c r="F29" s="12" t="s">
        <v>67</v>
      </c>
      <c r="G29" s="9">
        <v>56</v>
      </c>
      <c r="H29" s="9">
        <v>2524.5</v>
      </c>
      <c r="I29" s="9">
        <v>0</v>
      </c>
      <c r="J29" s="9">
        <v>0</v>
      </c>
      <c r="K29" s="9">
        <v>2580.5</v>
      </c>
      <c r="L29" s="7">
        <v>43812.541666666701</v>
      </c>
      <c r="M29" s="3" t="s">
        <v>61</v>
      </c>
      <c r="N29" s="9">
        <v>2580.5</v>
      </c>
      <c r="O29" s="9">
        <v>0</v>
      </c>
      <c r="P29" s="12" t="s">
        <v>24</v>
      </c>
      <c r="Q29" s="9">
        <v>0</v>
      </c>
      <c r="R29" s="11">
        <v>0</v>
      </c>
      <c r="S29" s="10">
        <v>2580.5</v>
      </c>
      <c r="T29" s="9">
        <v>0</v>
      </c>
      <c r="U29" s="14">
        <v>1</v>
      </c>
      <c r="V29" s="12" t="s">
        <v>166</v>
      </c>
      <c r="W29" s="9"/>
      <c r="X29" s="9"/>
    </row>
    <row r="30" spans="1:24" x14ac:dyDescent="0.35">
      <c r="A30" s="3">
        <v>26</v>
      </c>
      <c r="B30" s="3" t="s">
        <v>108</v>
      </c>
      <c r="C30" s="8">
        <v>43829.583333333299</v>
      </c>
      <c r="D30" s="8">
        <v>43830.583333333299</v>
      </c>
      <c r="E30" s="12" t="s">
        <v>61</v>
      </c>
      <c r="F30" s="12" t="s">
        <v>57</v>
      </c>
      <c r="G30" s="9">
        <v>112</v>
      </c>
      <c r="H30" s="9">
        <v>3442.30004882813</v>
      </c>
      <c r="I30" s="9">
        <v>0</v>
      </c>
      <c r="J30" s="9">
        <v>0</v>
      </c>
      <c r="K30" s="9">
        <v>3554.30004882813</v>
      </c>
      <c r="L30" s="3"/>
      <c r="M30" s="3" t="s">
        <v>24</v>
      </c>
      <c r="N30" s="9">
        <v>0</v>
      </c>
      <c r="O30" s="9">
        <v>3554.30004882813</v>
      </c>
      <c r="P30" s="12" t="s">
        <v>61</v>
      </c>
      <c r="Q30" s="9">
        <v>0</v>
      </c>
      <c r="R30" s="11">
        <v>0</v>
      </c>
      <c r="S30" s="10">
        <v>0</v>
      </c>
      <c r="T30" s="9">
        <v>3554.30004882813</v>
      </c>
      <c r="U30" s="14">
        <v>0</v>
      </c>
      <c r="V30" s="12" t="s">
        <v>170</v>
      </c>
      <c r="W30" s="9"/>
      <c r="X30" s="9"/>
    </row>
    <row r="31" spans="1:24" x14ac:dyDescent="0.35">
      <c r="A31" s="3">
        <v>27</v>
      </c>
      <c r="B31" s="3" t="s">
        <v>110</v>
      </c>
      <c r="C31" s="8">
        <v>43823.416666666701</v>
      </c>
      <c r="D31" s="8">
        <v>43824.416666666701</v>
      </c>
      <c r="E31" s="12" t="s">
        <v>61</v>
      </c>
      <c r="F31" s="12" t="s">
        <v>67</v>
      </c>
      <c r="G31" s="9">
        <v>56</v>
      </c>
      <c r="H31" s="9">
        <v>2972.5</v>
      </c>
      <c r="I31" s="9">
        <v>0</v>
      </c>
      <c r="J31" s="9">
        <v>0</v>
      </c>
      <c r="K31" s="9">
        <v>3028.5</v>
      </c>
      <c r="L31" s="7">
        <v>43810.625</v>
      </c>
      <c r="M31" s="3" t="s">
        <v>167</v>
      </c>
      <c r="N31" s="9">
        <v>3004.5</v>
      </c>
      <c r="O31" s="9">
        <v>0</v>
      </c>
      <c r="P31" s="12" t="s">
        <v>24</v>
      </c>
      <c r="Q31" s="9">
        <v>0</v>
      </c>
      <c r="R31" s="11">
        <v>0</v>
      </c>
      <c r="S31" s="10">
        <v>3004.5</v>
      </c>
      <c r="T31" s="9">
        <v>0</v>
      </c>
      <c r="U31" s="14">
        <v>1</v>
      </c>
      <c r="V31" s="12" t="s">
        <v>166</v>
      </c>
      <c r="W31" s="9"/>
      <c r="X31" s="9"/>
    </row>
    <row r="32" spans="1:24" x14ac:dyDescent="0.35">
      <c r="A32" s="3">
        <v>28</v>
      </c>
      <c r="B32" s="3" t="s">
        <v>113</v>
      </c>
      <c r="C32" s="8">
        <v>43832.583333333299</v>
      </c>
      <c r="D32" s="8">
        <v>43833.583333333299</v>
      </c>
      <c r="E32" s="12" t="s">
        <v>61</v>
      </c>
      <c r="F32" s="12" t="s">
        <v>67</v>
      </c>
      <c r="G32" s="9">
        <v>56</v>
      </c>
      <c r="H32" s="9">
        <v>1586.5</v>
      </c>
      <c r="I32" s="9">
        <v>0</v>
      </c>
      <c r="J32" s="9">
        <v>0</v>
      </c>
      <c r="K32" s="9">
        <v>1642.5</v>
      </c>
      <c r="L32" s="7">
        <v>43810.625</v>
      </c>
      <c r="M32" s="3" t="s">
        <v>185</v>
      </c>
      <c r="N32" s="9">
        <v>1666.5</v>
      </c>
      <c r="O32" s="9">
        <v>0</v>
      </c>
      <c r="P32" s="12" t="s">
        <v>24</v>
      </c>
      <c r="Q32" s="9">
        <v>0</v>
      </c>
      <c r="R32" s="11">
        <v>0</v>
      </c>
      <c r="S32" s="10">
        <v>1666.5</v>
      </c>
      <c r="T32" s="9">
        <v>0</v>
      </c>
      <c r="U32" s="14">
        <v>1</v>
      </c>
      <c r="V32" s="12" t="s">
        <v>166</v>
      </c>
      <c r="W32" s="9"/>
      <c r="X32" s="9"/>
    </row>
    <row r="33" spans="1:24" ht="22" x14ac:dyDescent="0.35">
      <c r="A33" s="3">
        <v>29</v>
      </c>
      <c r="B33" s="3" t="s">
        <v>117</v>
      </c>
      <c r="C33" s="8">
        <v>43833.583333333299</v>
      </c>
      <c r="D33" s="8">
        <v>43833.708333333299</v>
      </c>
      <c r="E33" s="12" t="s">
        <v>29</v>
      </c>
      <c r="F33" s="12" t="s">
        <v>67</v>
      </c>
      <c r="G33" s="9">
        <v>24</v>
      </c>
      <c r="H33" s="9">
        <v>602.5</v>
      </c>
      <c r="I33" s="9">
        <v>0</v>
      </c>
      <c r="J33" s="9">
        <v>0</v>
      </c>
      <c r="K33" s="9">
        <v>626.5</v>
      </c>
      <c r="L33" s="7">
        <v>43812.416666666701</v>
      </c>
      <c r="M33" s="3" t="s">
        <v>177</v>
      </c>
      <c r="N33" s="9">
        <v>618.5</v>
      </c>
      <c r="O33" s="9">
        <v>0</v>
      </c>
      <c r="P33" s="12" t="s">
        <v>24</v>
      </c>
      <c r="Q33" s="9">
        <v>0</v>
      </c>
      <c r="R33" s="11">
        <v>0</v>
      </c>
      <c r="S33" s="10">
        <v>618.5</v>
      </c>
      <c r="T33" s="9">
        <v>0</v>
      </c>
      <c r="U33" s="14">
        <v>1</v>
      </c>
      <c r="V33" s="12" t="s">
        <v>166</v>
      </c>
      <c r="W33" s="9"/>
      <c r="X33" s="9"/>
    </row>
    <row r="34" spans="1:24" x14ac:dyDescent="0.35">
      <c r="A34" s="3">
        <v>30</v>
      </c>
      <c r="B34" s="3" t="s">
        <v>120</v>
      </c>
      <c r="C34" s="8">
        <v>43838.583333333299</v>
      </c>
      <c r="D34" s="8">
        <v>43839.5</v>
      </c>
      <c r="E34" s="12" t="s">
        <v>124</v>
      </c>
      <c r="F34" s="12" t="s">
        <v>67</v>
      </c>
      <c r="G34" s="9">
        <v>48</v>
      </c>
      <c r="H34" s="9">
        <v>602.5</v>
      </c>
      <c r="I34" s="9">
        <v>0</v>
      </c>
      <c r="J34" s="9">
        <v>0</v>
      </c>
      <c r="K34" s="9">
        <v>650.5</v>
      </c>
      <c r="L34" s="3"/>
      <c r="M34" s="3" t="s">
        <v>24</v>
      </c>
      <c r="N34" s="9">
        <v>0</v>
      </c>
      <c r="O34" s="9">
        <v>650.5</v>
      </c>
      <c r="P34" s="12" t="s">
        <v>124</v>
      </c>
      <c r="Q34" s="9">
        <v>0</v>
      </c>
      <c r="R34" s="11">
        <v>0</v>
      </c>
      <c r="S34" s="10">
        <v>0</v>
      </c>
      <c r="T34" s="9">
        <v>650.5</v>
      </c>
      <c r="U34" s="14">
        <v>0</v>
      </c>
      <c r="V34" s="12" t="s">
        <v>170</v>
      </c>
      <c r="W34" s="9"/>
      <c r="X34" s="9"/>
    </row>
    <row r="35" spans="1:24" x14ac:dyDescent="0.35">
      <c r="A35" s="3">
        <v>31</v>
      </c>
      <c r="B35" s="3" t="s">
        <v>125</v>
      </c>
      <c r="C35" s="8">
        <v>43839.5</v>
      </c>
      <c r="D35" s="8">
        <v>43839.5</v>
      </c>
      <c r="E35" s="12" t="s">
        <v>24</v>
      </c>
      <c r="F35" s="12"/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3"/>
      <c r="M35" s="3" t="s">
        <v>24</v>
      </c>
      <c r="N35" s="9">
        <v>0</v>
      </c>
      <c r="O35" s="9">
        <v>0</v>
      </c>
      <c r="P35" s="12" t="s">
        <v>24</v>
      </c>
      <c r="Q35" s="9">
        <v>0</v>
      </c>
      <c r="R35" s="11">
        <v>0</v>
      </c>
      <c r="S35" s="10">
        <v>0</v>
      </c>
      <c r="T35" s="9">
        <v>0</v>
      </c>
      <c r="U35" s="14">
        <v>0</v>
      </c>
      <c r="V35" s="12" t="s">
        <v>170</v>
      </c>
      <c r="W35" s="9"/>
      <c r="X35" s="9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Blad12"/>
  <dimension ref="A1:X35"/>
  <sheetViews>
    <sheetView topLeftCell="C1" workbookViewId="0">
      <selection activeCell="W5" sqref="W5:X35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150</v>
      </c>
      <c r="C1" s="7">
        <v>43816.708333333299</v>
      </c>
      <c r="E1" s="1" t="s">
        <v>151</v>
      </c>
      <c r="F1" s="4" t="s">
        <v>192</v>
      </c>
    </row>
    <row r="3" spans="1:24" x14ac:dyDescent="0.35">
      <c r="A3" s="24" t="s">
        <v>0</v>
      </c>
      <c r="B3" s="24"/>
      <c r="C3" s="24" t="s">
        <v>2</v>
      </c>
      <c r="D3" s="24"/>
      <c r="E3" s="24"/>
      <c r="F3" s="24" t="s">
        <v>3</v>
      </c>
      <c r="G3" s="24"/>
      <c r="H3" s="24" t="s">
        <v>4</v>
      </c>
      <c r="I3" s="24"/>
      <c r="J3" s="24"/>
      <c r="K3" s="24"/>
      <c r="L3" s="24" t="s">
        <v>152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153</v>
      </c>
      <c r="M4" s="1" t="s">
        <v>154</v>
      </c>
      <c r="N4" s="1" t="s">
        <v>155</v>
      </c>
      <c r="O4" s="1" t="s">
        <v>156</v>
      </c>
      <c r="P4" s="1" t="s">
        <v>157</v>
      </c>
      <c r="Q4" s="1" t="s">
        <v>158</v>
      </c>
      <c r="R4" s="1" t="s">
        <v>159</v>
      </c>
      <c r="S4" s="1" t="s">
        <v>160</v>
      </c>
      <c r="T4" s="1" t="s">
        <v>161</v>
      </c>
      <c r="U4" s="1" t="s">
        <v>162</v>
      </c>
      <c r="V4" s="1" t="s">
        <v>152</v>
      </c>
      <c r="W4" s="1" t="s">
        <v>163</v>
      </c>
      <c r="X4" s="1" t="s">
        <v>164</v>
      </c>
    </row>
    <row r="5" spans="1:24" x14ac:dyDescent="0.35">
      <c r="A5" s="2">
        <v>0</v>
      </c>
      <c r="B5" s="3" t="s">
        <v>18</v>
      </c>
      <c r="C5" s="5">
        <v>43808.375</v>
      </c>
      <c r="D5" s="5">
        <v>43839.5</v>
      </c>
      <c r="E5" s="2" t="s">
        <v>20</v>
      </c>
      <c r="F5" s="2"/>
      <c r="G5" s="6"/>
      <c r="H5" s="6">
        <v>118411.30004882799</v>
      </c>
      <c r="I5" s="6"/>
      <c r="J5" s="6"/>
      <c r="K5" s="6">
        <v>126955.30004882799</v>
      </c>
      <c r="L5" s="2"/>
      <c r="M5" s="2" t="s">
        <v>193</v>
      </c>
      <c r="N5" s="6"/>
      <c r="O5" s="6"/>
      <c r="P5" s="2"/>
      <c r="Q5" s="6"/>
      <c r="R5" s="6"/>
      <c r="S5" s="6">
        <v>63556.5</v>
      </c>
      <c r="T5" s="6"/>
      <c r="U5" s="13">
        <v>0.50466545738035395</v>
      </c>
      <c r="V5" s="2"/>
      <c r="W5" s="6"/>
      <c r="X5" s="6"/>
    </row>
    <row r="6" spans="1:24" x14ac:dyDescent="0.35">
      <c r="A6" s="3">
        <v>1</v>
      </c>
      <c r="B6" s="3" t="s">
        <v>21</v>
      </c>
      <c r="C6" s="8">
        <v>43808.375</v>
      </c>
      <c r="D6" s="8">
        <v>43806.708333333299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43808.375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166</v>
      </c>
      <c r="W6" s="9"/>
      <c r="X6" s="9"/>
    </row>
    <row r="7" spans="1:24" ht="22" x14ac:dyDescent="0.35">
      <c r="A7" s="3">
        <v>2</v>
      </c>
      <c r="B7" s="3" t="s">
        <v>25</v>
      </c>
      <c r="C7" s="8">
        <v>43808.375</v>
      </c>
      <c r="D7" s="8">
        <v>43808.5</v>
      </c>
      <c r="E7" s="12" t="s">
        <v>29</v>
      </c>
      <c r="F7" s="12" t="s">
        <v>30</v>
      </c>
      <c r="G7" s="9">
        <v>36</v>
      </c>
      <c r="H7" s="9">
        <v>931.5</v>
      </c>
      <c r="I7" s="9">
        <v>0</v>
      </c>
      <c r="J7" s="9">
        <v>0</v>
      </c>
      <c r="K7" s="9">
        <v>967.5</v>
      </c>
      <c r="L7" s="7">
        <v>43808.375</v>
      </c>
      <c r="M7" s="3" t="s">
        <v>29</v>
      </c>
      <c r="N7" s="9">
        <v>967.5</v>
      </c>
      <c r="O7" s="9">
        <v>0</v>
      </c>
      <c r="P7" s="12" t="s">
        <v>24</v>
      </c>
      <c r="Q7" s="9">
        <v>0</v>
      </c>
      <c r="R7" s="11">
        <v>0</v>
      </c>
      <c r="S7" s="10">
        <v>967.5</v>
      </c>
      <c r="T7" s="9">
        <v>0</v>
      </c>
      <c r="U7" s="14">
        <v>1</v>
      </c>
      <c r="V7" s="12" t="s">
        <v>166</v>
      </c>
      <c r="W7" s="9"/>
      <c r="X7" s="9"/>
    </row>
    <row r="8" spans="1:24" x14ac:dyDescent="0.35">
      <c r="A8" s="3">
        <v>3</v>
      </c>
      <c r="B8" s="3" t="s">
        <v>31</v>
      </c>
      <c r="C8" s="8">
        <v>43808.541666666701</v>
      </c>
      <c r="D8" s="8">
        <v>43813.5</v>
      </c>
      <c r="E8" s="12" t="s">
        <v>35</v>
      </c>
      <c r="F8" s="12" t="s">
        <v>36</v>
      </c>
      <c r="G8" s="9">
        <v>840</v>
      </c>
      <c r="H8" s="9">
        <v>950.5</v>
      </c>
      <c r="I8" s="9">
        <v>0</v>
      </c>
      <c r="J8" s="9">
        <v>0</v>
      </c>
      <c r="K8" s="9">
        <v>1790.5</v>
      </c>
      <c r="L8" s="7">
        <v>43808.541666666701</v>
      </c>
      <c r="M8" s="3" t="s">
        <v>181</v>
      </c>
      <c r="N8" s="9">
        <v>1550.5</v>
      </c>
      <c r="O8" s="9">
        <v>0</v>
      </c>
      <c r="P8" s="12" t="s">
        <v>24</v>
      </c>
      <c r="Q8" s="9">
        <v>0</v>
      </c>
      <c r="R8" s="11">
        <v>0</v>
      </c>
      <c r="S8" s="10">
        <v>1550.5</v>
      </c>
      <c r="T8" s="9">
        <v>0</v>
      </c>
      <c r="U8" s="14">
        <v>1</v>
      </c>
      <c r="V8" s="12" t="s">
        <v>166</v>
      </c>
      <c r="W8" s="9"/>
      <c r="X8" s="9"/>
    </row>
    <row r="9" spans="1:24" x14ac:dyDescent="0.35">
      <c r="A9" s="3">
        <v>4</v>
      </c>
      <c r="B9" s="3" t="s">
        <v>37</v>
      </c>
      <c r="C9" s="8">
        <v>43813.541666666701</v>
      </c>
      <c r="D9" s="8">
        <v>43816.625</v>
      </c>
      <c r="E9" s="12" t="s">
        <v>41</v>
      </c>
      <c r="F9" s="12" t="s">
        <v>42</v>
      </c>
      <c r="G9" s="9">
        <v>640</v>
      </c>
      <c r="H9" s="9">
        <v>8819</v>
      </c>
      <c r="I9" s="9">
        <v>0</v>
      </c>
      <c r="J9" s="9">
        <v>0</v>
      </c>
      <c r="K9" s="9">
        <v>9459</v>
      </c>
      <c r="L9" s="7">
        <v>43812.375</v>
      </c>
      <c r="M9" s="3" t="s">
        <v>185</v>
      </c>
      <c r="N9" s="9">
        <v>9219</v>
      </c>
      <c r="O9" s="9">
        <v>0</v>
      </c>
      <c r="P9" s="12" t="s">
        <v>24</v>
      </c>
      <c r="Q9" s="9">
        <v>0</v>
      </c>
      <c r="R9" s="11">
        <v>0</v>
      </c>
      <c r="S9" s="10">
        <v>9219</v>
      </c>
      <c r="T9" s="9">
        <v>0</v>
      </c>
      <c r="U9" s="14">
        <v>1</v>
      </c>
      <c r="V9" s="12" t="s">
        <v>166</v>
      </c>
      <c r="W9" s="9"/>
      <c r="X9" s="9"/>
    </row>
    <row r="10" spans="1:24" ht="22" x14ac:dyDescent="0.35">
      <c r="A10" s="3">
        <v>5</v>
      </c>
      <c r="B10" s="3" t="s">
        <v>43</v>
      </c>
      <c r="C10" s="8">
        <v>43816.625</v>
      </c>
      <c r="D10" s="8">
        <v>43827.708333333299</v>
      </c>
      <c r="E10" s="12" t="s">
        <v>47</v>
      </c>
      <c r="F10" s="12" t="s">
        <v>42</v>
      </c>
      <c r="G10" s="9">
        <v>2880</v>
      </c>
      <c r="H10" s="9">
        <v>3166.5</v>
      </c>
      <c r="I10" s="9">
        <v>0</v>
      </c>
      <c r="J10" s="9">
        <v>0</v>
      </c>
      <c r="K10" s="9">
        <v>6046.5</v>
      </c>
      <c r="L10" s="7">
        <v>43813.541666666701</v>
      </c>
      <c r="M10" s="3" t="s">
        <v>176</v>
      </c>
      <c r="N10" s="9">
        <v>3886.5</v>
      </c>
      <c r="O10" s="9">
        <v>1920</v>
      </c>
      <c r="P10" s="12" t="s">
        <v>194</v>
      </c>
      <c r="Q10" s="9">
        <v>0</v>
      </c>
      <c r="R10" s="11">
        <v>0</v>
      </c>
      <c r="S10" s="10">
        <v>3886.5</v>
      </c>
      <c r="T10" s="9">
        <v>1920</v>
      </c>
      <c r="U10" s="14">
        <v>0.272727280855179</v>
      </c>
      <c r="V10" s="12" t="s">
        <v>169</v>
      </c>
      <c r="W10" s="9"/>
      <c r="X10" s="9"/>
    </row>
    <row r="11" spans="1:24" x14ac:dyDescent="0.35">
      <c r="A11" s="3">
        <v>6</v>
      </c>
      <c r="B11" s="3" t="s">
        <v>48</v>
      </c>
      <c r="C11" s="8">
        <v>43830.583333333299</v>
      </c>
      <c r="D11" s="8">
        <v>43832.583333333299</v>
      </c>
      <c r="E11" s="12" t="s">
        <v>51</v>
      </c>
      <c r="F11" s="12" t="s">
        <v>52</v>
      </c>
      <c r="G11" s="9">
        <v>448</v>
      </c>
      <c r="H11" s="9">
        <v>1802.5</v>
      </c>
      <c r="I11" s="9">
        <v>0</v>
      </c>
      <c r="J11" s="9">
        <v>0</v>
      </c>
      <c r="K11" s="9">
        <v>2250.5</v>
      </c>
      <c r="L11" s="7">
        <v>43808.541666666701</v>
      </c>
      <c r="M11" s="3" t="s">
        <v>41</v>
      </c>
      <c r="N11" s="9">
        <v>2314.5</v>
      </c>
      <c r="O11" s="9">
        <v>0</v>
      </c>
      <c r="P11" s="12" t="s">
        <v>24</v>
      </c>
      <c r="Q11" s="9">
        <v>0</v>
      </c>
      <c r="R11" s="11">
        <v>0</v>
      </c>
      <c r="S11" s="10">
        <v>2314.5</v>
      </c>
      <c r="T11" s="9">
        <v>0</v>
      </c>
      <c r="U11" s="14">
        <v>1</v>
      </c>
      <c r="V11" s="12" t="s">
        <v>166</v>
      </c>
      <c r="W11" s="9"/>
      <c r="X11" s="9"/>
    </row>
    <row r="12" spans="1:24" x14ac:dyDescent="0.35">
      <c r="A12" s="3">
        <v>7</v>
      </c>
      <c r="B12" s="3" t="s">
        <v>53</v>
      </c>
      <c r="C12" s="8">
        <v>43815.416666666701</v>
      </c>
      <c r="D12" s="8">
        <v>43822.416666666701</v>
      </c>
      <c r="E12" s="12" t="s">
        <v>56</v>
      </c>
      <c r="F12" s="12" t="s">
        <v>57</v>
      </c>
      <c r="G12" s="9">
        <v>672</v>
      </c>
      <c r="H12" s="9">
        <v>1970.5</v>
      </c>
      <c r="I12" s="9">
        <v>0</v>
      </c>
      <c r="J12" s="9">
        <v>0</v>
      </c>
      <c r="K12" s="9">
        <v>2642.5</v>
      </c>
      <c r="L12" s="7">
        <v>43815.541666666701</v>
      </c>
      <c r="M12" s="3" t="s">
        <v>173</v>
      </c>
      <c r="N12" s="9">
        <v>2146.5</v>
      </c>
      <c r="O12" s="9">
        <v>720</v>
      </c>
      <c r="P12" s="12" t="s">
        <v>195</v>
      </c>
      <c r="Q12" s="9">
        <v>0</v>
      </c>
      <c r="R12" s="11">
        <v>0</v>
      </c>
      <c r="S12" s="10">
        <v>2146.5</v>
      </c>
      <c r="T12" s="9">
        <v>720</v>
      </c>
      <c r="U12" s="14">
        <v>0.196428567171097</v>
      </c>
      <c r="V12" s="12" t="s">
        <v>169</v>
      </c>
      <c r="W12" s="9"/>
      <c r="X12" s="9"/>
    </row>
    <row r="13" spans="1:24" ht="22" x14ac:dyDescent="0.35">
      <c r="A13" s="3">
        <v>8</v>
      </c>
      <c r="B13" s="3" t="s">
        <v>58</v>
      </c>
      <c r="C13" s="8">
        <v>43831.583333333299</v>
      </c>
      <c r="D13" s="8">
        <v>43832.583333333299</v>
      </c>
      <c r="E13" s="12" t="s">
        <v>61</v>
      </c>
      <c r="F13" s="12" t="s">
        <v>57</v>
      </c>
      <c r="G13" s="9">
        <v>112</v>
      </c>
      <c r="H13" s="9">
        <v>602.5</v>
      </c>
      <c r="I13" s="9">
        <v>0</v>
      </c>
      <c r="J13" s="9">
        <v>0</v>
      </c>
      <c r="K13" s="9">
        <v>714.5</v>
      </c>
      <c r="L13" s="3"/>
      <c r="M13" s="3" t="s">
        <v>24</v>
      </c>
      <c r="N13" s="9">
        <v>0</v>
      </c>
      <c r="O13" s="9">
        <v>714.5</v>
      </c>
      <c r="P13" s="12" t="s">
        <v>61</v>
      </c>
      <c r="Q13" s="9">
        <v>0</v>
      </c>
      <c r="R13" s="11">
        <v>0</v>
      </c>
      <c r="S13" s="10">
        <v>0</v>
      </c>
      <c r="T13" s="9">
        <v>714.5</v>
      </c>
      <c r="U13" s="14">
        <v>0</v>
      </c>
      <c r="V13" s="12" t="s">
        <v>170</v>
      </c>
      <c r="W13" s="9"/>
      <c r="X13" s="9"/>
    </row>
    <row r="14" spans="1:24" x14ac:dyDescent="0.35">
      <c r="A14" s="3">
        <v>9</v>
      </c>
      <c r="B14" s="3" t="s">
        <v>62</v>
      </c>
      <c r="C14" s="8">
        <v>43829.583333333299</v>
      </c>
      <c r="D14" s="8">
        <v>43830.583333333299</v>
      </c>
      <c r="E14" s="12" t="s">
        <v>61</v>
      </c>
      <c r="F14" s="12" t="s">
        <v>57</v>
      </c>
      <c r="G14" s="9">
        <v>112</v>
      </c>
      <c r="H14" s="9">
        <v>602.5</v>
      </c>
      <c r="I14" s="9">
        <v>0</v>
      </c>
      <c r="J14" s="9">
        <v>0</v>
      </c>
      <c r="K14" s="9">
        <v>714.5</v>
      </c>
      <c r="L14" s="3"/>
      <c r="M14" s="3" t="s">
        <v>24</v>
      </c>
      <c r="N14" s="9">
        <v>0</v>
      </c>
      <c r="O14" s="9">
        <v>714.5</v>
      </c>
      <c r="P14" s="12" t="s">
        <v>61</v>
      </c>
      <c r="Q14" s="9">
        <v>0</v>
      </c>
      <c r="R14" s="11">
        <v>0</v>
      </c>
      <c r="S14" s="10">
        <v>0</v>
      </c>
      <c r="T14" s="9">
        <v>714.5</v>
      </c>
      <c r="U14" s="14">
        <v>0</v>
      </c>
      <c r="V14" s="12" t="s">
        <v>170</v>
      </c>
      <c r="W14" s="9"/>
      <c r="X14" s="9"/>
    </row>
    <row r="15" spans="1:24" ht="22" x14ac:dyDescent="0.35">
      <c r="A15" s="3">
        <v>10</v>
      </c>
      <c r="B15" s="3" t="s">
        <v>64</v>
      </c>
      <c r="C15" s="8">
        <v>43829.375</v>
      </c>
      <c r="D15" s="8">
        <v>43829.708333333299</v>
      </c>
      <c r="E15" s="12" t="s">
        <v>61</v>
      </c>
      <c r="F15" s="12" t="s">
        <v>67</v>
      </c>
      <c r="G15" s="9">
        <v>56</v>
      </c>
      <c r="H15" s="9">
        <v>602.5</v>
      </c>
      <c r="I15" s="9">
        <v>0</v>
      </c>
      <c r="J15" s="9">
        <v>0</v>
      </c>
      <c r="K15" s="9">
        <v>658.5</v>
      </c>
      <c r="L15" s="3"/>
      <c r="M15" s="3" t="s">
        <v>24</v>
      </c>
      <c r="N15" s="9">
        <v>0</v>
      </c>
      <c r="O15" s="9">
        <v>658.5</v>
      </c>
      <c r="P15" s="12" t="s">
        <v>61</v>
      </c>
      <c r="Q15" s="9">
        <v>0</v>
      </c>
      <c r="R15" s="11">
        <v>0</v>
      </c>
      <c r="S15" s="10">
        <v>0</v>
      </c>
      <c r="T15" s="9">
        <v>658.5</v>
      </c>
      <c r="U15" s="14">
        <v>0</v>
      </c>
      <c r="V15" s="12" t="s">
        <v>170</v>
      </c>
      <c r="W15" s="9"/>
      <c r="X15" s="9"/>
    </row>
    <row r="16" spans="1:24" x14ac:dyDescent="0.35">
      <c r="A16" s="3">
        <v>11</v>
      </c>
      <c r="B16" s="3" t="s">
        <v>68</v>
      </c>
      <c r="C16" s="8">
        <v>43813.416666666701</v>
      </c>
      <c r="D16" s="8">
        <v>43815.416666666701</v>
      </c>
      <c r="E16" s="12" t="s">
        <v>61</v>
      </c>
      <c r="F16" s="12" t="s">
        <v>67</v>
      </c>
      <c r="G16" s="9">
        <v>56</v>
      </c>
      <c r="H16" s="9">
        <v>602.5</v>
      </c>
      <c r="I16" s="9">
        <v>0</v>
      </c>
      <c r="J16" s="9">
        <v>0</v>
      </c>
      <c r="K16" s="9">
        <v>658.5</v>
      </c>
      <c r="L16" s="3"/>
      <c r="M16" s="3" t="s">
        <v>24</v>
      </c>
      <c r="N16" s="9">
        <v>0</v>
      </c>
      <c r="O16" s="9">
        <v>658.5</v>
      </c>
      <c r="P16" s="12" t="s">
        <v>61</v>
      </c>
      <c r="Q16" s="9">
        <v>0</v>
      </c>
      <c r="R16" s="11">
        <v>0</v>
      </c>
      <c r="S16" s="10">
        <v>0</v>
      </c>
      <c r="T16" s="9">
        <v>658.5</v>
      </c>
      <c r="U16" s="14">
        <v>0</v>
      </c>
      <c r="V16" s="12" t="s">
        <v>170</v>
      </c>
      <c r="W16" s="9"/>
      <c r="X16" s="9"/>
    </row>
    <row r="17" spans="1:24" ht="22" x14ac:dyDescent="0.35">
      <c r="A17" s="3">
        <v>13</v>
      </c>
      <c r="B17" s="3" t="s">
        <v>70</v>
      </c>
      <c r="C17" s="8">
        <v>43823.416666666701</v>
      </c>
      <c r="D17" s="8">
        <v>43823.583333333299</v>
      </c>
      <c r="E17" s="12" t="s">
        <v>29</v>
      </c>
      <c r="F17" s="12" t="s">
        <v>67</v>
      </c>
      <c r="G17" s="9">
        <v>24</v>
      </c>
      <c r="H17" s="9">
        <v>602.5</v>
      </c>
      <c r="I17" s="9">
        <v>0</v>
      </c>
      <c r="J17" s="9">
        <v>0</v>
      </c>
      <c r="K17" s="9">
        <v>626.5</v>
      </c>
      <c r="L17" s="7">
        <v>43811.458333333299</v>
      </c>
      <c r="M17" s="3" t="s">
        <v>29</v>
      </c>
      <c r="N17" s="9">
        <v>626.5</v>
      </c>
      <c r="O17" s="9">
        <v>0</v>
      </c>
      <c r="P17" s="12" t="s">
        <v>24</v>
      </c>
      <c r="Q17" s="9">
        <v>0</v>
      </c>
      <c r="R17" s="11">
        <v>0</v>
      </c>
      <c r="S17" s="10">
        <v>626.5</v>
      </c>
      <c r="T17" s="9">
        <v>0</v>
      </c>
      <c r="U17" s="14">
        <v>1</v>
      </c>
      <c r="V17" s="12" t="s">
        <v>166</v>
      </c>
      <c r="W17" s="9"/>
      <c r="X17" s="9"/>
    </row>
    <row r="18" spans="1:24" x14ac:dyDescent="0.35">
      <c r="A18" s="3">
        <v>14</v>
      </c>
      <c r="B18" s="3" t="s">
        <v>74</v>
      </c>
      <c r="C18" s="8">
        <v>43836.583333333299</v>
      </c>
      <c r="D18" s="8">
        <v>43838.583333333299</v>
      </c>
      <c r="E18" s="12" t="s">
        <v>51</v>
      </c>
      <c r="F18" s="12" t="s">
        <v>77</v>
      </c>
      <c r="G18" s="9">
        <v>672</v>
      </c>
      <c r="H18" s="9">
        <v>602.5</v>
      </c>
      <c r="I18" s="9">
        <v>0</v>
      </c>
      <c r="J18" s="9">
        <v>0</v>
      </c>
      <c r="K18" s="9">
        <v>1274.5</v>
      </c>
      <c r="L18" s="3"/>
      <c r="M18" s="3" t="s">
        <v>24</v>
      </c>
      <c r="N18" s="9">
        <v>0</v>
      </c>
      <c r="O18" s="9">
        <v>1274.5</v>
      </c>
      <c r="P18" s="12" t="s">
        <v>51</v>
      </c>
      <c r="Q18" s="9">
        <v>0</v>
      </c>
      <c r="R18" s="11">
        <v>0</v>
      </c>
      <c r="S18" s="10">
        <v>0</v>
      </c>
      <c r="T18" s="9">
        <v>1274.5</v>
      </c>
      <c r="U18" s="14">
        <v>0</v>
      </c>
      <c r="V18" s="12" t="s">
        <v>170</v>
      </c>
      <c r="W18" s="9"/>
      <c r="X18" s="9"/>
    </row>
    <row r="19" spans="1:24" x14ac:dyDescent="0.35">
      <c r="A19" s="3">
        <v>15</v>
      </c>
      <c r="B19" s="3" t="s">
        <v>78</v>
      </c>
      <c r="C19" s="8">
        <v>43829.583333333299</v>
      </c>
      <c r="D19" s="8">
        <v>43830.583333333299</v>
      </c>
      <c r="E19" s="12" t="s">
        <v>61</v>
      </c>
      <c r="F19" s="12" t="s">
        <v>57</v>
      </c>
      <c r="G19" s="9">
        <v>112</v>
      </c>
      <c r="H19" s="9">
        <v>602.5</v>
      </c>
      <c r="I19" s="9">
        <v>0</v>
      </c>
      <c r="J19" s="9">
        <v>0</v>
      </c>
      <c r="K19" s="9">
        <v>714.5</v>
      </c>
      <c r="L19" s="3"/>
      <c r="M19" s="3" t="s">
        <v>24</v>
      </c>
      <c r="N19" s="9">
        <v>0</v>
      </c>
      <c r="O19" s="9">
        <v>714.5</v>
      </c>
      <c r="P19" s="12" t="s">
        <v>61</v>
      </c>
      <c r="Q19" s="9">
        <v>0</v>
      </c>
      <c r="R19" s="11">
        <v>0</v>
      </c>
      <c r="S19" s="10">
        <v>0</v>
      </c>
      <c r="T19" s="9">
        <v>714.5</v>
      </c>
      <c r="U19" s="14">
        <v>0</v>
      </c>
      <c r="V19" s="12" t="s">
        <v>170</v>
      </c>
      <c r="W19" s="9"/>
      <c r="X19" s="9"/>
    </row>
    <row r="20" spans="1:24" x14ac:dyDescent="0.35">
      <c r="A20" s="3">
        <v>16</v>
      </c>
      <c r="B20" s="3" t="s">
        <v>80</v>
      </c>
      <c r="C20" s="8">
        <v>43827.416666666701</v>
      </c>
      <c r="D20" s="8">
        <v>43827.583333333299</v>
      </c>
      <c r="E20" s="12" t="s">
        <v>29</v>
      </c>
      <c r="F20" s="12" t="s">
        <v>57</v>
      </c>
      <c r="G20" s="9">
        <v>48</v>
      </c>
      <c r="H20" s="9">
        <v>602.5</v>
      </c>
      <c r="I20" s="9">
        <v>0</v>
      </c>
      <c r="J20" s="9">
        <v>0</v>
      </c>
      <c r="K20" s="9">
        <v>650.5</v>
      </c>
      <c r="L20" s="7">
        <v>43813.666666666701</v>
      </c>
      <c r="M20" s="3" t="s">
        <v>167</v>
      </c>
      <c r="N20" s="9">
        <v>666.5</v>
      </c>
      <c r="O20" s="9">
        <v>0</v>
      </c>
      <c r="P20" s="12" t="s">
        <v>24</v>
      </c>
      <c r="Q20" s="9">
        <v>0</v>
      </c>
      <c r="R20" s="11">
        <v>0</v>
      </c>
      <c r="S20" s="10">
        <v>666.5</v>
      </c>
      <c r="T20" s="9">
        <v>0</v>
      </c>
      <c r="U20" s="14">
        <v>1</v>
      </c>
      <c r="V20" s="12" t="s">
        <v>166</v>
      </c>
      <c r="W20" s="9"/>
      <c r="X20" s="9"/>
    </row>
    <row r="21" spans="1:24" x14ac:dyDescent="0.35">
      <c r="A21" s="3">
        <v>17</v>
      </c>
      <c r="B21" s="3" t="s">
        <v>82</v>
      </c>
      <c r="C21" s="8">
        <v>43822.416666666701</v>
      </c>
      <c r="D21" s="8">
        <v>43823.416666666701</v>
      </c>
      <c r="E21" s="12" t="s">
        <v>61</v>
      </c>
      <c r="F21" s="12" t="s">
        <v>85</v>
      </c>
      <c r="G21" s="9">
        <v>140</v>
      </c>
      <c r="H21" s="9">
        <v>3302.5</v>
      </c>
      <c r="I21" s="9">
        <v>0</v>
      </c>
      <c r="J21" s="9">
        <v>0</v>
      </c>
      <c r="K21" s="9">
        <v>3442.5</v>
      </c>
      <c r="L21" s="7">
        <v>43810.625</v>
      </c>
      <c r="M21" s="3" t="s">
        <v>167</v>
      </c>
      <c r="N21" s="9">
        <v>3382.5</v>
      </c>
      <c r="O21" s="9">
        <v>0</v>
      </c>
      <c r="P21" s="12" t="s">
        <v>24</v>
      </c>
      <c r="Q21" s="9">
        <v>0</v>
      </c>
      <c r="R21" s="11">
        <v>0</v>
      </c>
      <c r="S21" s="10">
        <v>3382.5</v>
      </c>
      <c r="T21" s="9">
        <v>0</v>
      </c>
      <c r="U21" s="14">
        <v>1</v>
      </c>
      <c r="V21" s="12" t="s">
        <v>166</v>
      </c>
      <c r="W21" s="9"/>
      <c r="X21" s="9"/>
    </row>
    <row r="22" spans="1:24" x14ac:dyDescent="0.35">
      <c r="A22" s="3">
        <v>18</v>
      </c>
      <c r="B22" s="3" t="s">
        <v>86</v>
      </c>
      <c r="C22" s="8">
        <v>43832.583333333299</v>
      </c>
      <c r="D22" s="8">
        <v>43833.583333333299</v>
      </c>
      <c r="E22" s="12" t="s">
        <v>61</v>
      </c>
      <c r="F22" s="12" t="s">
        <v>57</v>
      </c>
      <c r="G22" s="9">
        <v>112</v>
      </c>
      <c r="H22" s="9">
        <v>602.5</v>
      </c>
      <c r="I22" s="9">
        <v>0</v>
      </c>
      <c r="J22" s="9">
        <v>0</v>
      </c>
      <c r="K22" s="9">
        <v>714.5</v>
      </c>
      <c r="L22" s="3"/>
      <c r="M22" s="3" t="s">
        <v>24</v>
      </c>
      <c r="N22" s="9">
        <v>0</v>
      </c>
      <c r="O22" s="9">
        <v>714.5</v>
      </c>
      <c r="P22" s="12" t="s">
        <v>61</v>
      </c>
      <c r="Q22" s="9">
        <v>0</v>
      </c>
      <c r="R22" s="11">
        <v>0</v>
      </c>
      <c r="S22" s="10">
        <v>0</v>
      </c>
      <c r="T22" s="9">
        <v>714.5</v>
      </c>
      <c r="U22" s="14">
        <v>0</v>
      </c>
      <c r="V22" s="12" t="s">
        <v>170</v>
      </c>
      <c r="W22" s="9"/>
      <c r="X22" s="9"/>
    </row>
    <row r="23" spans="1:24" ht="22" x14ac:dyDescent="0.35">
      <c r="A23" s="3">
        <v>19</v>
      </c>
      <c r="B23" s="3" t="s">
        <v>88</v>
      </c>
      <c r="C23" s="8">
        <v>43833.583333333299</v>
      </c>
      <c r="D23" s="8">
        <v>43836.583333333299</v>
      </c>
      <c r="E23" s="12" t="s">
        <v>51</v>
      </c>
      <c r="F23" s="12" t="s">
        <v>77</v>
      </c>
      <c r="G23" s="9">
        <v>672</v>
      </c>
      <c r="H23" s="9">
        <v>2252.5</v>
      </c>
      <c r="I23" s="9">
        <v>0</v>
      </c>
      <c r="J23" s="9">
        <v>0</v>
      </c>
      <c r="K23" s="9">
        <v>2924.5</v>
      </c>
      <c r="L23" s="3"/>
      <c r="M23" s="3" t="s">
        <v>24</v>
      </c>
      <c r="N23" s="9">
        <v>0</v>
      </c>
      <c r="O23" s="9">
        <v>2924.5</v>
      </c>
      <c r="P23" s="12" t="s">
        <v>51</v>
      </c>
      <c r="Q23" s="9">
        <v>0</v>
      </c>
      <c r="R23" s="11">
        <v>0</v>
      </c>
      <c r="S23" s="10">
        <v>0</v>
      </c>
      <c r="T23" s="9">
        <v>2924.5</v>
      </c>
      <c r="U23" s="14">
        <v>0</v>
      </c>
      <c r="V23" s="12" t="s">
        <v>170</v>
      </c>
      <c r="W23" s="9"/>
      <c r="X23" s="9"/>
    </row>
    <row r="24" spans="1:24" x14ac:dyDescent="0.35">
      <c r="A24" s="3">
        <v>20</v>
      </c>
      <c r="B24" s="3" t="s">
        <v>91</v>
      </c>
      <c r="C24" s="8">
        <v>43824.416666666701</v>
      </c>
      <c r="D24" s="8">
        <v>43825.416666666701</v>
      </c>
      <c r="E24" s="12" t="s">
        <v>61</v>
      </c>
      <c r="F24" s="12" t="s">
        <v>67</v>
      </c>
      <c r="G24" s="9">
        <v>56</v>
      </c>
      <c r="H24" s="9">
        <v>28602.5</v>
      </c>
      <c r="I24" s="9">
        <v>0</v>
      </c>
      <c r="J24" s="9">
        <v>0</v>
      </c>
      <c r="K24" s="9">
        <v>28658.5</v>
      </c>
      <c r="L24" s="7">
        <v>43811.458333333299</v>
      </c>
      <c r="M24" s="3" t="s">
        <v>174</v>
      </c>
      <c r="N24" s="9">
        <v>28642.5</v>
      </c>
      <c r="O24" s="9">
        <v>0</v>
      </c>
      <c r="P24" s="12" t="s">
        <v>24</v>
      </c>
      <c r="Q24" s="9">
        <v>0</v>
      </c>
      <c r="R24" s="11">
        <v>0</v>
      </c>
      <c r="S24" s="10">
        <v>28642.5</v>
      </c>
      <c r="T24" s="9">
        <v>0</v>
      </c>
      <c r="U24" s="14">
        <v>1</v>
      </c>
      <c r="V24" s="12" t="s">
        <v>166</v>
      </c>
      <c r="W24" s="9"/>
      <c r="X24" s="9"/>
    </row>
    <row r="25" spans="1:24" ht="22" x14ac:dyDescent="0.35">
      <c r="A25" s="3">
        <v>21</v>
      </c>
      <c r="B25" s="3" t="s">
        <v>95</v>
      </c>
      <c r="C25" s="8">
        <v>43830.583333333299</v>
      </c>
      <c r="D25" s="8">
        <v>43831.583333333299</v>
      </c>
      <c r="E25" s="12" t="s">
        <v>61</v>
      </c>
      <c r="F25" s="12" t="s">
        <v>36</v>
      </c>
      <c r="G25" s="9">
        <v>168</v>
      </c>
      <c r="H25" s="9">
        <v>3677.5</v>
      </c>
      <c r="I25" s="9">
        <v>0</v>
      </c>
      <c r="J25" s="9">
        <v>0</v>
      </c>
      <c r="K25" s="9">
        <v>3845.5</v>
      </c>
      <c r="L25" s="3"/>
      <c r="M25" s="3" t="s">
        <v>24</v>
      </c>
      <c r="N25" s="9">
        <v>0</v>
      </c>
      <c r="O25" s="9">
        <v>3845.5</v>
      </c>
      <c r="P25" s="12" t="s">
        <v>61</v>
      </c>
      <c r="Q25" s="9">
        <v>0</v>
      </c>
      <c r="R25" s="11">
        <v>0</v>
      </c>
      <c r="S25" s="10">
        <v>0</v>
      </c>
      <c r="T25" s="9">
        <v>3845.5</v>
      </c>
      <c r="U25" s="14">
        <v>0</v>
      </c>
      <c r="V25" s="12" t="s">
        <v>170</v>
      </c>
      <c r="W25" s="9"/>
      <c r="X25" s="9"/>
    </row>
    <row r="26" spans="1:24" x14ac:dyDescent="0.35">
      <c r="A26" s="3">
        <v>22</v>
      </c>
      <c r="B26" s="3" t="s">
        <v>98</v>
      </c>
      <c r="C26" s="8">
        <v>43825.416666666701</v>
      </c>
      <c r="D26" s="8">
        <v>43826.416666666701</v>
      </c>
      <c r="E26" s="12" t="s">
        <v>61</v>
      </c>
      <c r="F26" s="12" t="s">
        <v>67</v>
      </c>
      <c r="G26" s="9">
        <v>56</v>
      </c>
      <c r="H26" s="9">
        <v>602.5</v>
      </c>
      <c r="I26" s="9">
        <v>0</v>
      </c>
      <c r="J26" s="9">
        <v>0</v>
      </c>
      <c r="K26" s="9">
        <v>658.5</v>
      </c>
      <c r="L26" s="7">
        <v>43812.375</v>
      </c>
      <c r="M26" s="3" t="s">
        <v>124</v>
      </c>
      <c r="N26" s="9">
        <v>650.5</v>
      </c>
      <c r="O26" s="9">
        <v>0</v>
      </c>
      <c r="P26" s="12" t="s">
        <v>24</v>
      </c>
      <c r="Q26" s="9">
        <v>0</v>
      </c>
      <c r="R26" s="11">
        <v>0</v>
      </c>
      <c r="S26" s="10">
        <v>650.5</v>
      </c>
      <c r="T26" s="9">
        <v>0</v>
      </c>
      <c r="U26" s="14">
        <v>1</v>
      </c>
      <c r="V26" s="12" t="s">
        <v>166</v>
      </c>
      <c r="W26" s="9"/>
      <c r="X26" s="9"/>
    </row>
    <row r="27" spans="1:24" x14ac:dyDescent="0.35">
      <c r="A27" s="3">
        <v>23</v>
      </c>
      <c r="B27" s="3" t="s">
        <v>101</v>
      </c>
      <c r="C27" s="8">
        <v>43832.583333333299</v>
      </c>
      <c r="D27" s="8">
        <v>43833.583333333299</v>
      </c>
      <c r="E27" s="12" t="s">
        <v>61</v>
      </c>
      <c r="F27" s="12" t="s">
        <v>52</v>
      </c>
      <c r="G27" s="9">
        <v>224</v>
      </c>
      <c r="H27" s="9">
        <v>43602.5</v>
      </c>
      <c r="I27" s="9">
        <v>0</v>
      </c>
      <c r="J27" s="9">
        <v>0</v>
      </c>
      <c r="K27" s="9">
        <v>43826.5</v>
      </c>
      <c r="L27" s="3"/>
      <c r="M27" s="3" t="s">
        <v>24</v>
      </c>
      <c r="N27" s="9">
        <v>0</v>
      </c>
      <c r="O27" s="9">
        <v>43826.5</v>
      </c>
      <c r="P27" s="12" t="s">
        <v>61</v>
      </c>
      <c r="Q27" s="9">
        <v>0</v>
      </c>
      <c r="R27" s="11">
        <v>0</v>
      </c>
      <c r="S27" s="10">
        <v>0</v>
      </c>
      <c r="T27" s="9">
        <v>43826.5</v>
      </c>
      <c r="U27" s="14">
        <v>0</v>
      </c>
      <c r="V27" s="12" t="s">
        <v>170</v>
      </c>
      <c r="W27" s="9"/>
      <c r="X27" s="9"/>
    </row>
    <row r="28" spans="1:24" x14ac:dyDescent="0.35">
      <c r="A28" s="3">
        <v>24</v>
      </c>
      <c r="B28" s="3" t="s">
        <v>103</v>
      </c>
      <c r="C28" s="8">
        <v>43826.416666666701</v>
      </c>
      <c r="D28" s="8">
        <v>43827.416666666701</v>
      </c>
      <c r="E28" s="12" t="s">
        <v>61</v>
      </c>
      <c r="F28" s="12" t="s">
        <v>67</v>
      </c>
      <c r="G28" s="9">
        <v>56</v>
      </c>
      <c r="H28" s="9">
        <v>1577.5</v>
      </c>
      <c r="I28" s="9">
        <v>0</v>
      </c>
      <c r="J28" s="9">
        <v>0</v>
      </c>
      <c r="K28" s="9">
        <v>1633.5</v>
      </c>
      <c r="L28" s="7">
        <v>43812.666666666701</v>
      </c>
      <c r="M28" s="3" t="s">
        <v>61</v>
      </c>
      <c r="N28" s="9">
        <v>1633.5</v>
      </c>
      <c r="O28" s="9">
        <v>0</v>
      </c>
      <c r="P28" s="12" t="s">
        <v>24</v>
      </c>
      <c r="Q28" s="9">
        <v>0</v>
      </c>
      <c r="R28" s="11">
        <v>0</v>
      </c>
      <c r="S28" s="10">
        <v>1633.5</v>
      </c>
      <c r="T28" s="9">
        <v>0</v>
      </c>
      <c r="U28" s="14">
        <v>1</v>
      </c>
      <c r="V28" s="12" t="s">
        <v>166</v>
      </c>
      <c r="W28" s="9"/>
      <c r="X28" s="9"/>
    </row>
    <row r="29" spans="1:24" x14ac:dyDescent="0.35">
      <c r="A29" s="3">
        <v>25</v>
      </c>
      <c r="B29" s="3" t="s">
        <v>106</v>
      </c>
      <c r="C29" s="8">
        <v>43813.416666666701</v>
      </c>
      <c r="D29" s="8">
        <v>43815.416666666701</v>
      </c>
      <c r="E29" s="12" t="s">
        <v>61</v>
      </c>
      <c r="F29" s="12" t="s">
        <v>67</v>
      </c>
      <c r="G29" s="9">
        <v>56</v>
      </c>
      <c r="H29" s="9">
        <v>2524.5</v>
      </c>
      <c r="I29" s="9">
        <v>0</v>
      </c>
      <c r="J29" s="9">
        <v>0</v>
      </c>
      <c r="K29" s="9">
        <v>2580.5</v>
      </c>
      <c r="L29" s="7">
        <v>43812.541666666701</v>
      </c>
      <c r="M29" s="3" t="s">
        <v>61</v>
      </c>
      <c r="N29" s="9">
        <v>2580.5</v>
      </c>
      <c r="O29" s="9">
        <v>0</v>
      </c>
      <c r="P29" s="12" t="s">
        <v>24</v>
      </c>
      <c r="Q29" s="9">
        <v>0</v>
      </c>
      <c r="R29" s="11">
        <v>0</v>
      </c>
      <c r="S29" s="10">
        <v>2580.5</v>
      </c>
      <c r="T29" s="9">
        <v>0</v>
      </c>
      <c r="U29" s="14">
        <v>1</v>
      </c>
      <c r="V29" s="12" t="s">
        <v>166</v>
      </c>
      <c r="W29" s="9"/>
      <c r="X29" s="9"/>
    </row>
    <row r="30" spans="1:24" x14ac:dyDescent="0.35">
      <c r="A30" s="3">
        <v>26</v>
      </c>
      <c r="B30" s="3" t="s">
        <v>108</v>
      </c>
      <c r="C30" s="8">
        <v>43829.583333333299</v>
      </c>
      <c r="D30" s="8">
        <v>43830.583333333299</v>
      </c>
      <c r="E30" s="12" t="s">
        <v>61</v>
      </c>
      <c r="F30" s="12" t="s">
        <v>57</v>
      </c>
      <c r="G30" s="9">
        <v>112</v>
      </c>
      <c r="H30" s="9">
        <v>3442.30004882813</v>
      </c>
      <c r="I30" s="9">
        <v>0</v>
      </c>
      <c r="J30" s="9">
        <v>0</v>
      </c>
      <c r="K30" s="9">
        <v>3554.30004882813</v>
      </c>
      <c r="L30" s="3"/>
      <c r="M30" s="3" t="s">
        <v>24</v>
      </c>
      <c r="N30" s="9">
        <v>0</v>
      </c>
      <c r="O30" s="9">
        <v>3554.30004882813</v>
      </c>
      <c r="P30" s="12" t="s">
        <v>61</v>
      </c>
      <c r="Q30" s="9">
        <v>0</v>
      </c>
      <c r="R30" s="11">
        <v>0</v>
      </c>
      <c r="S30" s="10">
        <v>0</v>
      </c>
      <c r="T30" s="9">
        <v>3554.30004882813</v>
      </c>
      <c r="U30" s="14">
        <v>0</v>
      </c>
      <c r="V30" s="12" t="s">
        <v>170</v>
      </c>
      <c r="W30" s="9"/>
      <c r="X30" s="9"/>
    </row>
    <row r="31" spans="1:24" x14ac:dyDescent="0.35">
      <c r="A31" s="3">
        <v>27</v>
      </c>
      <c r="B31" s="3" t="s">
        <v>110</v>
      </c>
      <c r="C31" s="8">
        <v>43823.416666666701</v>
      </c>
      <c r="D31" s="8">
        <v>43824.416666666701</v>
      </c>
      <c r="E31" s="12" t="s">
        <v>61</v>
      </c>
      <c r="F31" s="12" t="s">
        <v>67</v>
      </c>
      <c r="G31" s="9">
        <v>56</v>
      </c>
      <c r="H31" s="9">
        <v>2972.5</v>
      </c>
      <c r="I31" s="9">
        <v>0</v>
      </c>
      <c r="J31" s="9">
        <v>0</v>
      </c>
      <c r="K31" s="9">
        <v>3028.5</v>
      </c>
      <c r="L31" s="7">
        <v>43810.625</v>
      </c>
      <c r="M31" s="3" t="s">
        <v>167</v>
      </c>
      <c r="N31" s="9">
        <v>3004.5</v>
      </c>
      <c r="O31" s="9">
        <v>0</v>
      </c>
      <c r="P31" s="12" t="s">
        <v>24</v>
      </c>
      <c r="Q31" s="9">
        <v>0</v>
      </c>
      <c r="R31" s="11">
        <v>0</v>
      </c>
      <c r="S31" s="10">
        <v>3004.5</v>
      </c>
      <c r="T31" s="9">
        <v>0</v>
      </c>
      <c r="U31" s="14">
        <v>1</v>
      </c>
      <c r="V31" s="12" t="s">
        <v>166</v>
      </c>
      <c r="W31" s="9"/>
      <c r="X31" s="9"/>
    </row>
    <row r="32" spans="1:24" x14ac:dyDescent="0.35">
      <c r="A32" s="3">
        <v>28</v>
      </c>
      <c r="B32" s="3" t="s">
        <v>113</v>
      </c>
      <c r="C32" s="8">
        <v>43832.583333333299</v>
      </c>
      <c r="D32" s="8">
        <v>43833.583333333299</v>
      </c>
      <c r="E32" s="12" t="s">
        <v>61</v>
      </c>
      <c r="F32" s="12" t="s">
        <v>67</v>
      </c>
      <c r="G32" s="9">
        <v>56</v>
      </c>
      <c r="H32" s="9">
        <v>1586.5</v>
      </c>
      <c r="I32" s="9">
        <v>0</v>
      </c>
      <c r="J32" s="9">
        <v>0</v>
      </c>
      <c r="K32" s="9">
        <v>1642.5</v>
      </c>
      <c r="L32" s="7">
        <v>43810.625</v>
      </c>
      <c r="M32" s="3" t="s">
        <v>185</v>
      </c>
      <c r="N32" s="9">
        <v>1666.5</v>
      </c>
      <c r="O32" s="9">
        <v>0</v>
      </c>
      <c r="P32" s="12" t="s">
        <v>24</v>
      </c>
      <c r="Q32" s="9">
        <v>0</v>
      </c>
      <c r="R32" s="11">
        <v>0</v>
      </c>
      <c r="S32" s="10">
        <v>1666.5</v>
      </c>
      <c r="T32" s="9">
        <v>0</v>
      </c>
      <c r="U32" s="14">
        <v>1</v>
      </c>
      <c r="V32" s="12" t="s">
        <v>166</v>
      </c>
      <c r="W32" s="9"/>
      <c r="X32" s="9"/>
    </row>
    <row r="33" spans="1:24" ht="22" x14ac:dyDescent="0.35">
      <c r="A33" s="3">
        <v>29</v>
      </c>
      <c r="B33" s="3" t="s">
        <v>117</v>
      </c>
      <c r="C33" s="8">
        <v>43833.583333333299</v>
      </c>
      <c r="D33" s="8">
        <v>43833.708333333299</v>
      </c>
      <c r="E33" s="12" t="s">
        <v>29</v>
      </c>
      <c r="F33" s="12" t="s">
        <v>67</v>
      </c>
      <c r="G33" s="9">
        <v>24</v>
      </c>
      <c r="H33" s="9">
        <v>602.5</v>
      </c>
      <c r="I33" s="9">
        <v>0</v>
      </c>
      <c r="J33" s="9">
        <v>0</v>
      </c>
      <c r="K33" s="9">
        <v>626.5</v>
      </c>
      <c r="L33" s="7">
        <v>43812.416666666701</v>
      </c>
      <c r="M33" s="3" t="s">
        <v>177</v>
      </c>
      <c r="N33" s="9">
        <v>618.5</v>
      </c>
      <c r="O33" s="9">
        <v>0</v>
      </c>
      <c r="P33" s="12" t="s">
        <v>24</v>
      </c>
      <c r="Q33" s="9">
        <v>0</v>
      </c>
      <c r="R33" s="11">
        <v>0</v>
      </c>
      <c r="S33" s="10">
        <v>618.5</v>
      </c>
      <c r="T33" s="9">
        <v>0</v>
      </c>
      <c r="U33" s="14">
        <v>1</v>
      </c>
      <c r="V33" s="12" t="s">
        <v>166</v>
      </c>
      <c r="W33" s="9"/>
      <c r="X33" s="9"/>
    </row>
    <row r="34" spans="1:24" x14ac:dyDescent="0.35">
      <c r="A34" s="3">
        <v>30</v>
      </c>
      <c r="B34" s="3" t="s">
        <v>120</v>
      </c>
      <c r="C34" s="8">
        <v>43838.583333333299</v>
      </c>
      <c r="D34" s="8">
        <v>43839.5</v>
      </c>
      <c r="E34" s="12" t="s">
        <v>124</v>
      </c>
      <c r="F34" s="12" t="s">
        <v>67</v>
      </c>
      <c r="G34" s="9">
        <v>48</v>
      </c>
      <c r="H34" s="9">
        <v>602.5</v>
      </c>
      <c r="I34" s="9">
        <v>0</v>
      </c>
      <c r="J34" s="9">
        <v>0</v>
      </c>
      <c r="K34" s="9">
        <v>650.5</v>
      </c>
      <c r="L34" s="3"/>
      <c r="M34" s="3" t="s">
        <v>24</v>
      </c>
      <c r="N34" s="9">
        <v>0</v>
      </c>
      <c r="O34" s="9">
        <v>650.5</v>
      </c>
      <c r="P34" s="12" t="s">
        <v>124</v>
      </c>
      <c r="Q34" s="9">
        <v>0</v>
      </c>
      <c r="R34" s="11">
        <v>0</v>
      </c>
      <c r="S34" s="10">
        <v>0</v>
      </c>
      <c r="T34" s="9">
        <v>650.5</v>
      </c>
      <c r="U34" s="14">
        <v>0</v>
      </c>
      <c r="V34" s="12" t="s">
        <v>170</v>
      </c>
      <c r="W34" s="9"/>
      <c r="X34" s="9"/>
    </row>
    <row r="35" spans="1:24" x14ac:dyDescent="0.35">
      <c r="A35" s="3">
        <v>31</v>
      </c>
      <c r="B35" s="3" t="s">
        <v>125</v>
      </c>
      <c r="C35" s="8">
        <v>43839.5</v>
      </c>
      <c r="D35" s="8">
        <v>43839.5</v>
      </c>
      <c r="E35" s="12" t="s">
        <v>24</v>
      </c>
      <c r="F35" s="12"/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3"/>
      <c r="M35" s="3" t="s">
        <v>24</v>
      </c>
      <c r="N35" s="9">
        <v>0</v>
      </c>
      <c r="O35" s="9">
        <v>0</v>
      </c>
      <c r="P35" s="12" t="s">
        <v>24</v>
      </c>
      <c r="Q35" s="9">
        <v>0</v>
      </c>
      <c r="R35" s="11">
        <v>0</v>
      </c>
      <c r="S35" s="10">
        <v>0</v>
      </c>
      <c r="T35" s="9">
        <v>0</v>
      </c>
      <c r="U35" s="14">
        <v>0</v>
      </c>
      <c r="V35" s="12" t="s">
        <v>170</v>
      </c>
      <c r="W35" s="9"/>
      <c r="X35" s="9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Blad13"/>
  <dimension ref="A1:X35"/>
  <sheetViews>
    <sheetView topLeftCell="C1" workbookViewId="0">
      <selection activeCell="W5" sqref="W5:X35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150</v>
      </c>
      <c r="C1" s="7">
        <v>43817.708333333299</v>
      </c>
      <c r="E1" s="1" t="s">
        <v>151</v>
      </c>
      <c r="F1" s="4" t="s">
        <v>196</v>
      </c>
    </row>
    <row r="3" spans="1:24" x14ac:dyDescent="0.35">
      <c r="A3" s="24" t="s">
        <v>0</v>
      </c>
      <c r="B3" s="24"/>
      <c r="C3" s="24" t="s">
        <v>2</v>
      </c>
      <c r="D3" s="24"/>
      <c r="E3" s="24"/>
      <c r="F3" s="24" t="s">
        <v>3</v>
      </c>
      <c r="G3" s="24"/>
      <c r="H3" s="24" t="s">
        <v>4</v>
      </c>
      <c r="I3" s="24"/>
      <c r="J3" s="24"/>
      <c r="K3" s="24"/>
      <c r="L3" s="24" t="s">
        <v>152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153</v>
      </c>
      <c r="M4" s="1" t="s">
        <v>154</v>
      </c>
      <c r="N4" s="1" t="s">
        <v>155</v>
      </c>
      <c r="O4" s="1" t="s">
        <v>156</v>
      </c>
      <c r="P4" s="1" t="s">
        <v>157</v>
      </c>
      <c r="Q4" s="1" t="s">
        <v>158</v>
      </c>
      <c r="R4" s="1" t="s">
        <v>159</v>
      </c>
      <c r="S4" s="1" t="s">
        <v>160</v>
      </c>
      <c r="T4" s="1" t="s">
        <v>161</v>
      </c>
      <c r="U4" s="1" t="s">
        <v>162</v>
      </c>
      <c r="V4" s="1" t="s">
        <v>152</v>
      </c>
      <c r="W4" s="1" t="s">
        <v>163</v>
      </c>
      <c r="X4" s="1" t="s">
        <v>164</v>
      </c>
    </row>
    <row r="5" spans="1:24" x14ac:dyDescent="0.35">
      <c r="A5" s="2">
        <v>0</v>
      </c>
      <c r="B5" s="3" t="s">
        <v>18</v>
      </c>
      <c r="C5" s="5">
        <v>43808.375</v>
      </c>
      <c r="D5" s="5">
        <v>43839.5</v>
      </c>
      <c r="E5" s="2" t="s">
        <v>20</v>
      </c>
      <c r="F5" s="2"/>
      <c r="G5" s="6"/>
      <c r="H5" s="6">
        <v>118411.30004882799</v>
      </c>
      <c r="I5" s="6"/>
      <c r="J5" s="6"/>
      <c r="K5" s="6">
        <v>126955.30004882799</v>
      </c>
      <c r="L5" s="2"/>
      <c r="M5" s="2" t="s">
        <v>197</v>
      </c>
      <c r="N5" s="6"/>
      <c r="O5" s="6"/>
      <c r="P5" s="2"/>
      <c r="Q5" s="6"/>
      <c r="R5" s="6"/>
      <c r="S5" s="6">
        <v>63948.5</v>
      </c>
      <c r="T5" s="6"/>
      <c r="U5" s="13">
        <v>0.50773310805340699</v>
      </c>
      <c r="V5" s="2"/>
      <c r="W5" s="6"/>
      <c r="X5" s="6"/>
    </row>
    <row r="6" spans="1:24" x14ac:dyDescent="0.35">
      <c r="A6" s="3">
        <v>1</v>
      </c>
      <c r="B6" s="3" t="s">
        <v>21</v>
      </c>
      <c r="C6" s="8">
        <v>43808.375</v>
      </c>
      <c r="D6" s="8">
        <v>43806.708333333299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43808.375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166</v>
      </c>
      <c r="W6" s="9"/>
      <c r="X6" s="9"/>
    </row>
    <row r="7" spans="1:24" ht="22" x14ac:dyDescent="0.35">
      <c r="A7" s="3">
        <v>2</v>
      </c>
      <c r="B7" s="3" t="s">
        <v>25</v>
      </c>
      <c r="C7" s="8">
        <v>43808.375</v>
      </c>
      <c r="D7" s="8">
        <v>43808.5</v>
      </c>
      <c r="E7" s="12" t="s">
        <v>29</v>
      </c>
      <c r="F7" s="12" t="s">
        <v>30</v>
      </c>
      <c r="G7" s="9">
        <v>36</v>
      </c>
      <c r="H7" s="9">
        <v>931.5</v>
      </c>
      <c r="I7" s="9">
        <v>0</v>
      </c>
      <c r="J7" s="9">
        <v>0</v>
      </c>
      <c r="K7" s="9">
        <v>967.5</v>
      </c>
      <c r="L7" s="7">
        <v>43808.375</v>
      </c>
      <c r="M7" s="3" t="s">
        <v>29</v>
      </c>
      <c r="N7" s="9">
        <v>967.5</v>
      </c>
      <c r="O7" s="9">
        <v>0</v>
      </c>
      <c r="P7" s="12" t="s">
        <v>24</v>
      </c>
      <c r="Q7" s="9">
        <v>0</v>
      </c>
      <c r="R7" s="11">
        <v>0</v>
      </c>
      <c r="S7" s="10">
        <v>967.5</v>
      </c>
      <c r="T7" s="9">
        <v>0</v>
      </c>
      <c r="U7" s="14">
        <v>1</v>
      </c>
      <c r="V7" s="12" t="s">
        <v>166</v>
      </c>
      <c r="W7" s="9"/>
      <c r="X7" s="9"/>
    </row>
    <row r="8" spans="1:24" x14ac:dyDescent="0.35">
      <c r="A8" s="3">
        <v>3</v>
      </c>
      <c r="B8" s="3" t="s">
        <v>31</v>
      </c>
      <c r="C8" s="8">
        <v>43808.541666666701</v>
      </c>
      <c r="D8" s="8">
        <v>43813.5</v>
      </c>
      <c r="E8" s="12" t="s">
        <v>35</v>
      </c>
      <c r="F8" s="12" t="s">
        <v>36</v>
      </c>
      <c r="G8" s="9">
        <v>840</v>
      </c>
      <c r="H8" s="9">
        <v>950.5</v>
      </c>
      <c r="I8" s="9">
        <v>0</v>
      </c>
      <c r="J8" s="9">
        <v>0</v>
      </c>
      <c r="K8" s="9">
        <v>1790.5</v>
      </c>
      <c r="L8" s="7">
        <v>43808.541666666701</v>
      </c>
      <c r="M8" s="3" t="s">
        <v>181</v>
      </c>
      <c r="N8" s="9">
        <v>1550.5</v>
      </c>
      <c r="O8" s="9">
        <v>0</v>
      </c>
      <c r="P8" s="12" t="s">
        <v>24</v>
      </c>
      <c r="Q8" s="9">
        <v>0</v>
      </c>
      <c r="R8" s="11">
        <v>0</v>
      </c>
      <c r="S8" s="10">
        <v>1550.5</v>
      </c>
      <c r="T8" s="9">
        <v>0</v>
      </c>
      <c r="U8" s="14">
        <v>1</v>
      </c>
      <c r="V8" s="12" t="s">
        <v>166</v>
      </c>
      <c r="W8" s="9"/>
      <c r="X8" s="9"/>
    </row>
    <row r="9" spans="1:24" x14ac:dyDescent="0.35">
      <c r="A9" s="3">
        <v>4</v>
      </c>
      <c r="B9" s="3" t="s">
        <v>37</v>
      </c>
      <c r="C9" s="8">
        <v>43813.541666666701</v>
      </c>
      <c r="D9" s="8">
        <v>43816.625</v>
      </c>
      <c r="E9" s="12" t="s">
        <v>41</v>
      </c>
      <c r="F9" s="12" t="s">
        <v>42</v>
      </c>
      <c r="G9" s="9">
        <v>640</v>
      </c>
      <c r="H9" s="9">
        <v>8819</v>
      </c>
      <c r="I9" s="9">
        <v>0</v>
      </c>
      <c r="J9" s="9">
        <v>0</v>
      </c>
      <c r="K9" s="9">
        <v>9459</v>
      </c>
      <c r="L9" s="7">
        <v>43812.375</v>
      </c>
      <c r="M9" s="3" t="s">
        <v>185</v>
      </c>
      <c r="N9" s="9">
        <v>9219</v>
      </c>
      <c r="O9" s="9">
        <v>0</v>
      </c>
      <c r="P9" s="12" t="s">
        <v>24</v>
      </c>
      <c r="Q9" s="9">
        <v>0</v>
      </c>
      <c r="R9" s="11">
        <v>0</v>
      </c>
      <c r="S9" s="10">
        <v>9219</v>
      </c>
      <c r="T9" s="9">
        <v>0</v>
      </c>
      <c r="U9" s="14">
        <v>1</v>
      </c>
      <c r="V9" s="12" t="s">
        <v>166</v>
      </c>
      <c r="W9" s="9"/>
      <c r="X9" s="9"/>
    </row>
    <row r="10" spans="1:24" ht="22" x14ac:dyDescent="0.35">
      <c r="A10" s="3">
        <v>5</v>
      </c>
      <c r="B10" s="3" t="s">
        <v>43</v>
      </c>
      <c r="C10" s="8">
        <v>43816.625</v>
      </c>
      <c r="D10" s="8">
        <v>43827.708333333299</v>
      </c>
      <c r="E10" s="12" t="s">
        <v>47</v>
      </c>
      <c r="F10" s="12" t="s">
        <v>42</v>
      </c>
      <c r="G10" s="9">
        <v>2880</v>
      </c>
      <c r="H10" s="9">
        <v>3166.5</v>
      </c>
      <c r="I10" s="9">
        <v>0</v>
      </c>
      <c r="J10" s="9">
        <v>0</v>
      </c>
      <c r="K10" s="9">
        <v>6046.5</v>
      </c>
      <c r="L10" s="7">
        <v>43813.541666666701</v>
      </c>
      <c r="M10" s="3" t="s">
        <v>181</v>
      </c>
      <c r="N10" s="9">
        <v>4166.5</v>
      </c>
      <c r="O10" s="9">
        <v>1640</v>
      </c>
      <c r="P10" s="12" t="s">
        <v>198</v>
      </c>
      <c r="Q10" s="9">
        <v>0</v>
      </c>
      <c r="R10" s="11">
        <v>0</v>
      </c>
      <c r="S10" s="10">
        <v>4166.5</v>
      </c>
      <c r="T10" s="9">
        <v>1640</v>
      </c>
      <c r="U10" s="14">
        <v>0.37878787517547602</v>
      </c>
      <c r="V10" s="12" t="s">
        <v>169</v>
      </c>
      <c r="W10" s="9"/>
      <c r="X10" s="9"/>
    </row>
    <row r="11" spans="1:24" x14ac:dyDescent="0.35">
      <c r="A11" s="3">
        <v>6</v>
      </c>
      <c r="B11" s="3" t="s">
        <v>48</v>
      </c>
      <c r="C11" s="8">
        <v>43830.583333333299</v>
      </c>
      <c r="D11" s="8">
        <v>43832.583333333299</v>
      </c>
      <c r="E11" s="12" t="s">
        <v>51</v>
      </c>
      <c r="F11" s="12" t="s">
        <v>52</v>
      </c>
      <c r="G11" s="9">
        <v>448</v>
      </c>
      <c r="H11" s="9">
        <v>1802.5</v>
      </c>
      <c r="I11" s="9">
        <v>0</v>
      </c>
      <c r="J11" s="9">
        <v>0</v>
      </c>
      <c r="K11" s="9">
        <v>2250.5</v>
      </c>
      <c r="L11" s="7">
        <v>43808.541666666701</v>
      </c>
      <c r="M11" s="3" t="s">
        <v>41</v>
      </c>
      <c r="N11" s="9">
        <v>2314.5</v>
      </c>
      <c r="O11" s="9">
        <v>0</v>
      </c>
      <c r="P11" s="12" t="s">
        <v>24</v>
      </c>
      <c r="Q11" s="9">
        <v>0</v>
      </c>
      <c r="R11" s="11">
        <v>0</v>
      </c>
      <c r="S11" s="10">
        <v>2314.5</v>
      </c>
      <c r="T11" s="9">
        <v>0</v>
      </c>
      <c r="U11" s="14">
        <v>1</v>
      </c>
      <c r="V11" s="12" t="s">
        <v>166</v>
      </c>
      <c r="W11" s="9"/>
      <c r="X11" s="9"/>
    </row>
    <row r="12" spans="1:24" x14ac:dyDescent="0.35">
      <c r="A12" s="3">
        <v>7</v>
      </c>
      <c r="B12" s="3" t="s">
        <v>53</v>
      </c>
      <c r="C12" s="8">
        <v>43815.416666666701</v>
      </c>
      <c r="D12" s="8">
        <v>43822.416666666701</v>
      </c>
      <c r="E12" s="12" t="s">
        <v>56</v>
      </c>
      <c r="F12" s="12" t="s">
        <v>57</v>
      </c>
      <c r="G12" s="9">
        <v>672</v>
      </c>
      <c r="H12" s="9">
        <v>1970.5</v>
      </c>
      <c r="I12" s="9">
        <v>0</v>
      </c>
      <c r="J12" s="9">
        <v>0</v>
      </c>
      <c r="K12" s="9">
        <v>2642.5</v>
      </c>
      <c r="L12" s="7">
        <v>43815.541666666701</v>
      </c>
      <c r="M12" s="3" t="s">
        <v>176</v>
      </c>
      <c r="N12" s="9">
        <v>2258.5</v>
      </c>
      <c r="O12" s="9">
        <v>608</v>
      </c>
      <c r="P12" s="12" t="s">
        <v>199</v>
      </c>
      <c r="Q12" s="9">
        <v>0</v>
      </c>
      <c r="R12" s="11">
        <v>0</v>
      </c>
      <c r="S12" s="10">
        <v>2258.5</v>
      </c>
      <c r="T12" s="9">
        <v>608</v>
      </c>
      <c r="U12" s="14">
        <v>0.32142856717109702</v>
      </c>
      <c r="V12" s="12" t="s">
        <v>169</v>
      </c>
      <c r="W12" s="9"/>
      <c r="X12" s="9"/>
    </row>
    <row r="13" spans="1:24" ht="22" x14ac:dyDescent="0.35">
      <c r="A13" s="3">
        <v>8</v>
      </c>
      <c r="B13" s="3" t="s">
        <v>58</v>
      </c>
      <c r="C13" s="8">
        <v>43831.583333333299</v>
      </c>
      <c r="D13" s="8">
        <v>43832.583333333299</v>
      </c>
      <c r="E13" s="12" t="s">
        <v>61</v>
      </c>
      <c r="F13" s="12" t="s">
        <v>57</v>
      </c>
      <c r="G13" s="9">
        <v>112</v>
      </c>
      <c r="H13" s="9">
        <v>602.5</v>
      </c>
      <c r="I13" s="9">
        <v>0</v>
      </c>
      <c r="J13" s="9">
        <v>0</v>
      </c>
      <c r="K13" s="9">
        <v>714.5</v>
      </c>
      <c r="L13" s="3"/>
      <c r="M13" s="3" t="s">
        <v>24</v>
      </c>
      <c r="N13" s="9">
        <v>0</v>
      </c>
      <c r="O13" s="9">
        <v>714.5</v>
      </c>
      <c r="P13" s="12" t="s">
        <v>61</v>
      </c>
      <c r="Q13" s="9">
        <v>0</v>
      </c>
      <c r="R13" s="11">
        <v>0</v>
      </c>
      <c r="S13" s="10">
        <v>0</v>
      </c>
      <c r="T13" s="9">
        <v>714.5</v>
      </c>
      <c r="U13" s="14">
        <v>0</v>
      </c>
      <c r="V13" s="12" t="s">
        <v>170</v>
      </c>
      <c r="W13" s="9"/>
      <c r="X13" s="9"/>
    </row>
    <row r="14" spans="1:24" x14ac:dyDescent="0.35">
      <c r="A14" s="3">
        <v>9</v>
      </c>
      <c r="B14" s="3" t="s">
        <v>62</v>
      </c>
      <c r="C14" s="8">
        <v>43829.583333333299</v>
      </c>
      <c r="D14" s="8">
        <v>43830.583333333299</v>
      </c>
      <c r="E14" s="12" t="s">
        <v>61</v>
      </c>
      <c r="F14" s="12" t="s">
        <v>57</v>
      </c>
      <c r="G14" s="9">
        <v>112</v>
      </c>
      <c r="H14" s="9">
        <v>602.5</v>
      </c>
      <c r="I14" s="9">
        <v>0</v>
      </c>
      <c r="J14" s="9">
        <v>0</v>
      </c>
      <c r="K14" s="9">
        <v>714.5</v>
      </c>
      <c r="L14" s="3"/>
      <c r="M14" s="3" t="s">
        <v>24</v>
      </c>
      <c r="N14" s="9">
        <v>0</v>
      </c>
      <c r="O14" s="9">
        <v>714.5</v>
      </c>
      <c r="P14" s="12" t="s">
        <v>61</v>
      </c>
      <c r="Q14" s="9">
        <v>0</v>
      </c>
      <c r="R14" s="11">
        <v>0</v>
      </c>
      <c r="S14" s="10">
        <v>0</v>
      </c>
      <c r="T14" s="9">
        <v>714.5</v>
      </c>
      <c r="U14" s="14">
        <v>0</v>
      </c>
      <c r="V14" s="12" t="s">
        <v>170</v>
      </c>
      <c r="W14" s="9"/>
      <c r="X14" s="9"/>
    </row>
    <row r="15" spans="1:24" ht="22" x14ac:dyDescent="0.35">
      <c r="A15" s="3">
        <v>10</v>
      </c>
      <c r="B15" s="3" t="s">
        <v>64</v>
      </c>
      <c r="C15" s="8">
        <v>43829.375</v>
      </c>
      <c r="D15" s="8">
        <v>43829.708333333299</v>
      </c>
      <c r="E15" s="12" t="s">
        <v>61</v>
      </c>
      <c r="F15" s="12" t="s">
        <v>67</v>
      </c>
      <c r="G15" s="9">
        <v>56</v>
      </c>
      <c r="H15" s="9">
        <v>602.5</v>
      </c>
      <c r="I15" s="9">
        <v>0</v>
      </c>
      <c r="J15" s="9">
        <v>0</v>
      </c>
      <c r="K15" s="9">
        <v>658.5</v>
      </c>
      <c r="L15" s="3"/>
      <c r="M15" s="3" t="s">
        <v>24</v>
      </c>
      <c r="N15" s="9">
        <v>0</v>
      </c>
      <c r="O15" s="9">
        <v>658.5</v>
      </c>
      <c r="P15" s="12" t="s">
        <v>61</v>
      </c>
      <c r="Q15" s="9">
        <v>0</v>
      </c>
      <c r="R15" s="11">
        <v>0</v>
      </c>
      <c r="S15" s="10">
        <v>0</v>
      </c>
      <c r="T15" s="9">
        <v>658.5</v>
      </c>
      <c r="U15" s="14">
        <v>0</v>
      </c>
      <c r="V15" s="12" t="s">
        <v>170</v>
      </c>
      <c r="W15" s="9"/>
      <c r="X15" s="9"/>
    </row>
    <row r="16" spans="1:24" x14ac:dyDescent="0.35">
      <c r="A16" s="3">
        <v>11</v>
      </c>
      <c r="B16" s="3" t="s">
        <v>68</v>
      </c>
      <c r="C16" s="8">
        <v>43813.416666666701</v>
      </c>
      <c r="D16" s="8">
        <v>43815.416666666701</v>
      </c>
      <c r="E16" s="12" t="s">
        <v>61</v>
      </c>
      <c r="F16" s="12" t="s">
        <v>67</v>
      </c>
      <c r="G16" s="9">
        <v>56</v>
      </c>
      <c r="H16" s="9">
        <v>602.5</v>
      </c>
      <c r="I16" s="9">
        <v>0</v>
      </c>
      <c r="J16" s="9">
        <v>0</v>
      </c>
      <c r="K16" s="9">
        <v>658.5</v>
      </c>
      <c r="L16" s="3"/>
      <c r="M16" s="3" t="s">
        <v>24</v>
      </c>
      <c r="N16" s="9">
        <v>0</v>
      </c>
      <c r="O16" s="9">
        <v>658.5</v>
      </c>
      <c r="P16" s="12" t="s">
        <v>61</v>
      </c>
      <c r="Q16" s="9">
        <v>0</v>
      </c>
      <c r="R16" s="11">
        <v>0</v>
      </c>
      <c r="S16" s="10">
        <v>0</v>
      </c>
      <c r="T16" s="9">
        <v>658.5</v>
      </c>
      <c r="U16" s="14">
        <v>0</v>
      </c>
      <c r="V16" s="12" t="s">
        <v>170</v>
      </c>
      <c r="W16" s="9"/>
      <c r="X16" s="9"/>
    </row>
    <row r="17" spans="1:24" ht="22" x14ac:dyDescent="0.35">
      <c r="A17" s="3">
        <v>13</v>
      </c>
      <c r="B17" s="3" t="s">
        <v>70</v>
      </c>
      <c r="C17" s="8">
        <v>43823.416666666701</v>
      </c>
      <c r="D17" s="8">
        <v>43823.583333333299</v>
      </c>
      <c r="E17" s="12" t="s">
        <v>29</v>
      </c>
      <c r="F17" s="12" t="s">
        <v>67</v>
      </c>
      <c r="G17" s="9">
        <v>24</v>
      </c>
      <c r="H17" s="9">
        <v>602.5</v>
      </c>
      <c r="I17" s="9">
        <v>0</v>
      </c>
      <c r="J17" s="9">
        <v>0</v>
      </c>
      <c r="K17" s="9">
        <v>626.5</v>
      </c>
      <c r="L17" s="7">
        <v>43811.458333333299</v>
      </c>
      <c r="M17" s="3" t="s">
        <v>29</v>
      </c>
      <c r="N17" s="9">
        <v>626.5</v>
      </c>
      <c r="O17" s="9">
        <v>0</v>
      </c>
      <c r="P17" s="12" t="s">
        <v>24</v>
      </c>
      <c r="Q17" s="9">
        <v>0</v>
      </c>
      <c r="R17" s="11">
        <v>0</v>
      </c>
      <c r="S17" s="10">
        <v>626.5</v>
      </c>
      <c r="T17" s="9">
        <v>0</v>
      </c>
      <c r="U17" s="14">
        <v>1</v>
      </c>
      <c r="V17" s="12" t="s">
        <v>166</v>
      </c>
      <c r="W17" s="9"/>
      <c r="X17" s="9"/>
    </row>
    <row r="18" spans="1:24" x14ac:dyDescent="0.35">
      <c r="A18" s="3">
        <v>14</v>
      </c>
      <c r="B18" s="3" t="s">
        <v>74</v>
      </c>
      <c r="C18" s="8">
        <v>43836.583333333299</v>
      </c>
      <c r="D18" s="8">
        <v>43838.583333333299</v>
      </c>
      <c r="E18" s="12" t="s">
        <v>51</v>
      </c>
      <c r="F18" s="12" t="s">
        <v>77</v>
      </c>
      <c r="G18" s="9">
        <v>672</v>
      </c>
      <c r="H18" s="9">
        <v>602.5</v>
      </c>
      <c r="I18" s="9">
        <v>0</v>
      </c>
      <c r="J18" s="9">
        <v>0</v>
      </c>
      <c r="K18" s="9">
        <v>1274.5</v>
      </c>
      <c r="L18" s="3"/>
      <c r="M18" s="3" t="s">
        <v>24</v>
      </c>
      <c r="N18" s="9">
        <v>0</v>
      </c>
      <c r="O18" s="9">
        <v>1274.5</v>
      </c>
      <c r="P18" s="12" t="s">
        <v>51</v>
      </c>
      <c r="Q18" s="9">
        <v>0</v>
      </c>
      <c r="R18" s="11">
        <v>0</v>
      </c>
      <c r="S18" s="10">
        <v>0</v>
      </c>
      <c r="T18" s="9">
        <v>1274.5</v>
      </c>
      <c r="U18" s="14">
        <v>0</v>
      </c>
      <c r="V18" s="12" t="s">
        <v>170</v>
      </c>
      <c r="W18" s="9"/>
      <c r="X18" s="9"/>
    </row>
    <row r="19" spans="1:24" x14ac:dyDescent="0.35">
      <c r="A19" s="3">
        <v>15</v>
      </c>
      <c r="B19" s="3" t="s">
        <v>78</v>
      </c>
      <c r="C19" s="8">
        <v>43829.583333333299</v>
      </c>
      <c r="D19" s="8">
        <v>43830.583333333299</v>
      </c>
      <c r="E19" s="12" t="s">
        <v>61</v>
      </c>
      <c r="F19" s="12" t="s">
        <v>57</v>
      </c>
      <c r="G19" s="9">
        <v>112</v>
      </c>
      <c r="H19" s="9">
        <v>602.5</v>
      </c>
      <c r="I19" s="9">
        <v>0</v>
      </c>
      <c r="J19" s="9">
        <v>0</v>
      </c>
      <c r="K19" s="9">
        <v>714.5</v>
      </c>
      <c r="L19" s="3"/>
      <c r="M19" s="3" t="s">
        <v>24</v>
      </c>
      <c r="N19" s="9">
        <v>0</v>
      </c>
      <c r="O19" s="9">
        <v>714.5</v>
      </c>
      <c r="P19" s="12" t="s">
        <v>61</v>
      </c>
      <c r="Q19" s="9">
        <v>0</v>
      </c>
      <c r="R19" s="11">
        <v>0</v>
      </c>
      <c r="S19" s="10">
        <v>0</v>
      </c>
      <c r="T19" s="9">
        <v>714.5</v>
      </c>
      <c r="U19" s="14">
        <v>0</v>
      </c>
      <c r="V19" s="12" t="s">
        <v>170</v>
      </c>
      <c r="W19" s="9"/>
      <c r="X19" s="9"/>
    </row>
    <row r="20" spans="1:24" x14ac:dyDescent="0.35">
      <c r="A20" s="3">
        <v>16</v>
      </c>
      <c r="B20" s="3" t="s">
        <v>80</v>
      </c>
      <c r="C20" s="8">
        <v>43827.416666666701</v>
      </c>
      <c r="D20" s="8">
        <v>43827.583333333299</v>
      </c>
      <c r="E20" s="12" t="s">
        <v>29</v>
      </c>
      <c r="F20" s="12" t="s">
        <v>57</v>
      </c>
      <c r="G20" s="9">
        <v>48</v>
      </c>
      <c r="H20" s="9">
        <v>602.5</v>
      </c>
      <c r="I20" s="9">
        <v>0</v>
      </c>
      <c r="J20" s="9">
        <v>0</v>
      </c>
      <c r="K20" s="9">
        <v>650.5</v>
      </c>
      <c r="L20" s="7">
        <v>43813.666666666701</v>
      </c>
      <c r="M20" s="3" t="s">
        <v>167</v>
      </c>
      <c r="N20" s="9">
        <v>666.5</v>
      </c>
      <c r="O20" s="9">
        <v>0</v>
      </c>
      <c r="P20" s="12" t="s">
        <v>24</v>
      </c>
      <c r="Q20" s="9">
        <v>0</v>
      </c>
      <c r="R20" s="11">
        <v>0</v>
      </c>
      <c r="S20" s="10">
        <v>666.5</v>
      </c>
      <c r="T20" s="9">
        <v>0</v>
      </c>
      <c r="U20" s="14">
        <v>1</v>
      </c>
      <c r="V20" s="12" t="s">
        <v>166</v>
      </c>
      <c r="W20" s="9"/>
      <c r="X20" s="9"/>
    </row>
    <row r="21" spans="1:24" x14ac:dyDescent="0.35">
      <c r="A21" s="3">
        <v>17</v>
      </c>
      <c r="B21" s="3" t="s">
        <v>82</v>
      </c>
      <c r="C21" s="8">
        <v>43822.416666666701</v>
      </c>
      <c r="D21" s="8">
        <v>43823.416666666701</v>
      </c>
      <c r="E21" s="12" t="s">
        <v>61</v>
      </c>
      <c r="F21" s="12" t="s">
        <v>85</v>
      </c>
      <c r="G21" s="9">
        <v>140</v>
      </c>
      <c r="H21" s="9">
        <v>3302.5</v>
      </c>
      <c r="I21" s="9">
        <v>0</v>
      </c>
      <c r="J21" s="9">
        <v>0</v>
      </c>
      <c r="K21" s="9">
        <v>3442.5</v>
      </c>
      <c r="L21" s="7">
        <v>43810.625</v>
      </c>
      <c r="M21" s="3" t="s">
        <v>167</v>
      </c>
      <c r="N21" s="9">
        <v>3382.5</v>
      </c>
      <c r="O21" s="9">
        <v>0</v>
      </c>
      <c r="P21" s="12" t="s">
        <v>24</v>
      </c>
      <c r="Q21" s="9">
        <v>0</v>
      </c>
      <c r="R21" s="11">
        <v>0</v>
      </c>
      <c r="S21" s="10">
        <v>3382.5</v>
      </c>
      <c r="T21" s="9">
        <v>0</v>
      </c>
      <c r="U21" s="14">
        <v>1</v>
      </c>
      <c r="V21" s="12" t="s">
        <v>166</v>
      </c>
      <c r="W21" s="9"/>
      <c r="X21" s="9"/>
    </row>
    <row r="22" spans="1:24" x14ac:dyDescent="0.35">
      <c r="A22" s="3">
        <v>18</v>
      </c>
      <c r="B22" s="3" t="s">
        <v>86</v>
      </c>
      <c r="C22" s="8">
        <v>43832.583333333299</v>
      </c>
      <c r="D22" s="8">
        <v>43833.583333333299</v>
      </c>
      <c r="E22" s="12" t="s">
        <v>61</v>
      </c>
      <c r="F22" s="12" t="s">
        <v>57</v>
      </c>
      <c r="G22" s="9">
        <v>112</v>
      </c>
      <c r="H22" s="9">
        <v>602.5</v>
      </c>
      <c r="I22" s="9">
        <v>0</v>
      </c>
      <c r="J22" s="9">
        <v>0</v>
      </c>
      <c r="K22" s="9">
        <v>714.5</v>
      </c>
      <c r="L22" s="3"/>
      <c r="M22" s="3" t="s">
        <v>24</v>
      </c>
      <c r="N22" s="9">
        <v>0</v>
      </c>
      <c r="O22" s="9">
        <v>714.5</v>
      </c>
      <c r="P22" s="12" t="s">
        <v>61</v>
      </c>
      <c r="Q22" s="9">
        <v>0</v>
      </c>
      <c r="R22" s="11">
        <v>0</v>
      </c>
      <c r="S22" s="10">
        <v>0</v>
      </c>
      <c r="T22" s="9">
        <v>714.5</v>
      </c>
      <c r="U22" s="14">
        <v>0</v>
      </c>
      <c r="V22" s="12" t="s">
        <v>170</v>
      </c>
      <c r="W22" s="9"/>
      <c r="X22" s="9"/>
    </row>
    <row r="23" spans="1:24" ht="22" x14ac:dyDescent="0.35">
      <c r="A23" s="3">
        <v>19</v>
      </c>
      <c r="B23" s="3" t="s">
        <v>88</v>
      </c>
      <c r="C23" s="8">
        <v>43833.583333333299</v>
      </c>
      <c r="D23" s="8">
        <v>43836.583333333299</v>
      </c>
      <c r="E23" s="12" t="s">
        <v>51</v>
      </c>
      <c r="F23" s="12" t="s">
        <v>77</v>
      </c>
      <c r="G23" s="9">
        <v>672</v>
      </c>
      <c r="H23" s="9">
        <v>2252.5</v>
      </c>
      <c r="I23" s="9">
        <v>0</v>
      </c>
      <c r="J23" s="9">
        <v>0</v>
      </c>
      <c r="K23" s="9">
        <v>2924.5</v>
      </c>
      <c r="L23" s="3"/>
      <c r="M23" s="3" t="s">
        <v>24</v>
      </c>
      <c r="N23" s="9">
        <v>0</v>
      </c>
      <c r="O23" s="9">
        <v>2924.5</v>
      </c>
      <c r="P23" s="12" t="s">
        <v>51</v>
      </c>
      <c r="Q23" s="9">
        <v>0</v>
      </c>
      <c r="R23" s="11">
        <v>0</v>
      </c>
      <c r="S23" s="10">
        <v>0</v>
      </c>
      <c r="T23" s="9">
        <v>2924.5</v>
      </c>
      <c r="U23" s="14">
        <v>0</v>
      </c>
      <c r="V23" s="12" t="s">
        <v>170</v>
      </c>
      <c r="W23" s="9"/>
      <c r="X23" s="9"/>
    </row>
    <row r="24" spans="1:24" x14ac:dyDescent="0.35">
      <c r="A24" s="3">
        <v>20</v>
      </c>
      <c r="B24" s="3" t="s">
        <v>91</v>
      </c>
      <c r="C24" s="8">
        <v>43824.416666666701</v>
      </c>
      <c r="D24" s="8">
        <v>43825.416666666701</v>
      </c>
      <c r="E24" s="12" t="s">
        <v>61</v>
      </c>
      <c r="F24" s="12" t="s">
        <v>67</v>
      </c>
      <c r="G24" s="9">
        <v>56</v>
      </c>
      <c r="H24" s="9">
        <v>28602.5</v>
      </c>
      <c r="I24" s="9">
        <v>0</v>
      </c>
      <c r="J24" s="9">
        <v>0</v>
      </c>
      <c r="K24" s="9">
        <v>28658.5</v>
      </c>
      <c r="L24" s="7">
        <v>43811.458333333299</v>
      </c>
      <c r="M24" s="3" t="s">
        <v>174</v>
      </c>
      <c r="N24" s="9">
        <v>28642.5</v>
      </c>
      <c r="O24" s="9">
        <v>0</v>
      </c>
      <c r="P24" s="12" t="s">
        <v>24</v>
      </c>
      <c r="Q24" s="9">
        <v>0</v>
      </c>
      <c r="R24" s="11">
        <v>0</v>
      </c>
      <c r="S24" s="10">
        <v>28642.5</v>
      </c>
      <c r="T24" s="9">
        <v>0</v>
      </c>
      <c r="U24" s="14">
        <v>1</v>
      </c>
      <c r="V24" s="12" t="s">
        <v>166</v>
      </c>
      <c r="W24" s="9"/>
      <c r="X24" s="9"/>
    </row>
    <row r="25" spans="1:24" ht="22" x14ac:dyDescent="0.35">
      <c r="A25" s="3">
        <v>21</v>
      </c>
      <c r="B25" s="3" t="s">
        <v>95</v>
      </c>
      <c r="C25" s="8">
        <v>43830.583333333299</v>
      </c>
      <c r="D25" s="8">
        <v>43831.583333333299</v>
      </c>
      <c r="E25" s="12" t="s">
        <v>61</v>
      </c>
      <c r="F25" s="12" t="s">
        <v>36</v>
      </c>
      <c r="G25" s="9">
        <v>168</v>
      </c>
      <c r="H25" s="9">
        <v>3677.5</v>
      </c>
      <c r="I25" s="9">
        <v>0</v>
      </c>
      <c r="J25" s="9">
        <v>0</v>
      </c>
      <c r="K25" s="9">
        <v>3845.5</v>
      </c>
      <c r="L25" s="3"/>
      <c r="M25" s="3" t="s">
        <v>24</v>
      </c>
      <c r="N25" s="9">
        <v>0</v>
      </c>
      <c r="O25" s="9">
        <v>3845.5</v>
      </c>
      <c r="P25" s="12" t="s">
        <v>61</v>
      </c>
      <c r="Q25" s="9">
        <v>0</v>
      </c>
      <c r="R25" s="11">
        <v>0</v>
      </c>
      <c r="S25" s="10">
        <v>0</v>
      </c>
      <c r="T25" s="9">
        <v>3845.5</v>
      </c>
      <c r="U25" s="14">
        <v>0</v>
      </c>
      <c r="V25" s="12" t="s">
        <v>170</v>
      </c>
      <c r="W25" s="9"/>
      <c r="X25" s="9"/>
    </row>
    <row r="26" spans="1:24" x14ac:dyDescent="0.35">
      <c r="A26" s="3">
        <v>22</v>
      </c>
      <c r="B26" s="3" t="s">
        <v>98</v>
      </c>
      <c r="C26" s="8">
        <v>43825.416666666701</v>
      </c>
      <c r="D26" s="8">
        <v>43826.416666666701</v>
      </c>
      <c r="E26" s="12" t="s">
        <v>61</v>
      </c>
      <c r="F26" s="12" t="s">
        <v>67</v>
      </c>
      <c r="G26" s="9">
        <v>56</v>
      </c>
      <c r="H26" s="9">
        <v>602.5</v>
      </c>
      <c r="I26" s="9">
        <v>0</v>
      </c>
      <c r="J26" s="9">
        <v>0</v>
      </c>
      <c r="K26" s="9">
        <v>658.5</v>
      </c>
      <c r="L26" s="7">
        <v>43812.375</v>
      </c>
      <c r="M26" s="3" t="s">
        <v>124</v>
      </c>
      <c r="N26" s="9">
        <v>650.5</v>
      </c>
      <c r="O26" s="9">
        <v>0</v>
      </c>
      <c r="P26" s="12" t="s">
        <v>24</v>
      </c>
      <c r="Q26" s="9">
        <v>0</v>
      </c>
      <c r="R26" s="11">
        <v>0</v>
      </c>
      <c r="S26" s="10">
        <v>650.5</v>
      </c>
      <c r="T26" s="9">
        <v>0</v>
      </c>
      <c r="U26" s="14">
        <v>1</v>
      </c>
      <c r="V26" s="12" t="s">
        <v>166</v>
      </c>
      <c r="W26" s="9"/>
      <c r="X26" s="9"/>
    </row>
    <row r="27" spans="1:24" x14ac:dyDescent="0.35">
      <c r="A27" s="3">
        <v>23</v>
      </c>
      <c r="B27" s="3" t="s">
        <v>101</v>
      </c>
      <c r="C27" s="8">
        <v>43832.583333333299</v>
      </c>
      <c r="D27" s="8">
        <v>43833.583333333299</v>
      </c>
      <c r="E27" s="12" t="s">
        <v>61</v>
      </c>
      <c r="F27" s="12" t="s">
        <v>52</v>
      </c>
      <c r="G27" s="9">
        <v>224</v>
      </c>
      <c r="H27" s="9">
        <v>43602.5</v>
      </c>
      <c r="I27" s="9">
        <v>0</v>
      </c>
      <c r="J27" s="9">
        <v>0</v>
      </c>
      <c r="K27" s="9">
        <v>43826.5</v>
      </c>
      <c r="L27" s="3"/>
      <c r="M27" s="3" t="s">
        <v>24</v>
      </c>
      <c r="N27" s="9">
        <v>0</v>
      </c>
      <c r="O27" s="9">
        <v>43826.5</v>
      </c>
      <c r="P27" s="12" t="s">
        <v>61</v>
      </c>
      <c r="Q27" s="9">
        <v>0</v>
      </c>
      <c r="R27" s="11">
        <v>0</v>
      </c>
      <c r="S27" s="10">
        <v>0</v>
      </c>
      <c r="T27" s="9">
        <v>43826.5</v>
      </c>
      <c r="U27" s="14">
        <v>0</v>
      </c>
      <c r="V27" s="12" t="s">
        <v>170</v>
      </c>
      <c r="W27" s="9"/>
      <c r="X27" s="9"/>
    </row>
    <row r="28" spans="1:24" x14ac:dyDescent="0.35">
      <c r="A28" s="3">
        <v>24</v>
      </c>
      <c r="B28" s="3" t="s">
        <v>103</v>
      </c>
      <c r="C28" s="8">
        <v>43826.416666666701</v>
      </c>
      <c r="D28" s="8">
        <v>43827.416666666701</v>
      </c>
      <c r="E28" s="12" t="s">
        <v>61</v>
      </c>
      <c r="F28" s="12" t="s">
        <v>67</v>
      </c>
      <c r="G28" s="9">
        <v>56</v>
      </c>
      <c r="H28" s="9">
        <v>1577.5</v>
      </c>
      <c r="I28" s="9">
        <v>0</v>
      </c>
      <c r="J28" s="9">
        <v>0</v>
      </c>
      <c r="K28" s="9">
        <v>1633.5</v>
      </c>
      <c r="L28" s="7">
        <v>43812.666666666701</v>
      </c>
      <c r="M28" s="3" t="s">
        <v>61</v>
      </c>
      <c r="N28" s="9">
        <v>1633.5</v>
      </c>
      <c r="O28" s="9">
        <v>0</v>
      </c>
      <c r="P28" s="12" t="s">
        <v>24</v>
      </c>
      <c r="Q28" s="9">
        <v>0</v>
      </c>
      <c r="R28" s="11">
        <v>0</v>
      </c>
      <c r="S28" s="10">
        <v>1633.5</v>
      </c>
      <c r="T28" s="9">
        <v>0</v>
      </c>
      <c r="U28" s="14">
        <v>1</v>
      </c>
      <c r="V28" s="12" t="s">
        <v>166</v>
      </c>
      <c r="W28" s="9"/>
      <c r="X28" s="9"/>
    </row>
    <row r="29" spans="1:24" x14ac:dyDescent="0.35">
      <c r="A29" s="3">
        <v>25</v>
      </c>
      <c r="B29" s="3" t="s">
        <v>106</v>
      </c>
      <c r="C29" s="8">
        <v>43813.416666666701</v>
      </c>
      <c r="D29" s="8">
        <v>43815.416666666701</v>
      </c>
      <c r="E29" s="12" t="s">
        <v>61</v>
      </c>
      <c r="F29" s="12" t="s">
        <v>67</v>
      </c>
      <c r="G29" s="9">
        <v>56</v>
      </c>
      <c r="H29" s="9">
        <v>2524.5</v>
      </c>
      <c r="I29" s="9">
        <v>0</v>
      </c>
      <c r="J29" s="9">
        <v>0</v>
      </c>
      <c r="K29" s="9">
        <v>2580.5</v>
      </c>
      <c r="L29" s="7">
        <v>43812.541666666701</v>
      </c>
      <c r="M29" s="3" t="s">
        <v>61</v>
      </c>
      <c r="N29" s="9">
        <v>2580.5</v>
      </c>
      <c r="O29" s="9">
        <v>0</v>
      </c>
      <c r="P29" s="12" t="s">
        <v>24</v>
      </c>
      <c r="Q29" s="9">
        <v>0</v>
      </c>
      <c r="R29" s="11">
        <v>0</v>
      </c>
      <c r="S29" s="10">
        <v>2580.5</v>
      </c>
      <c r="T29" s="9">
        <v>0</v>
      </c>
      <c r="U29" s="14">
        <v>1</v>
      </c>
      <c r="V29" s="12" t="s">
        <v>166</v>
      </c>
      <c r="W29" s="9"/>
      <c r="X29" s="9"/>
    </row>
    <row r="30" spans="1:24" x14ac:dyDescent="0.35">
      <c r="A30" s="3">
        <v>26</v>
      </c>
      <c r="B30" s="3" t="s">
        <v>108</v>
      </c>
      <c r="C30" s="8">
        <v>43829.583333333299</v>
      </c>
      <c r="D30" s="8">
        <v>43830.583333333299</v>
      </c>
      <c r="E30" s="12" t="s">
        <v>61</v>
      </c>
      <c r="F30" s="12" t="s">
        <v>57</v>
      </c>
      <c r="G30" s="9">
        <v>112</v>
      </c>
      <c r="H30" s="9">
        <v>3442.30004882813</v>
      </c>
      <c r="I30" s="9">
        <v>0</v>
      </c>
      <c r="J30" s="9">
        <v>0</v>
      </c>
      <c r="K30" s="9">
        <v>3554.30004882813</v>
      </c>
      <c r="L30" s="3"/>
      <c r="M30" s="3" t="s">
        <v>24</v>
      </c>
      <c r="N30" s="9">
        <v>0</v>
      </c>
      <c r="O30" s="9">
        <v>3554.30004882813</v>
      </c>
      <c r="P30" s="12" t="s">
        <v>61</v>
      </c>
      <c r="Q30" s="9">
        <v>0</v>
      </c>
      <c r="R30" s="11">
        <v>0</v>
      </c>
      <c r="S30" s="10">
        <v>0</v>
      </c>
      <c r="T30" s="9">
        <v>3554.30004882813</v>
      </c>
      <c r="U30" s="14">
        <v>0</v>
      </c>
      <c r="V30" s="12" t="s">
        <v>170</v>
      </c>
      <c r="W30" s="9"/>
      <c r="X30" s="9"/>
    </row>
    <row r="31" spans="1:24" x14ac:dyDescent="0.35">
      <c r="A31" s="3">
        <v>27</v>
      </c>
      <c r="B31" s="3" t="s">
        <v>110</v>
      </c>
      <c r="C31" s="8">
        <v>43823.416666666701</v>
      </c>
      <c r="D31" s="8">
        <v>43824.416666666701</v>
      </c>
      <c r="E31" s="12" t="s">
        <v>61</v>
      </c>
      <c r="F31" s="12" t="s">
        <v>67</v>
      </c>
      <c r="G31" s="9">
        <v>56</v>
      </c>
      <c r="H31" s="9">
        <v>2972.5</v>
      </c>
      <c r="I31" s="9">
        <v>0</v>
      </c>
      <c r="J31" s="9">
        <v>0</v>
      </c>
      <c r="K31" s="9">
        <v>3028.5</v>
      </c>
      <c r="L31" s="7">
        <v>43810.625</v>
      </c>
      <c r="M31" s="3" t="s">
        <v>167</v>
      </c>
      <c r="N31" s="9">
        <v>3004.5</v>
      </c>
      <c r="O31" s="9">
        <v>0</v>
      </c>
      <c r="P31" s="12" t="s">
        <v>24</v>
      </c>
      <c r="Q31" s="9">
        <v>0</v>
      </c>
      <c r="R31" s="11">
        <v>0</v>
      </c>
      <c r="S31" s="10">
        <v>3004.5</v>
      </c>
      <c r="T31" s="9">
        <v>0</v>
      </c>
      <c r="U31" s="14">
        <v>1</v>
      </c>
      <c r="V31" s="12" t="s">
        <v>166</v>
      </c>
      <c r="W31" s="9"/>
      <c r="X31" s="9"/>
    </row>
    <row r="32" spans="1:24" x14ac:dyDescent="0.35">
      <c r="A32" s="3">
        <v>28</v>
      </c>
      <c r="B32" s="3" t="s">
        <v>113</v>
      </c>
      <c r="C32" s="8">
        <v>43832.583333333299</v>
      </c>
      <c r="D32" s="8">
        <v>43833.583333333299</v>
      </c>
      <c r="E32" s="12" t="s">
        <v>61</v>
      </c>
      <c r="F32" s="12" t="s">
        <v>67</v>
      </c>
      <c r="G32" s="9">
        <v>56</v>
      </c>
      <c r="H32" s="9">
        <v>1586.5</v>
      </c>
      <c r="I32" s="9">
        <v>0</v>
      </c>
      <c r="J32" s="9">
        <v>0</v>
      </c>
      <c r="K32" s="9">
        <v>1642.5</v>
      </c>
      <c r="L32" s="7">
        <v>43810.625</v>
      </c>
      <c r="M32" s="3" t="s">
        <v>185</v>
      </c>
      <c r="N32" s="9">
        <v>1666.5</v>
      </c>
      <c r="O32" s="9">
        <v>0</v>
      </c>
      <c r="P32" s="12" t="s">
        <v>24</v>
      </c>
      <c r="Q32" s="9">
        <v>0</v>
      </c>
      <c r="R32" s="11">
        <v>0</v>
      </c>
      <c r="S32" s="10">
        <v>1666.5</v>
      </c>
      <c r="T32" s="9">
        <v>0</v>
      </c>
      <c r="U32" s="14">
        <v>1</v>
      </c>
      <c r="V32" s="12" t="s">
        <v>166</v>
      </c>
      <c r="W32" s="9"/>
      <c r="X32" s="9"/>
    </row>
    <row r="33" spans="1:24" ht="22" x14ac:dyDescent="0.35">
      <c r="A33" s="3">
        <v>29</v>
      </c>
      <c r="B33" s="3" t="s">
        <v>117</v>
      </c>
      <c r="C33" s="8">
        <v>43833.583333333299</v>
      </c>
      <c r="D33" s="8">
        <v>43833.708333333299</v>
      </c>
      <c r="E33" s="12" t="s">
        <v>29</v>
      </c>
      <c r="F33" s="12" t="s">
        <v>67</v>
      </c>
      <c r="G33" s="9">
        <v>24</v>
      </c>
      <c r="H33" s="9">
        <v>602.5</v>
      </c>
      <c r="I33" s="9">
        <v>0</v>
      </c>
      <c r="J33" s="9">
        <v>0</v>
      </c>
      <c r="K33" s="9">
        <v>626.5</v>
      </c>
      <c r="L33" s="7">
        <v>43812.416666666701</v>
      </c>
      <c r="M33" s="3" t="s">
        <v>177</v>
      </c>
      <c r="N33" s="9">
        <v>618.5</v>
      </c>
      <c r="O33" s="9">
        <v>0</v>
      </c>
      <c r="P33" s="12" t="s">
        <v>24</v>
      </c>
      <c r="Q33" s="9">
        <v>0</v>
      </c>
      <c r="R33" s="11">
        <v>0</v>
      </c>
      <c r="S33" s="10">
        <v>618.5</v>
      </c>
      <c r="T33" s="9">
        <v>0</v>
      </c>
      <c r="U33" s="14">
        <v>1</v>
      </c>
      <c r="V33" s="12" t="s">
        <v>166</v>
      </c>
      <c r="W33" s="9"/>
      <c r="X33" s="9"/>
    </row>
    <row r="34" spans="1:24" x14ac:dyDescent="0.35">
      <c r="A34" s="3">
        <v>30</v>
      </c>
      <c r="B34" s="3" t="s">
        <v>120</v>
      </c>
      <c r="C34" s="8">
        <v>43838.583333333299</v>
      </c>
      <c r="D34" s="8">
        <v>43839.5</v>
      </c>
      <c r="E34" s="12" t="s">
        <v>124</v>
      </c>
      <c r="F34" s="12" t="s">
        <v>67</v>
      </c>
      <c r="G34" s="9">
        <v>48</v>
      </c>
      <c r="H34" s="9">
        <v>602.5</v>
      </c>
      <c r="I34" s="9">
        <v>0</v>
      </c>
      <c r="J34" s="9">
        <v>0</v>
      </c>
      <c r="K34" s="9">
        <v>650.5</v>
      </c>
      <c r="L34" s="3"/>
      <c r="M34" s="3" t="s">
        <v>24</v>
      </c>
      <c r="N34" s="9">
        <v>0</v>
      </c>
      <c r="O34" s="9">
        <v>650.5</v>
      </c>
      <c r="P34" s="12" t="s">
        <v>124</v>
      </c>
      <c r="Q34" s="9">
        <v>0</v>
      </c>
      <c r="R34" s="11">
        <v>0</v>
      </c>
      <c r="S34" s="10">
        <v>0</v>
      </c>
      <c r="T34" s="9">
        <v>650.5</v>
      </c>
      <c r="U34" s="14">
        <v>0</v>
      </c>
      <c r="V34" s="12" t="s">
        <v>170</v>
      </c>
      <c r="W34" s="9"/>
      <c r="X34" s="9"/>
    </row>
    <row r="35" spans="1:24" x14ac:dyDescent="0.35">
      <c r="A35" s="3">
        <v>31</v>
      </c>
      <c r="B35" s="3" t="s">
        <v>125</v>
      </c>
      <c r="C35" s="8">
        <v>43839.5</v>
      </c>
      <c r="D35" s="8">
        <v>43839.5</v>
      </c>
      <c r="E35" s="12" t="s">
        <v>24</v>
      </c>
      <c r="F35" s="12"/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3"/>
      <c r="M35" s="3" t="s">
        <v>24</v>
      </c>
      <c r="N35" s="9">
        <v>0</v>
      </c>
      <c r="O35" s="9">
        <v>0</v>
      </c>
      <c r="P35" s="12" t="s">
        <v>24</v>
      </c>
      <c r="Q35" s="9">
        <v>0</v>
      </c>
      <c r="R35" s="11">
        <v>0</v>
      </c>
      <c r="S35" s="10">
        <v>0</v>
      </c>
      <c r="T35" s="9">
        <v>0</v>
      </c>
      <c r="U35" s="14">
        <v>0</v>
      </c>
      <c r="V35" s="12" t="s">
        <v>170</v>
      </c>
      <c r="W35" s="9"/>
      <c r="X35" s="9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Blad14"/>
  <dimension ref="A1:X35"/>
  <sheetViews>
    <sheetView topLeftCell="C1" workbookViewId="0">
      <selection activeCell="W5" sqref="W5:X35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150</v>
      </c>
      <c r="C1" s="7">
        <v>43818.708333333299</v>
      </c>
      <c r="E1" s="1" t="s">
        <v>151</v>
      </c>
      <c r="F1" s="4" t="s">
        <v>200</v>
      </c>
    </row>
    <row r="3" spans="1:24" x14ac:dyDescent="0.35">
      <c r="A3" s="24" t="s">
        <v>0</v>
      </c>
      <c r="B3" s="24"/>
      <c r="C3" s="24" t="s">
        <v>2</v>
      </c>
      <c r="D3" s="24"/>
      <c r="E3" s="24"/>
      <c r="F3" s="24" t="s">
        <v>3</v>
      </c>
      <c r="G3" s="24"/>
      <c r="H3" s="24" t="s">
        <v>4</v>
      </c>
      <c r="I3" s="24"/>
      <c r="J3" s="24"/>
      <c r="K3" s="24"/>
      <c r="L3" s="24" t="s">
        <v>152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153</v>
      </c>
      <c r="M4" s="1" t="s">
        <v>154</v>
      </c>
      <c r="N4" s="1" t="s">
        <v>155</v>
      </c>
      <c r="O4" s="1" t="s">
        <v>156</v>
      </c>
      <c r="P4" s="1" t="s">
        <v>157</v>
      </c>
      <c r="Q4" s="1" t="s">
        <v>158</v>
      </c>
      <c r="R4" s="1" t="s">
        <v>159</v>
      </c>
      <c r="S4" s="1" t="s">
        <v>160</v>
      </c>
      <c r="T4" s="1" t="s">
        <v>161</v>
      </c>
      <c r="U4" s="1" t="s">
        <v>162</v>
      </c>
      <c r="V4" s="1" t="s">
        <v>152</v>
      </c>
      <c r="W4" s="1" t="s">
        <v>163</v>
      </c>
      <c r="X4" s="1" t="s">
        <v>164</v>
      </c>
    </row>
    <row r="5" spans="1:24" x14ac:dyDescent="0.35">
      <c r="A5" s="2">
        <v>0</v>
      </c>
      <c r="B5" s="3" t="s">
        <v>18</v>
      </c>
      <c r="C5" s="5">
        <v>43808.375</v>
      </c>
      <c r="D5" s="5">
        <v>43839.5</v>
      </c>
      <c r="E5" s="2" t="s">
        <v>20</v>
      </c>
      <c r="F5" s="2"/>
      <c r="G5" s="6"/>
      <c r="H5" s="6">
        <v>118411.30004882799</v>
      </c>
      <c r="I5" s="6"/>
      <c r="J5" s="6"/>
      <c r="K5" s="6">
        <v>126955.30004882799</v>
      </c>
      <c r="L5" s="2"/>
      <c r="M5" s="2" t="s">
        <v>201</v>
      </c>
      <c r="N5" s="6"/>
      <c r="O5" s="6"/>
      <c r="P5" s="2"/>
      <c r="Q5" s="6"/>
      <c r="R5" s="6"/>
      <c r="S5" s="6">
        <v>64340.5</v>
      </c>
      <c r="T5" s="6"/>
      <c r="U5" s="13">
        <v>0.51080075940253</v>
      </c>
      <c r="V5" s="2"/>
      <c r="W5" s="6"/>
      <c r="X5" s="6"/>
    </row>
    <row r="6" spans="1:24" x14ac:dyDescent="0.35">
      <c r="A6" s="3">
        <v>1</v>
      </c>
      <c r="B6" s="3" t="s">
        <v>21</v>
      </c>
      <c r="C6" s="8">
        <v>43808.375</v>
      </c>
      <c r="D6" s="8">
        <v>43806.708333333299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43808.375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166</v>
      </c>
      <c r="W6" s="9"/>
      <c r="X6" s="9"/>
    </row>
    <row r="7" spans="1:24" ht="22" x14ac:dyDescent="0.35">
      <c r="A7" s="3">
        <v>2</v>
      </c>
      <c r="B7" s="3" t="s">
        <v>25</v>
      </c>
      <c r="C7" s="8">
        <v>43808.375</v>
      </c>
      <c r="D7" s="8">
        <v>43808.5</v>
      </c>
      <c r="E7" s="12" t="s">
        <v>29</v>
      </c>
      <c r="F7" s="12" t="s">
        <v>30</v>
      </c>
      <c r="G7" s="9">
        <v>36</v>
      </c>
      <c r="H7" s="9">
        <v>931.5</v>
      </c>
      <c r="I7" s="9">
        <v>0</v>
      </c>
      <c r="J7" s="9">
        <v>0</v>
      </c>
      <c r="K7" s="9">
        <v>967.5</v>
      </c>
      <c r="L7" s="7">
        <v>43808.375</v>
      </c>
      <c r="M7" s="3" t="s">
        <v>29</v>
      </c>
      <c r="N7" s="9">
        <v>967.5</v>
      </c>
      <c r="O7" s="9">
        <v>0</v>
      </c>
      <c r="P7" s="12" t="s">
        <v>24</v>
      </c>
      <c r="Q7" s="9">
        <v>0</v>
      </c>
      <c r="R7" s="11">
        <v>0</v>
      </c>
      <c r="S7" s="10">
        <v>967.5</v>
      </c>
      <c r="T7" s="9">
        <v>0</v>
      </c>
      <c r="U7" s="14">
        <v>1</v>
      </c>
      <c r="V7" s="12" t="s">
        <v>166</v>
      </c>
      <c r="W7" s="9"/>
      <c r="X7" s="9"/>
    </row>
    <row r="8" spans="1:24" x14ac:dyDescent="0.35">
      <c r="A8" s="3">
        <v>3</v>
      </c>
      <c r="B8" s="3" t="s">
        <v>31</v>
      </c>
      <c r="C8" s="8">
        <v>43808.541666666701</v>
      </c>
      <c r="D8" s="8">
        <v>43813.5</v>
      </c>
      <c r="E8" s="12" t="s">
        <v>35</v>
      </c>
      <c r="F8" s="12" t="s">
        <v>36</v>
      </c>
      <c r="G8" s="9">
        <v>840</v>
      </c>
      <c r="H8" s="9">
        <v>950.5</v>
      </c>
      <c r="I8" s="9">
        <v>0</v>
      </c>
      <c r="J8" s="9">
        <v>0</v>
      </c>
      <c r="K8" s="9">
        <v>1790.5</v>
      </c>
      <c r="L8" s="7">
        <v>43808.541666666701</v>
      </c>
      <c r="M8" s="3" t="s">
        <v>181</v>
      </c>
      <c r="N8" s="9">
        <v>1550.5</v>
      </c>
      <c r="O8" s="9">
        <v>0</v>
      </c>
      <c r="P8" s="12" t="s">
        <v>24</v>
      </c>
      <c r="Q8" s="9">
        <v>0</v>
      </c>
      <c r="R8" s="11">
        <v>0</v>
      </c>
      <c r="S8" s="10">
        <v>1550.5</v>
      </c>
      <c r="T8" s="9">
        <v>0</v>
      </c>
      <c r="U8" s="14">
        <v>1</v>
      </c>
      <c r="V8" s="12" t="s">
        <v>166</v>
      </c>
      <c r="W8" s="9"/>
      <c r="X8" s="9"/>
    </row>
    <row r="9" spans="1:24" x14ac:dyDescent="0.35">
      <c r="A9" s="3">
        <v>4</v>
      </c>
      <c r="B9" s="3" t="s">
        <v>37</v>
      </c>
      <c r="C9" s="8">
        <v>43813.541666666701</v>
      </c>
      <c r="D9" s="8">
        <v>43816.625</v>
      </c>
      <c r="E9" s="12" t="s">
        <v>41</v>
      </c>
      <c r="F9" s="12" t="s">
        <v>42</v>
      </c>
      <c r="G9" s="9">
        <v>640</v>
      </c>
      <c r="H9" s="9">
        <v>8819</v>
      </c>
      <c r="I9" s="9">
        <v>0</v>
      </c>
      <c r="J9" s="9">
        <v>0</v>
      </c>
      <c r="K9" s="9">
        <v>9459</v>
      </c>
      <c r="L9" s="7">
        <v>43812.375</v>
      </c>
      <c r="M9" s="3" t="s">
        <v>185</v>
      </c>
      <c r="N9" s="9">
        <v>9219</v>
      </c>
      <c r="O9" s="9">
        <v>0</v>
      </c>
      <c r="P9" s="12" t="s">
        <v>24</v>
      </c>
      <c r="Q9" s="9">
        <v>0</v>
      </c>
      <c r="R9" s="11">
        <v>0</v>
      </c>
      <c r="S9" s="10">
        <v>9219</v>
      </c>
      <c r="T9" s="9">
        <v>0</v>
      </c>
      <c r="U9" s="14">
        <v>1</v>
      </c>
      <c r="V9" s="12" t="s">
        <v>166</v>
      </c>
      <c r="W9" s="9"/>
      <c r="X9" s="9"/>
    </row>
    <row r="10" spans="1:24" ht="22" x14ac:dyDescent="0.35">
      <c r="A10" s="3">
        <v>5</v>
      </c>
      <c r="B10" s="3" t="s">
        <v>43</v>
      </c>
      <c r="C10" s="8">
        <v>43816.625</v>
      </c>
      <c r="D10" s="8">
        <v>43827.708333333299</v>
      </c>
      <c r="E10" s="12" t="s">
        <v>47</v>
      </c>
      <c r="F10" s="12" t="s">
        <v>42</v>
      </c>
      <c r="G10" s="9">
        <v>2880</v>
      </c>
      <c r="H10" s="9">
        <v>3166.5</v>
      </c>
      <c r="I10" s="9">
        <v>0</v>
      </c>
      <c r="J10" s="9">
        <v>0</v>
      </c>
      <c r="K10" s="9">
        <v>6046.5</v>
      </c>
      <c r="L10" s="7">
        <v>43813.541666666701</v>
      </c>
      <c r="M10" s="3" t="s">
        <v>202</v>
      </c>
      <c r="N10" s="9">
        <v>4446.5</v>
      </c>
      <c r="O10" s="9">
        <v>1360</v>
      </c>
      <c r="P10" s="12" t="s">
        <v>203</v>
      </c>
      <c r="Q10" s="9">
        <v>0</v>
      </c>
      <c r="R10" s="11">
        <v>0</v>
      </c>
      <c r="S10" s="10">
        <v>4446.5</v>
      </c>
      <c r="T10" s="9">
        <v>1360</v>
      </c>
      <c r="U10" s="14">
        <v>0.48484849929809598</v>
      </c>
      <c r="V10" s="12" t="s">
        <v>169</v>
      </c>
      <c r="W10" s="9"/>
      <c r="X10" s="9"/>
    </row>
    <row r="11" spans="1:24" x14ac:dyDescent="0.35">
      <c r="A11" s="3">
        <v>6</v>
      </c>
      <c r="B11" s="3" t="s">
        <v>48</v>
      </c>
      <c r="C11" s="8">
        <v>43830.583333333299</v>
      </c>
      <c r="D11" s="8">
        <v>43832.583333333299</v>
      </c>
      <c r="E11" s="12" t="s">
        <v>51</v>
      </c>
      <c r="F11" s="12" t="s">
        <v>52</v>
      </c>
      <c r="G11" s="9">
        <v>448</v>
      </c>
      <c r="H11" s="9">
        <v>1802.5</v>
      </c>
      <c r="I11" s="9">
        <v>0</v>
      </c>
      <c r="J11" s="9">
        <v>0</v>
      </c>
      <c r="K11" s="9">
        <v>2250.5</v>
      </c>
      <c r="L11" s="7">
        <v>43808.541666666701</v>
      </c>
      <c r="M11" s="3" t="s">
        <v>41</v>
      </c>
      <c r="N11" s="9">
        <v>2314.5</v>
      </c>
      <c r="O11" s="9">
        <v>0</v>
      </c>
      <c r="P11" s="12" t="s">
        <v>24</v>
      </c>
      <c r="Q11" s="9">
        <v>0</v>
      </c>
      <c r="R11" s="11">
        <v>0</v>
      </c>
      <c r="S11" s="10">
        <v>2314.5</v>
      </c>
      <c r="T11" s="9">
        <v>0</v>
      </c>
      <c r="U11" s="14">
        <v>1</v>
      </c>
      <c r="V11" s="12" t="s">
        <v>166</v>
      </c>
      <c r="W11" s="9"/>
      <c r="X11" s="9"/>
    </row>
    <row r="12" spans="1:24" x14ac:dyDescent="0.35">
      <c r="A12" s="3">
        <v>7</v>
      </c>
      <c r="B12" s="3" t="s">
        <v>53</v>
      </c>
      <c r="C12" s="8">
        <v>43815.416666666701</v>
      </c>
      <c r="D12" s="8">
        <v>43822.416666666701</v>
      </c>
      <c r="E12" s="12" t="s">
        <v>56</v>
      </c>
      <c r="F12" s="12" t="s">
        <v>57</v>
      </c>
      <c r="G12" s="9">
        <v>672</v>
      </c>
      <c r="H12" s="9">
        <v>1970.5</v>
      </c>
      <c r="I12" s="9">
        <v>0</v>
      </c>
      <c r="J12" s="9">
        <v>0</v>
      </c>
      <c r="K12" s="9">
        <v>2642.5</v>
      </c>
      <c r="L12" s="7">
        <v>43815.541666666701</v>
      </c>
      <c r="M12" s="3" t="s">
        <v>181</v>
      </c>
      <c r="N12" s="9">
        <v>2370.5</v>
      </c>
      <c r="O12" s="9">
        <v>496</v>
      </c>
      <c r="P12" s="12" t="s">
        <v>204</v>
      </c>
      <c r="Q12" s="9">
        <v>0</v>
      </c>
      <c r="R12" s="11">
        <v>0</v>
      </c>
      <c r="S12" s="10">
        <v>2370.5</v>
      </c>
      <c r="T12" s="9">
        <v>496</v>
      </c>
      <c r="U12" s="14">
        <v>0.44642856717109702</v>
      </c>
      <c r="V12" s="12" t="s">
        <v>169</v>
      </c>
      <c r="W12" s="9"/>
      <c r="X12" s="9"/>
    </row>
    <row r="13" spans="1:24" ht="22" x14ac:dyDescent="0.35">
      <c r="A13" s="3">
        <v>8</v>
      </c>
      <c r="B13" s="3" t="s">
        <v>58</v>
      </c>
      <c r="C13" s="8">
        <v>43831.583333333299</v>
      </c>
      <c r="D13" s="8">
        <v>43832.583333333299</v>
      </c>
      <c r="E13" s="12" t="s">
        <v>61</v>
      </c>
      <c r="F13" s="12" t="s">
        <v>57</v>
      </c>
      <c r="G13" s="9">
        <v>112</v>
      </c>
      <c r="H13" s="9">
        <v>602.5</v>
      </c>
      <c r="I13" s="9">
        <v>0</v>
      </c>
      <c r="J13" s="9">
        <v>0</v>
      </c>
      <c r="K13" s="9">
        <v>714.5</v>
      </c>
      <c r="L13" s="3"/>
      <c r="M13" s="3" t="s">
        <v>24</v>
      </c>
      <c r="N13" s="9">
        <v>0</v>
      </c>
      <c r="O13" s="9">
        <v>714.5</v>
      </c>
      <c r="P13" s="12" t="s">
        <v>61</v>
      </c>
      <c r="Q13" s="9">
        <v>0</v>
      </c>
      <c r="R13" s="11">
        <v>0</v>
      </c>
      <c r="S13" s="10">
        <v>0</v>
      </c>
      <c r="T13" s="9">
        <v>714.5</v>
      </c>
      <c r="U13" s="14">
        <v>0</v>
      </c>
      <c r="V13" s="12" t="s">
        <v>170</v>
      </c>
      <c r="W13" s="9"/>
      <c r="X13" s="9"/>
    </row>
    <row r="14" spans="1:24" x14ac:dyDescent="0.35">
      <c r="A14" s="3">
        <v>9</v>
      </c>
      <c r="B14" s="3" t="s">
        <v>62</v>
      </c>
      <c r="C14" s="8">
        <v>43829.583333333299</v>
      </c>
      <c r="D14" s="8">
        <v>43830.583333333299</v>
      </c>
      <c r="E14" s="12" t="s">
        <v>61</v>
      </c>
      <c r="F14" s="12" t="s">
        <v>57</v>
      </c>
      <c r="G14" s="9">
        <v>112</v>
      </c>
      <c r="H14" s="9">
        <v>602.5</v>
      </c>
      <c r="I14" s="9">
        <v>0</v>
      </c>
      <c r="J14" s="9">
        <v>0</v>
      </c>
      <c r="K14" s="9">
        <v>714.5</v>
      </c>
      <c r="L14" s="3"/>
      <c r="M14" s="3" t="s">
        <v>24</v>
      </c>
      <c r="N14" s="9">
        <v>0</v>
      </c>
      <c r="O14" s="9">
        <v>714.5</v>
      </c>
      <c r="P14" s="12" t="s">
        <v>61</v>
      </c>
      <c r="Q14" s="9">
        <v>0</v>
      </c>
      <c r="R14" s="11">
        <v>0</v>
      </c>
      <c r="S14" s="10">
        <v>0</v>
      </c>
      <c r="T14" s="9">
        <v>714.5</v>
      </c>
      <c r="U14" s="14">
        <v>0</v>
      </c>
      <c r="V14" s="12" t="s">
        <v>170</v>
      </c>
      <c r="W14" s="9"/>
      <c r="X14" s="9"/>
    </row>
    <row r="15" spans="1:24" ht="22" x14ac:dyDescent="0.35">
      <c r="A15" s="3">
        <v>10</v>
      </c>
      <c r="B15" s="3" t="s">
        <v>64</v>
      </c>
      <c r="C15" s="8">
        <v>43829.375</v>
      </c>
      <c r="D15" s="8">
        <v>43829.708333333299</v>
      </c>
      <c r="E15" s="12" t="s">
        <v>61</v>
      </c>
      <c r="F15" s="12" t="s">
        <v>67</v>
      </c>
      <c r="G15" s="9">
        <v>56</v>
      </c>
      <c r="H15" s="9">
        <v>602.5</v>
      </c>
      <c r="I15" s="9">
        <v>0</v>
      </c>
      <c r="J15" s="9">
        <v>0</v>
      </c>
      <c r="K15" s="9">
        <v>658.5</v>
      </c>
      <c r="L15" s="3"/>
      <c r="M15" s="3" t="s">
        <v>24</v>
      </c>
      <c r="N15" s="9">
        <v>0</v>
      </c>
      <c r="O15" s="9">
        <v>658.5</v>
      </c>
      <c r="P15" s="12" t="s">
        <v>61</v>
      </c>
      <c r="Q15" s="9">
        <v>0</v>
      </c>
      <c r="R15" s="11">
        <v>0</v>
      </c>
      <c r="S15" s="10">
        <v>0</v>
      </c>
      <c r="T15" s="9">
        <v>658.5</v>
      </c>
      <c r="U15" s="14">
        <v>0</v>
      </c>
      <c r="V15" s="12" t="s">
        <v>170</v>
      </c>
      <c r="W15" s="9"/>
      <c r="X15" s="9"/>
    </row>
    <row r="16" spans="1:24" x14ac:dyDescent="0.35">
      <c r="A16" s="3">
        <v>11</v>
      </c>
      <c r="B16" s="3" t="s">
        <v>68</v>
      </c>
      <c r="C16" s="8">
        <v>43813.416666666701</v>
      </c>
      <c r="D16" s="8">
        <v>43815.416666666701</v>
      </c>
      <c r="E16" s="12" t="s">
        <v>61</v>
      </c>
      <c r="F16" s="12" t="s">
        <v>67</v>
      </c>
      <c r="G16" s="9">
        <v>56</v>
      </c>
      <c r="H16" s="9">
        <v>602.5</v>
      </c>
      <c r="I16" s="9">
        <v>0</v>
      </c>
      <c r="J16" s="9">
        <v>0</v>
      </c>
      <c r="K16" s="9">
        <v>658.5</v>
      </c>
      <c r="L16" s="3"/>
      <c r="M16" s="3" t="s">
        <v>24</v>
      </c>
      <c r="N16" s="9">
        <v>0</v>
      </c>
      <c r="O16" s="9">
        <v>658.5</v>
      </c>
      <c r="P16" s="12" t="s">
        <v>61</v>
      </c>
      <c r="Q16" s="9">
        <v>0</v>
      </c>
      <c r="R16" s="11">
        <v>0</v>
      </c>
      <c r="S16" s="10">
        <v>0</v>
      </c>
      <c r="T16" s="9">
        <v>658.5</v>
      </c>
      <c r="U16" s="14">
        <v>0</v>
      </c>
      <c r="V16" s="12" t="s">
        <v>170</v>
      </c>
      <c r="W16" s="9"/>
      <c r="X16" s="9"/>
    </row>
    <row r="17" spans="1:24" ht="22" x14ac:dyDescent="0.35">
      <c r="A17" s="3">
        <v>13</v>
      </c>
      <c r="B17" s="3" t="s">
        <v>70</v>
      </c>
      <c r="C17" s="8">
        <v>43823.416666666701</v>
      </c>
      <c r="D17" s="8">
        <v>43823.583333333299</v>
      </c>
      <c r="E17" s="12" t="s">
        <v>29</v>
      </c>
      <c r="F17" s="12" t="s">
        <v>67</v>
      </c>
      <c r="G17" s="9">
        <v>24</v>
      </c>
      <c r="H17" s="9">
        <v>602.5</v>
      </c>
      <c r="I17" s="9">
        <v>0</v>
      </c>
      <c r="J17" s="9">
        <v>0</v>
      </c>
      <c r="K17" s="9">
        <v>626.5</v>
      </c>
      <c r="L17" s="7">
        <v>43811.458333333299</v>
      </c>
      <c r="M17" s="3" t="s">
        <v>29</v>
      </c>
      <c r="N17" s="9">
        <v>626.5</v>
      </c>
      <c r="O17" s="9">
        <v>0</v>
      </c>
      <c r="P17" s="12" t="s">
        <v>24</v>
      </c>
      <c r="Q17" s="9">
        <v>0</v>
      </c>
      <c r="R17" s="11">
        <v>0</v>
      </c>
      <c r="S17" s="10">
        <v>626.5</v>
      </c>
      <c r="T17" s="9">
        <v>0</v>
      </c>
      <c r="U17" s="14">
        <v>1</v>
      </c>
      <c r="V17" s="12" t="s">
        <v>166</v>
      </c>
      <c r="W17" s="9"/>
      <c r="X17" s="9"/>
    </row>
    <row r="18" spans="1:24" x14ac:dyDescent="0.35">
      <c r="A18" s="3">
        <v>14</v>
      </c>
      <c r="B18" s="3" t="s">
        <v>74</v>
      </c>
      <c r="C18" s="8">
        <v>43836.583333333299</v>
      </c>
      <c r="D18" s="8">
        <v>43838.583333333299</v>
      </c>
      <c r="E18" s="12" t="s">
        <v>51</v>
      </c>
      <c r="F18" s="12" t="s">
        <v>77</v>
      </c>
      <c r="G18" s="9">
        <v>672</v>
      </c>
      <c r="H18" s="9">
        <v>602.5</v>
      </c>
      <c r="I18" s="9">
        <v>0</v>
      </c>
      <c r="J18" s="9">
        <v>0</v>
      </c>
      <c r="K18" s="9">
        <v>1274.5</v>
      </c>
      <c r="L18" s="3"/>
      <c r="M18" s="3" t="s">
        <v>24</v>
      </c>
      <c r="N18" s="9">
        <v>0</v>
      </c>
      <c r="O18" s="9">
        <v>1274.5</v>
      </c>
      <c r="P18" s="12" t="s">
        <v>51</v>
      </c>
      <c r="Q18" s="9">
        <v>0</v>
      </c>
      <c r="R18" s="11">
        <v>0</v>
      </c>
      <c r="S18" s="10">
        <v>0</v>
      </c>
      <c r="T18" s="9">
        <v>1274.5</v>
      </c>
      <c r="U18" s="14">
        <v>0</v>
      </c>
      <c r="V18" s="12" t="s">
        <v>170</v>
      </c>
      <c r="W18" s="9"/>
      <c r="X18" s="9"/>
    </row>
    <row r="19" spans="1:24" x14ac:dyDescent="0.35">
      <c r="A19" s="3">
        <v>15</v>
      </c>
      <c r="B19" s="3" t="s">
        <v>78</v>
      </c>
      <c r="C19" s="8">
        <v>43829.583333333299</v>
      </c>
      <c r="D19" s="8">
        <v>43830.583333333299</v>
      </c>
      <c r="E19" s="12" t="s">
        <v>61</v>
      </c>
      <c r="F19" s="12" t="s">
        <v>57</v>
      </c>
      <c r="G19" s="9">
        <v>112</v>
      </c>
      <c r="H19" s="9">
        <v>602.5</v>
      </c>
      <c r="I19" s="9">
        <v>0</v>
      </c>
      <c r="J19" s="9">
        <v>0</v>
      </c>
      <c r="K19" s="9">
        <v>714.5</v>
      </c>
      <c r="L19" s="3"/>
      <c r="M19" s="3" t="s">
        <v>24</v>
      </c>
      <c r="N19" s="9">
        <v>0</v>
      </c>
      <c r="O19" s="9">
        <v>714.5</v>
      </c>
      <c r="P19" s="12" t="s">
        <v>61</v>
      </c>
      <c r="Q19" s="9">
        <v>0</v>
      </c>
      <c r="R19" s="11">
        <v>0</v>
      </c>
      <c r="S19" s="10">
        <v>0</v>
      </c>
      <c r="T19" s="9">
        <v>714.5</v>
      </c>
      <c r="U19" s="14">
        <v>0</v>
      </c>
      <c r="V19" s="12" t="s">
        <v>170</v>
      </c>
      <c r="W19" s="9"/>
      <c r="X19" s="9"/>
    </row>
    <row r="20" spans="1:24" x14ac:dyDescent="0.35">
      <c r="A20" s="3">
        <v>16</v>
      </c>
      <c r="B20" s="3" t="s">
        <v>80</v>
      </c>
      <c r="C20" s="8">
        <v>43827.416666666701</v>
      </c>
      <c r="D20" s="8">
        <v>43827.583333333299</v>
      </c>
      <c r="E20" s="12" t="s">
        <v>29</v>
      </c>
      <c r="F20" s="12" t="s">
        <v>57</v>
      </c>
      <c r="G20" s="9">
        <v>48</v>
      </c>
      <c r="H20" s="9">
        <v>602.5</v>
      </c>
      <c r="I20" s="9">
        <v>0</v>
      </c>
      <c r="J20" s="9">
        <v>0</v>
      </c>
      <c r="K20" s="9">
        <v>650.5</v>
      </c>
      <c r="L20" s="7">
        <v>43813.666666666701</v>
      </c>
      <c r="M20" s="3" t="s">
        <v>167</v>
      </c>
      <c r="N20" s="9">
        <v>666.5</v>
      </c>
      <c r="O20" s="9">
        <v>0</v>
      </c>
      <c r="P20" s="12" t="s">
        <v>24</v>
      </c>
      <c r="Q20" s="9">
        <v>0</v>
      </c>
      <c r="R20" s="11">
        <v>0</v>
      </c>
      <c r="S20" s="10">
        <v>666.5</v>
      </c>
      <c r="T20" s="9">
        <v>0</v>
      </c>
      <c r="U20" s="14">
        <v>1</v>
      </c>
      <c r="V20" s="12" t="s">
        <v>166</v>
      </c>
      <c r="W20" s="9"/>
      <c r="X20" s="9"/>
    </row>
    <row r="21" spans="1:24" x14ac:dyDescent="0.35">
      <c r="A21" s="3">
        <v>17</v>
      </c>
      <c r="B21" s="3" t="s">
        <v>82</v>
      </c>
      <c r="C21" s="8">
        <v>43822.416666666701</v>
      </c>
      <c r="D21" s="8">
        <v>43823.416666666701</v>
      </c>
      <c r="E21" s="12" t="s">
        <v>61</v>
      </c>
      <c r="F21" s="12" t="s">
        <v>85</v>
      </c>
      <c r="G21" s="9">
        <v>140</v>
      </c>
      <c r="H21" s="9">
        <v>3302.5</v>
      </c>
      <c r="I21" s="9">
        <v>0</v>
      </c>
      <c r="J21" s="9">
        <v>0</v>
      </c>
      <c r="K21" s="9">
        <v>3442.5</v>
      </c>
      <c r="L21" s="7">
        <v>43810.625</v>
      </c>
      <c r="M21" s="3" t="s">
        <v>167</v>
      </c>
      <c r="N21" s="9">
        <v>3382.5</v>
      </c>
      <c r="O21" s="9">
        <v>0</v>
      </c>
      <c r="P21" s="12" t="s">
        <v>24</v>
      </c>
      <c r="Q21" s="9">
        <v>0</v>
      </c>
      <c r="R21" s="11">
        <v>0</v>
      </c>
      <c r="S21" s="10">
        <v>3382.5</v>
      </c>
      <c r="T21" s="9">
        <v>0</v>
      </c>
      <c r="U21" s="14">
        <v>1</v>
      </c>
      <c r="V21" s="12" t="s">
        <v>166</v>
      </c>
      <c r="W21" s="9"/>
      <c r="X21" s="9"/>
    </row>
    <row r="22" spans="1:24" x14ac:dyDescent="0.35">
      <c r="A22" s="3">
        <v>18</v>
      </c>
      <c r="B22" s="3" t="s">
        <v>86</v>
      </c>
      <c r="C22" s="8">
        <v>43832.583333333299</v>
      </c>
      <c r="D22" s="8">
        <v>43833.583333333299</v>
      </c>
      <c r="E22" s="12" t="s">
        <v>61</v>
      </c>
      <c r="F22" s="12" t="s">
        <v>57</v>
      </c>
      <c r="G22" s="9">
        <v>112</v>
      </c>
      <c r="H22" s="9">
        <v>602.5</v>
      </c>
      <c r="I22" s="9">
        <v>0</v>
      </c>
      <c r="J22" s="9">
        <v>0</v>
      </c>
      <c r="K22" s="9">
        <v>714.5</v>
      </c>
      <c r="L22" s="3"/>
      <c r="M22" s="3" t="s">
        <v>24</v>
      </c>
      <c r="N22" s="9">
        <v>0</v>
      </c>
      <c r="O22" s="9">
        <v>714.5</v>
      </c>
      <c r="P22" s="12" t="s">
        <v>61</v>
      </c>
      <c r="Q22" s="9">
        <v>0</v>
      </c>
      <c r="R22" s="11">
        <v>0</v>
      </c>
      <c r="S22" s="10">
        <v>0</v>
      </c>
      <c r="T22" s="9">
        <v>714.5</v>
      </c>
      <c r="U22" s="14">
        <v>0</v>
      </c>
      <c r="V22" s="12" t="s">
        <v>170</v>
      </c>
      <c r="W22" s="9"/>
      <c r="X22" s="9"/>
    </row>
    <row r="23" spans="1:24" ht="22" x14ac:dyDescent="0.35">
      <c r="A23" s="3">
        <v>19</v>
      </c>
      <c r="B23" s="3" t="s">
        <v>88</v>
      </c>
      <c r="C23" s="8">
        <v>43833.583333333299</v>
      </c>
      <c r="D23" s="8">
        <v>43836.583333333299</v>
      </c>
      <c r="E23" s="12" t="s">
        <v>51</v>
      </c>
      <c r="F23" s="12" t="s">
        <v>77</v>
      </c>
      <c r="G23" s="9">
        <v>672</v>
      </c>
      <c r="H23" s="9">
        <v>2252.5</v>
      </c>
      <c r="I23" s="9">
        <v>0</v>
      </c>
      <c r="J23" s="9">
        <v>0</v>
      </c>
      <c r="K23" s="9">
        <v>2924.5</v>
      </c>
      <c r="L23" s="3"/>
      <c r="M23" s="3" t="s">
        <v>24</v>
      </c>
      <c r="N23" s="9">
        <v>0</v>
      </c>
      <c r="O23" s="9">
        <v>2924.5</v>
      </c>
      <c r="P23" s="12" t="s">
        <v>51</v>
      </c>
      <c r="Q23" s="9">
        <v>0</v>
      </c>
      <c r="R23" s="11">
        <v>0</v>
      </c>
      <c r="S23" s="10">
        <v>0</v>
      </c>
      <c r="T23" s="9">
        <v>2924.5</v>
      </c>
      <c r="U23" s="14">
        <v>0</v>
      </c>
      <c r="V23" s="12" t="s">
        <v>170</v>
      </c>
      <c r="W23" s="9"/>
      <c r="X23" s="9"/>
    </row>
    <row r="24" spans="1:24" x14ac:dyDescent="0.35">
      <c r="A24" s="3">
        <v>20</v>
      </c>
      <c r="B24" s="3" t="s">
        <v>91</v>
      </c>
      <c r="C24" s="8">
        <v>43824.416666666701</v>
      </c>
      <c r="D24" s="8">
        <v>43825.416666666701</v>
      </c>
      <c r="E24" s="12" t="s">
        <v>61</v>
      </c>
      <c r="F24" s="12" t="s">
        <v>67</v>
      </c>
      <c r="G24" s="9">
        <v>56</v>
      </c>
      <c r="H24" s="9">
        <v>28602.5</v>
      </c>
      <c r="I24" s="9">
        <v>0</v>
      </c>
      <c r="J24" s="9">
        <v>0</v>
      </c>
      <c r="K24" s="9">
        <v>28658.5</v>
      </c>
      <c r="L24" s="7">
        <v>43811.458333333299</v>
      </c>
      <c r="M24" s="3" t="s">
        <v>174</v>
      </c>
      <c r="N24" s="9">
        <v>28642.5</v>
      </c>
      <c r="O24" s="9">
        <v>0</v>
      </c>
      <c r="P24" s="12" t="s">
        <v>24</v>
      </c>
      <c r="Q24" s="9">
        <v>0</v>
      </c>
      <c r="R24" s="11">
        <v>0</v>
      </c>
      <c r="S24" s="10">
        <v>28642.5</v>
      </c>
      <c r="T24" s="9">
        <v>0</v>
      </c>
      <c r="U24" s="14">
        <v>1</v>
      </c>
      <c r="V24" s="12" t="s">
        <v>166</v>
      </c>
      <c r="W24" s="9"/>
      <c r="X24" s="9"/>
    </row>
    <row r="25" spans="1:24" ht="22" x14ac:dyDescent="0.35">
      <c r="A25" s="3">
        <v>21</v>
      </c>
      <c r="B25" s="3" t="s">
        <v>95</v>
      </c>
      <c r="C25" s="8">
        <v>43830.583333333299</v>
      </c>
      <c r="D25" s="8">
        <v>43831.583333333299</v>
      </c>
      <c r="E25" s="12" t="s">
        <v>61</v>
      </c>
      <c r="F25" s="12" t="s">
        <v>36</v>
      </c>
      <c r="G25" s="9">
        <v>168</v>
      </c>
      <c r="H25" s="9">
        <v>3677.5</v>
      </c>
      <c r="I25" s="9">
        <v>0</v>
      </c>
      <c r="J25" s="9">
        <v>0</v>
      </c>
      <c r="K25" s="9">
        <v>3845.5</v>
      </c>
      <c r="L25" s="3"/>
      <c r="M25" s="3" t="s">
        <v>24</v>
      </c>
      <c r="N25" s="9">
        <v>0</v>
      </c>
      <c r="O25" s="9">
        <v>3845.5</v>
      </c>
      <c r="P25" s="12" t="s">
        <v>61</v>
      </c>
      <c r="Q25" s="9">
        <v>0</v>
      </c>
      <c r="R25" s="11">
        <v>0</v>
      </c>
      <c r="S25" s="10">
        <v>0</v>
      </c>
      <c r="T25" s="9">
        <v>3845.5</v>
      </c>
      <c r="U25" s="14">
        <v>0</v>
      </c>
      <c r="V25" s="12" t="s">
        <v>170</v>
      </c>
      <c r="W25" s="9"/>
      <c r="X25" s="9"/>
    </row>
    <row r="26" spans="1:24" x14ac:dyDescent="0.35">
      <c r="A26" s="3">
        <v>22</v>
      </c>
      <c r="B26" s="3" t="s">
        <v>98</v>
      </c>
      <c r="C26" s="8">
        <v>43825.416666666701</v>
      </c>
      <c r="D26" s="8">
        <v>43826.416666666701</v>
      </c>
      <c r="E26" s="12" t="s">
        <v>61</v>
      </c>
      <c r="F26" s="12" t="s">
        <v>67</v>
      </c>
      <c r="G26" s="9">
        <v>56</v>
      </c>
      <c r="H26" s="9">
        <v>602.5</v>
      </c>
      <c r="I26" s="9">
        <v>0</v>
      </c>
      <c r="J26" s="9">
        <v>0</v>
      </c>
      <c r="K26" s="9">
        <v>658.5</v>
      </c>
      <c r="L26" s="7">
        <v>43812.375</v>
      </c>
      <c r="M26" s="3" t="s">
        <v>124</v>
      </c>
      <c r="N26" s="9">
        <v>650.5</v>
      </c>
      <c r="O26" s="9">
        <v>0</v>
      </c>
      <c r="P26" s="12" t="s">
        <v>24</v>
      </c>
      <c r="Q26" s="9">
        <v>0</v>
      </c>
      <c r="R26" s="11">
        <v>0</v>
      </c>
      <c r="S26" s="10">
        <v>650.5</v>
      </c>
      <c r="T26" s="9">
        <v>0</v>
      </c>
      <c r="U26" s="14">
        <v>1</v>
      </c>
      <c r="V26" s="12" t="s">
        <v>166</v>
      </c>
      <c r="W26" s="9"/>
      <c r="X26" s="9"/>
    </row>
    <row r="27" spans="1:24" x14ac:dyDescent="0.35">
      <c r="A27" s="3">
        <v>23</v>
      </c>
      <c r="B27" s="3" t="s">
        <v>101</v>
      </c>
      <c r="C27" s="8">
        <v>43832.583333333299</v>
      </c>
      <c r="D27" s="8">
        <v>43833.583333333299</v>
      </c>
      <c r="E27" s="12" t="s">
        <v>61</v>
      </c>
      <c r="F27" s="12" t="s">
        <v>52</v>
      </c>
      <c r="G27" s="9">
        <v>224</v>
      </c>
      <c r="H27" s="9">
        <v>43602.5</v>
      </c>
      <c r="I27" s="9">
        <v>0</v>
      </c>
      <c r="J27" s="9">
        <v>0</v>
      </c>
      <c r="K27" s="9">
        <v>43826.5</v>
      </c>
      <c r="L27" s="3"/>
      <c r="M27" s="3" t="s">
        <v>24</v>
      </c>
      <c r="N27" s="9">
        <v>0</v>
      </c>
      <c r="O27" s="9">
        <v>43826.5</v>
      </c>
      <c r="P27" s="12" t="s">
        <v>61</v>
      </c>
      <c r="Q27" s="9">
        <v>0</v>
      </c>
      <c r="R27" s="11">
        <v>0</v>
      </c>
      <c r="S27" s="10">
        <v>0</v>
      </c>
      <c r="T27" s="9">
        <v>43826.5</v>
      </c>
      <c r="U27" s="14">
        <v>0</v>
      </c>
      <c r="V27" s="12" t="s">
        <v>170</v>
      </c>
      <c r="W27" s="9"/>
      <c r="X27" s="9"/>
    </row>
    <row r="28" spans="1:24" x14ac:dyDescent="0.35">
      <c r="A28" s="3">
        <v>24</v>
      </c>
      <c r="B28" s="3" t="s">
        <v>103</v>
      </c>
      <c r="C28" s="8">
        <v>43826.416666666701</v>
      </c>
      <c r="D28" s="8">
        <v>43827.416666666701</v>
      </c>
      <c r="E28" s="12" t="s">
        <v>61</v>
      </c>
      <c r="F28" s="12" t="s">
        <v>67</v>
      </c>
      <c r="G28" s="9">
        <v>56</v>
      </c>
      <c r="H28" s="9">
        <v>1577.5</v>
      </c>
      <c r="I28" s="9">
        <v>0</v>
      </c>
      <c r="J28" s="9">
        <v>0</v>
      </c>
      <c r="K28" s="9">
        <v>1633.5</v>
      </c>
      <c r="L28" s="7">
        <v>43812.666666666701</v>
      </c>
      <c r="M28" s="3" t="s">
        <v>61</v>
      </c>
      <c r="N28" s="9">
        <v>1633.5</v>
      </c>
      <c r="O28" s="9">
        <v>0</v>
      </c>
      <c r="P28" s="12" t="s">
        <v>24</v>
      </c>
      <c r="Q28" s="9">
        <v>0</v>
      </c>
      <c r="R28" s="11">
        <v>0</v>
      </c>
      <c r="S28" s="10">
        <v>1633.5</v>
      </c>
      <c r="T28" s="9">
        <v>0</v>
      </c>
      <c r="U28" s="14">
        <v>1</v>
      </c>
      <c r="V28" s="12" t="s">
        <v>166</v>
      </c>
      <c r="W28" s="9"/>
      <c r="X28" s="9"/>
    </row>
    <row r="29" spans="1:24" x14ac:dyDescent="0.35">
      <c r="A29" s="3">
        <v>25</v>
      </c>
      <c r="B29" s="3" t="s">
        <v>106</v>
      </c>
      <c r="C29" s="8">
        <v>43813.416666666701</v>
      </c>
      <c r="D29" s="8">
        <v>43815.416666666701</v>
      </c>
      <c r="E29" s="12" t="s">
        <v>61</v>
      </c>
      <c r="F29" s="12" t="s">
        <v>67</v>
      </c>
      <c r="G29" s="9">
        <v>56</v>
      </c>
      <c r="H29" s="9">
        <v>2524.5</v>
      </c>
      <c r="I29" s="9">
        <v>0</v>
      </c>
      <c r="J29" s="9">
        <v>0</v>
      </c>
      <c r="K29" s="9">
        <v>2580.5</v>
      </c>
      <c r="L29" s="7">
        <v>43812.541666666701</v>
      </c>
      <c r="M29" s="3" t="s">
        <v>61</v>
      </c>
      <c r="N29" s="9">
        <v>2580.5</v>
      </c>
      <c r="O29" s="9">
        <v>0</v>
      </c>
      <c r="P29" s="12" t="s">
        <v>24</v>
      </c>
      <c r="Q29" s="9">
        <v>0</v>
      </c>
      <c r="R29" s="11">
        <v>0</v>
      </c>
      <c r="S29" s="10">
        <v>2580.5</v>
      </c>
      <c r="T29" s="9">
        <v>0</v>
      </c>
      <c r="U29" s="14">
        <v>1</v>
      </c>
      <c r="V29" s="12" t="s">
        <v>166</v>
      </c>
      <c r="W29" s="9"/>
      <c r="X29" s="9"/>
    </row>
    <row r="30" spans="1:24" x14ac:dyDescent="0.35">
      <c r="A30" s="3">
        <v>26</v>
      </c>
      <c r="B30" s="3" t="s">
        <v>108</v>
      </c>
      <c r="C30" s="8">
        <v>43829.583333333299</v>
      </c>
      <c r="D30" s="8">
        <v>43830.583333333299</v>
      </c>
      <c r="E30" s="12" t="s">
        <v>61</v>
      </c>
      <c r="F30" s="12" t="s">
        <v>57</v>
      </c>
      <c r="G30" s="9">
        <v>112</v>
      </c>
      <c r="H30" s="9">
        <v>3442.30004882813</v>
      </c>
      <c r="I30" s="9">
        <v>0</v>
      </c>
      <c r="J30" s="9">
        <v>0</v>
      </c>
      <c r="K30" s="9">
        <v>3554.30004882813</v>
      </c>
      <c r="L30" s="3"/>
      <c r="M30" s="3" t="s">
        <v>24</v>
      </c>
      <c r="N30" s="9">
        <v>0</v>
      </c>
      <c r="O30" s="9">
        <v>3554.30004882813</v>
      </c>
      <c r="P30" s="12" t="s">
        <v>61</v>
      </c>
      <c r="Q30" s="9">
        <v>0</v>
      </c>
      <c r="R30" s="11">
        <v>0</v>
      </c>
      <c r="S30" s="10">
        <v>0</v>
      </c>
      <c r="T30" s="9">
        <v>3554.30004882813</v>
      </c>
      <c r="U30" s="14">
        <v>0</v>
      </c>
      <c r="V30" s="12" t="s">
        <v>170</v>
      </c>
      <c r="W30" s="9"/>
      <c r="X30" s="9"/>
    </row>
    <row r="31" spans="1:24" x14ac:dyDescent="0.35">
      <c r="A31" s="3">
        <v>27</v>
      </c>
      <c r="B31" s="3" t="s">
        <v>110</v>
      </c>
      <c r="C31" s="8">
        <v>43823.416666666701</v>
      </c>
      <c r="D31" s="8">
        <v>43824.416666666701</v>
      </c>
      <c r="E31" s="12" t="s">
        <v>61</v>
      </c>
      <c r="F31" s="12" t="s">
        <v>67</v>
      </c>
      <c r="G31" s="9">
        <v>56</v>
      </c>
      <c r="H31" s="9">
        <v>2972.5</v>
      </c>
      <c r="I31" s="9">
        <v>0</v>
      </c>
      <c r="J31" s="9">
        <v>0</v>
      </c>
      <c r="K31" s="9">
        <v>3028.5</v>
      </c>
      <c r="L31" s="7">
        <v>43810.625</v>
      </c>
      <c r="M31" s="3" t="s">
        <v>167</v>
      </c>
      <c r="N31" s="9">
        <v>3004.5</v>
      </c>
      <c r="O31" s="9">
        <v>0</v>
      </c>
      <c r="P31" s="12" t="s">
        <v>24</v>
      </c>
      <c r="Q31" s="9">
        <v>0</v>
      </c>
      <c r="R31" s="11">
        <v>0</v>
      </c>
      <c r="S31" s="10">
        <v>3004.5</v>
      </c>
      <c r="T31" s="9">
        <v>0</v>
      </c>
      <c r="U31" s="14">
        <v>1</v>
      </c>
      <c r="V31" s="12" t="s">
        <v>166</v>
      </c>
      <c r="W31" s="9"/>
      <c r="X31" s="9"/>
    </row>
    <row r="32" spans="1:24" x14ac:dyDescent="0.35">
      <c r="A32" s="3">
        <v>28</v>
      </c>
      <c r="B32" s="3" t="s">
        <v>113</v>
      </c>
      <c r="C32" s="8">
        <v>43832.583333333299</v>
      </c>
      <c r="D32" s="8">
        <v>43833.583333333299</v>
      </c>
      <c r="E32" s="12" t="s">
        <v>61</v>
      </c>
      <c r="F32" s="12" t="s">
        <v>67</v>
      </c>
      <c r="G32" s="9">
        <v>56</v>
      </c>
      <c r="H32" s="9">
        <v>1586.5</v>
      </c>
      <c r="I32" s="9">
        <v>0</v>
      </c>
      <c r="J32" s="9">
        <v>0</v>
      </c>
      <c r="K32" s="9">
        <v>1642.5</v>
      </c>
      <c r="L32" s="7">
        <v>43810.625</v>
      </c>
      <c r="M32" s="3" t="s">
        <v>185</v>
      </c>
      <c r="N32" s="9">
        <v>1666.5</v>
      </c>
      <c r="O32" s="9">
        <v>0</v>
      </c>
      <c r="P32" s="12" t="s">
        <v>24</v>
      </c>
      <c r="Q32" s="9">
        <v>0</v>
      </c>
      <c r="R32" s="11">
        <v>0</v>
      </c>
      <c r="S32" s="10">
        <v>1666.5</v>
      </c>
      <c r="T32" s="9">
        <v>0</v>
      </c>
      <c r="U32" s="14">
        <v>1</v>
      </c>
      <c r="V32" s="12" t="s">
        <v>166</v>
      </c>
      <c r="W32" s="9"/>
      <c r="X32" s="9"/>
    </row>
    <row r="33" spans="1:24" ht="22" x14ac:dyDescent="0.35">
      <c r="A33" s="3">
        <v>29</v>
      </c>
      <c r="B33" s="3" t="s">
        <v>117</v>
      </c>
      <c r="C33" s="8">
        <v>43833.583333333299</v>
      </c>
      <c r="D33" s="8">
        <v>43833.708333333299</v>
      </c>
      <c r="E33" s="12" t="s">
        <v>29</v>
      </c>
      <c r="F33" s="12" t="s">
        <v>67</v>
      </c>
      <c r="G33" s="9">
        <v>24</v>
      </c>
      <c r="H33" s="9">
        <v>602.5</v>
      </c>
      <c r="I33" s="9">
        <v>0</v>
      </c>
      <c r="J33" s="9">
        <v>0</v>
      </c>
      <c r="K33" s="9">
        <v>626.5</v>
      </c>
      <c r="L33" s="7">
        <v>43812.416666666701</v>
      </c>
      <c r="M33" s="3" t="s">
        <v>177</v>
      </c>
      <c r="N33" s="9">
        <v>618.5</v>
      </c>
      <c r="O33" s="9">
        <v>0</v>
      </c>
      <c r="P33" s="12" t="s">
        <v>24</v>
      </c>
      <c r="Q33" s="9">
        <v>0</v>
      </c>
      <c r="R33" s="11">
        <v>0</v>
      </c>
      <c r="S33" s="10">
        <v>618.5</v>
      </c>
      <c r="T33" s="9">
        <v>0</v>
      </c>
      <c r="U33" s="14">
        <v>1</v>
      </c>
      <c r="V33" s="12" t="s">
        <v>166</v>
      </c>
      <c r="W33" s="9"/>
      <c r="X33" s="9"/>
    </row>
    <row r="34" spans="1:24" x14ac:dyDescent="0.35">
      <c r="A34" s="3">
        <v>30</v>
      </c>
      <c r="B34" s="3" t="s">
        <v>120</v>
      </c>
      <c r="C34" s="8">
        <v>43838.583333333299</v>
      </c>
      <c r="D34" s="8">
        <v>43839.5</v>
      </c>
      <c r="E34" s="12" t="s">
        <v>124</v>
      </c>
      <c r="F34" s="12" t="s">
        <v>67</v>
      </c>
      <c r="G34" s="9">
        <v>48</v>
      </c>
      <c r="H34" s="9">
        <v>602.5</v>
      </c>
      <c r="I34" s="9">
        <v>0</v>
      </c>
      <c r="J34" s="9">
        <v>0</v>
      </c>
      <c r="K34" s="9">
        <v>650.5</v>
      </c>
      <c r="L34" s="3"/>
      <c r="M34" s="3" t="s">
        <v>24</v>
      </c>
      <c r="N34" s="9">
        <v>0</v>
      </c>
      <c r="O34" s="9">
        <v>650.5</v>
      </c>
      <c r="P34" s="12" t="s">
        <v>124</v>
      </c>
      <c r="Q34" s="9">
        <v>0</v>
      </c>
      <c r="R34" s="11">
        <v>0</v>
      </c>
      <c r="S34" s="10">
        <v>0</v>
      </c>
      <c r="T34" s="9">
        <v>650.5</v>
      </c>
      <c r="U34" s="14">
        <v>0</v>
      </c>
      <c r="V34" s="12" t="s">
        <v>170</v>
      </c>
      <c r="W34" s="9"/>
      <c r="X34" s="9"/>
    </row>
    <row r="35" spans="1:24" x14ac:dyDescent="0.35">
      <c r="A35" s="3">
        <v>31</v>
      </c>
      <c r="B35" s="3" t="s">
        <v>125</v>
      </c>
      <c r="C35" s="8">
        <v>43839.5</v>
      </c>
      <c r="D35" s="8">
        <v>43839.5</v>
      </c>
      <c r="E35" s="12" t="s">
        <v>24</v>
      </c>
      <c r="F35" s="12"/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3"/>
      <c r="M35" s="3" t="s">
        <v>24</v>
      </c>
      <c r="N35" s="9">
        <v>0</v>
      </c>
      <c r="O35" s="9">
        <v>0</v>
      </c>
      <c r="P35" s="12" t="s">
        <v>24</v>
      </c>
      <c r="Q35" s="9">
        <v>0</v>
      </c>
      <c r="R35" s="11">
        <v>0</v>
      </c>
      <c r="S35" s="10">
        <v>0</v>
      </c>
      <c r="T35" s="9">
        <v>0</v>
      </c>
      <c r="U35" s="14">
        <v>0</v>
      </c>
      <c r="V35" s="12" t="s">
        <v>170</v>
      </c>
      <c r="W35" s="9"/>
      <c r="X35" s="9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Blad15"/>
  <dimension ref="A1:X35"/>
  <sheetViews>
    <sheetView topLeftCell="C1" workbookViewId="0">
      <selection activeCell="W5" sqref="W5:X35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150</v>
      </c>
      <c r="C1" s="7">
        <v>43819.708333333299</v>
      </c>
      <c r="E1" s="1" t="s">
        <v>151</v>
      </c>
      <c r="F1" s="4" t="s">
        <v>205</v>
      </c>
    </row>
    <row r="3" spans="1:24" x14ac:dyDescent="0.35">
      <c r="A3" s="24" t="s">
        <v>0</v>
      </c>
      <c r="B3" s="24"/>
      <c r="C3" s="24" t="s">
        <v>2</v>
      </c>
      <c r="D3" s="24"/>
      <c r="E3" s="24"/>
      <c r="F3" s="24" t="s">
        <v>3</v>
      </c>
      <c r="G3" s="24"/>
      <c r="H3" s="24" t="s">
        <v>4</v>
      </c>
      <c r="I3" s="24"/>
      <c r="J3" s="24"/>
      <c r="K3" s="24"/>
      <c r="L3" s="24" t="s">
        <v>152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153</v>
      </c>
      <c r="M4" s="1" t="s">
        <v>154</v>
      </c>
      <c r="N4" s="1" t="s">
        <v>155</v>
      </c>
      <c r="O4" s="1" t="s">
        <v>156</v>
      </c>
      <c r="P4" s="1" t="s">
        <v>157</v>
      </c>
      <c r="Q4" s="1" t="s">
        <v>158</v>
      </c>
      <c r="R4" s="1" t="s">
        <v>159</v>
      </c>
      <c r="S4" s="1" t="s">
        <v>160</v>
      </c>
      <c r="T4" s="1" t="s">
        <v>161</v>
      </c>
      <c r="U4" s="1" t="s">
        <v>162</v>
      </c>
      <c r="V4" s="1" t="s">
        <v>152</v>
      </c>
      <c r="W4" s="1" t="s">
        <v>163</v>
      </c>
      <c r="X4" s="1" t="s">
        <v>164</v>
      </c>
    </row>
    <row r="5" spans="1:24" x14ac:dyDescent="0.35">
      <c r="A5" s="2">
        <v>0</v>
      </c>
      <c r="B5" s="3" t="s">
        <v>18</v>
      </c>
      <c r="C5" s="5">
        <v>43808.375</v>
      </c>
      <c r="D5" s="5">
        <v>43839.5</v>
      </c>
      <c r="E5" s="2" t="s">
        <v>20</v>
      </c>
      <c r="F5" s="2"/>
      <c r="G5" s="6"/>
      <c r="H5" s="6">
        <v>118411.30004882799</v>
      </c>
      <c r="I5" s="6"/>
      <c r="J5" s="6"/>
      <c r="K5" s="6">
        <v>126955.30004882799</v>
      </c>
      <c r="L5" s="2"/>
      <c r="M5" s="2" t="s">
        <v>206</v>
      </c>
      <c r="N5" s="6"/>
      <c r="O5" s="6"/>
      <c r="P5" s="2"/>
      <c r="Q5" s="6"/>
      <c r="R5" s="6"/>
      <c r="S5" s="6">
        <v>64732.5</v>
      </c>
      <c r="T5" s="6"/>
      <c r="U5" s="13">
        <v>0.51386840955726298</v>
      </c>
      <c r="V5" s="2"/>
      <c r="W5" s="6"/>
      <c r="X5" s="6"/>
    </row>
    <row r="6" spans="1:24" x14ac:dyDescent="0.35">
      <c r="A6" s="3">
        <v>1</v>
      </c>
      <c r="B6" s="3" t="s">
        <v>21</v>
      </c>
      <c r="C6" s="8">
        <v>43808.375</v>
      </c>
      <c r="D6" s="8">
        <v>43806.708333333299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43808.375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166</v>
      </c>
      <c r="W6" s="9"/>
      <c r="X6" s="9"/>
    </row>
    <row r="7" spans="1:24" ht="22" x14ac:dyDescent="0.35">
      <c r="A7" s="3">
        <v>2</v>
      </c>
      <c r="B7" s="3" t="s">
        <v>25</v>
      </c>
      <c r="C7" s="8">
        <v>43808.375</v>
      </c>
      <c r="D7" s="8">
        <v>43808.5</v>
      </c>
      <c r="E7" s="12" t="s">
        <v>29</v>
      </c>
      <c r="F7" s="12" t="s">
        <v>30</v>
      </c>
      <c r="G7" s="9">
        <v>36</v>
      </c>
      <c r="H7" s="9">
        <v>931.5</v>
      </c>
      <c r="I7" s="9">
        <v>0</v>
      </c>
      <c r="J7" s="9">
        <v>0</v>
      </c>
      <c r="K7" s="9">
        <v>967.5</v>
      </c>
      <c r="L7" s="7">
        <v>43808.375</v>
      </c>
      <c r="M7" s="3" t="s">
        <v>29</v>
      </c>
      <c r="N7" s="9">
        <v>967.5</v>
      </c>
      <c r="O7" s="9">
        <v>0</v>
      </c>
      <c r="P7" s="12" t="s">
        <v>24</v>
      </c>
      <c r="Q7" s="9">
        <v>0</v>
      </c>
      <c r="R7" s="11">
        <v>0</v>
      </c>
      <c r="S7" s="10">
        <v>967.5</v>
      </c>
      <c r="T7" s="9">
        <v>0</v>
      </c>
      <c r="U7" s="14">
        <v>1</v>
      </c>
      <c r="V7" s="12" t="s">
        <v>166</v>
      </c>
      <c r="W7" s="9"/>
      <c r="X7" s="9"/>
    </row>
    <row r="8" spans="1:24" x14ac:dyDescent="0.35">
      <c r="A8" s="3">
        <v>3</v>
      </c>
      <c r="B8" s="3" t="s">
        <v>31</v>
      </c>
      <c r="C8" s="8">
        <v>43808.541666666701</v>
      </c>
      <c r="D8" s="8">
        <v>43813.5</v>
      </c>
      <c r="E8" s="12" t="s">
        <v>35</v>
      </c>
      <c r="F8" s="12" t="s">
        <v>36</v>
      </c>
      <c r="G8" s="9">
        <v>840</v>
      </c>
      <c r="H8" s="9">
        <v>950.5</v>
      </c>
      <c r="I8" s="9">
        <v>0</v>
      </c>
      <c r="J8" s="9">
        <v>0</v>
      </c>
      <c r="K8" s="9">
        <v>1790.5</v>
      </c>
      <c r="L8" s="7">
        <v>43808.541666666701</v>
      </c>
      <c r="M8" s="3" t="s">
        <v>181</v>
      </c>
      <c r="N8" s="9">
        <v>1550.5</v>
      </c>
      <c r="O8" s="9">
        <v>0</v>
      </c>
      <c r="P8" s="12" t="s">
        <v>24</v>
      </c>
      <c r="Q8" s="9">
        <v>0</v>
      </c>
      <c r="R8" s="11">
        <v>0</v>
      </c>
      <c r="S8" s="10">
        <v>1550.5</v>
      </c>
      <c r="T8" s="9">
        <v>0</v>
      </c>
      <c r="U8" s="14">
        <v>1</v>
      </c>
      <c r="V8" s="12" t="s">
        <v>166</v>
      </c>
      <c r="W8" s="9"/>
      <c r="X8" s="9"/>
    </row>
    <row r="9" spans="1:24" x14ac:dyDescent="0.35">
      <c r="A9" s="3">
        <v>4</v>
      </c>
      <c r="B9" s="3" t="s">
        <v>37</v>
      </c>
      <c r="C9" s="8">
        <v>43813.541666666701</v>
      </c>
      <c r="D9" s="8">
        <v>43816.625</v>
      </c>
      <c r="E9" s="12" t="s">
        <v>41</v>
      </c>
      <c r="F9" s="12" t="s">
        <v>42</v>
      </c>
      <c r="G9" s="9">
        <v>640</v>
      </c>
      <c r="H9" s="9">
        <v>8819</v>
      </c>
      <c r="I9" s="9">
        <v>0</v>
      </c>
      <c r="J9" s="9">
        <v>0</v>
      </c>
      <c r="K9" s="9">
        <v>9459</v>
      </c>
      <c r="L9" s="7">
        <v>43812.375</v>
      </c>
      <c r="M9" s="3" t="s">
        <v>185</v>
      </c>
      <c r="N9" s="9">
        <v>9219</v>
      </c>
      <c r="O9" s="9">
        <v>0</v>
      </c>
      <c r="P9" s="12" t="s">
        <v>24</v>
      </c>
      <c r="Q9" s="9">
        <v>0</v>
      </c>
      <c r="R9" s="11">
        <v>0</v>
      </c>
      <c r="S9" s="10">
        <v>9219</v>
      </c>
      <c r="T9" s="9">
        <v>0</v>
      </c>
      <c r="U9" s="14">
        <v>1</v>
      </c>
      <c r="V9" s="12" t="s">
        <v>166</v>
      </c>
      <c r="W9" s="9"/>
      <c r="X9" s="9"/>
    </row>
    <row r="10" spans="1:24" ht="22" x14ac:dyDescent="0.35">
      <c r="A10" s="3">
        <v>5</v>
      </c>
      <c r="B10" s="3" t="s">
        <v>43</v>
      </c>
      <c r="C10" s="8">
        <v>43816.625</v>
      </c>
      <c r="D10" s="8">
        <v>43827.708333333299</v>
      </c>
      <c r="E10" s="12" t="s">
        <v>47</v>
      </c>
      <c r="F10" s="12" t="s">
        <v>42</v>
      </c>
      <c r="G10" s="9">
        <v>2880</v>
      </c>
      <c r="H10" s="9">
        <v>3166.5</v>
      </c>
      <c r="I10" s="9">
        <v>0</v>
      </c>
      <c r="J10" s="9">
        <v>0</v>
      </c>
      <c r="K10" s="9">
        <v>6046.5</v>
      </c>
      <c r="L10" s="7">
        <v>43813.541666666701</v>
      </c>
      <c r="M10" s="3" t="s">
        <v>207</v>
      </c>
      <c r="N10" s="9">
        <v>4726.5</v>
      </c>
      <c r="O10" s="9">
        <v>1080</v>
      </c>
      <c r="P10" s="12" t="s">
        <v>208</v>
      </c>
      <c r="Q10" s="9">
        <v>0</v>
      </c>
      <c r="R10" s="11">
        <v>0</v>
      </c>
      <c r="S10" s="10">
        <v>4726.5</v>
      </c>
      <c r="T10" s="9">
        <v>1080</v>
      </c>
      <c r="U10" s="14">
        <v>0.590909063816071</v>
      </c>
      <c r="V10" s="12" t="s">
        <v>169</v>
      </c>
      <c r="W10" s="9"/>
      <c r="X10" s="9"/>
    </row>
    <row r="11" spans="1:24" x14ac:dyDescent="0.35">
      <c r="A11" s="3">
        <v>6</v>
      </c>
      <c r="B11" s="3" t="s">
        <v>48</v>
      </c>
      <c r="C11" s="8">
        <v>43830.583333333299</v>
      </c>
      <c r="D11" s="8">
        <v>43832.583333333299</v>
      </c>
      <c r="E11" s="12" t="s">
        <v>51</v>
      </c>
      <c r="F11" s="12" t="s">
        <v>52</v>
      </c>
      <c r="G11" s="9">
        <v>448</v>
      </c>
      <c r="H11" s="9">
        <v>1802.5</v>
      </c>
      <c r="I11" s="9">
        <v>0</v>
      </c>
      <c r="J11" s="9">
        <v>0</v>
      </c>
      <c r="K11" s="9">
        <v>2250.5</v>
      </c>
      <c r="L11" s="7">
        <v>43808.541666666701</v>
      </c>
      <c r="M11" s="3" t="s">
        <v>41</v>
      </c>
      <c r="N11" s="9">
        <v>2314.5</v>
      </c>
      <c r="O11" s="9">
        <v>0</v>
      </c>
      <c r="P11" s="12" t="s">
        <v>24</v>
      </c>
      <c r="Q11" s="9">
        <v>0</v>
      </c>
      <c r="R11" s="11">
        <v>0</v>
      </c>
      <c r="S11" s="10">
        <v>2314.5</v>
      </c>
      <c r="T11" s="9">
        <v>0</v>
      </c>
      <c r="U11" s="14">
        <v>1</v>
      </c>
      <c r="V11" s="12" t="s">
        <v>166</v>
      </c>
      <c r="W11" s="9"/>
      <c r="X11" s="9"/>
    </row>
    <row r="12" spans="1:24" x14ac:dyDescent="0.35">
      <c r="A12" s="3">
        <v>7</v>
      </c>
      <c r="B12" s="3" t="s">
        <v>53</v>
      </c>
      <c r="C12" s="8">
        <v>43815.416666666701</v>
      </c>
      <c r="D12" s="8">
        <v>43822.416666666701</v>
      </c>
      <c r="E12" s="12" t="s">
        <v>56</v>
      </c>
      <c r="F12" s="12" t="s">
        <v>57</v>
      </c>
      <c r="G12" s="9">
        <v>672</v>
      </c>
      <c r="H12" s="9">
        <v>1970.5</v>
      </c>
      <c r="I12" s="9">
        <v>0</v>
      </c>
      <c r="J12" s="9">
        <v>0</v>
      </c>
      <c r="K12" s="9">
        <v>2642.5</v>
      </c>
      <c r="L12" s="7">
        <v>43815.541666666701</v>
      </c>
      <c r="M12" s="3" t="s">
        <v>202</v>
      </c>
      <c r="N12" s="9">
        <v>2482.5</v>
      </c>
      <c r="O12" s="9">
        <v>384</v>
      </c>
      <c r="P12" s="12" t="s">
        <v>209</v>
      </c>
      <c r="Q12" s="9">
        <v>0</v>
      </c>
      <c r="R12" s="11">
        <v>0</v>
      </c>
      <c r="S12" s="10">
        <v>2482.5</v>
      </c>
      <c r="T12" s="9">
        <v>384</v>
      </c>
      <c r="U12" s="14">
        <v>0.57142859697341897</v>
      </c>
      <c r="V12" s="12" t="s">
        <v>169</v>
      </c>
      <c r="W12" s="9"/>
      <c r="X12" s="9"/>
    </row>
    <row r="13" spans="1:24" ht="22" x14ac:dyDescent="0.35">
      <c r="A13" s="3">
        <v>8</v>
      </c>
      <c r="B13" s="3" t="s">
        <v>58</v>
      </c>
      <c r="C13" s="8">
        <v>43831.583333333299</v>
      </c>
      <c r="D13" s="8">
        <v>43832.583333333299</v>
      </c>
      <c r="E13" s="12" t="s">
        <v>61</v>
      </c>
      <c r="F13" s="12" t="s">
        <v>57</v>
      </c>
      <c r="G13" s="9">
        <v>112</v>
      </c>
      <c r="H13" s="9">
        <v>602.5</v>
      </c>
      <c r="I13" s="9">
        <v>0</v>
      </c>
      <c r="J13" s="9">
        <v>0</v>
      </c>
      <c r="K13" s="9">
        <v>714.5</v>
      </c>
      <c r="L13" s="3"/>
      <c r="M13" s="3" t="s">
        <v>24</v>
      </c>
      <c r="N13" s="9">
        <v>0</v>
      </c>
      <c r="O13" s="9">
        <v>714.5</v>
      </c>
      <c r="P13" s="12" t="s">
        <v>61</v>
      </c>
      <c r="Q13" s="9">
        <v>0</v>
      </c>
      <c r="R13" s="11">
        <v>0</v>
      </c>
      <c r="S13" s="10">
        <v>0</v>
      </c>
      <c r="T13" s="9">
        <v>714.5</v>
      </c>
      <c r="U13" s="14">
        <v>0</v>
      </c>
      <c r="V13" s="12" t="s">
        <v>170</v>
      </c>
      <c r="W13" s="9"/>
      <c r="X13" s="9"/>
    </row>
    <row r="14" spans="1:24" x14ac:dyDescent="0.35">
      <c r="A14" s="3">
        <v>9</v>
      </c>
      <c r="B14" s="3" t="s">
        <v>62</v>
      </c>
      <c r="C14" s="8">
        <v>43829.583333333299</v>
      </c>
      <c r="D14" s="8">
        <v>43830.583333333299</v>
      </c>
      <c r="E14" s="12" t="s">
        <v>61</v>
      </c>
      <c r="F14" s="12" t="s">
        <v>57</v>
      </c>
      <c r="G14" s="9">
        <v>112</v>
      </c>
      <c r="H14" s="9">
        <v>602.5</v>
      </c>
      <c r="I14" s="9">
        <v>0</v>
      </c>
      <c r="J14" s="9">
        <v>0</v>
      </c>
      <c r="K14" s="9">
        <v>714.5</v>
      </c>
      <c r="L14" s="3"/>
      <c r="M14" s="3" t="s">
        <v>24</v>
      </c>
      <c r="N14" s="9">
        <v>0</v>
      </c>
      <c r="O14" s="9">
        <v>714.5</v>
      </c>
      <c r="P14" s="12" t="s">
        <v>61</v>
      </c>
      <c r="Q14" s="9">
        <v>0</v>
      </c>
      <c r="R14" s="11">
        <v>0</v>
      </c>
      <c r="S14" s="10">
        <v>0</v>
      </c>
      <c r="T14" s="9">
        <v>714.5</v>
      </c>
      <c r="U14" s="14">
        <v>0</v>
      </c>
      <c r="V14" s="12" t="s">
        <v>170</v>
      </c>
      <c r="W14" s="9"/>
      <c r="X14" s="9"/>
    </row>
    <row r="15" spans="1:24" ht="22" x14ac:dyDescent="0.35">
      <c r="A15" s="3">
        <v>10</v>
      </c>
      <c r="B15" s="3" t="s">
        <v>64</v>
      </c>
      <c r="C15" s="8">
        <v>43829.375</v>
      </c>
      <c r="D15" s="8">
        <v>43829.708333333299</v>
      </c>
      <c r="E15" s="12" t="s">
        <v>61</v>
      </c>
      <c r="F15" s="12" t="s">
        <v>67</v>
      </c>
      <c r="G15" s="9">
        <v>56</v>
      </c>
      <c r="H15" s="9">
        <v>602.5</v>
      </c>
      <c r="I15" s="9">
        <v>0</v>
      </c>
      <c r="J15" s="9">
        <v>0</v>
      </c>
      <c r="K15" s="9">
        <v>658.5</v>
      </c>
      <c r="L15" s="3"/>
      <c r="M15" s="3" t="s">
        <v>24</v>
      </c>
      <c r="N15" s="9">
        <v>0</v>
      </c>
      <c r="O15" s="9">
        <v>658.5</v>
      </c>
      <c r="P15" s="12" t="s">
        <v>61</v>
      </c>
      <c r="Q15" s="9">
        <v>0</v>
      </c>
      <c r="R15" s="11">
        <v>0</v>
      </c>
      <c r="S15" s="10">
        <v>0</v>
      </c>
      <c r="T15" s="9">
        <v>658.5</v>
      </c>
      <c r="U15" s="14">
        <v>0</v>
      </c>
      <c r="V15" s="12" t="s">
        <v>170</v>
      </c>
      <c r="W15" s="9"/>
      <c r="X15" s="9"/>
    </row>
    <row r="16" spans="1:24" x14ac:dyDescent="0.35">
      <c r="A16" s="3">
        <v>11</v>
      </c>
      <c r="B16" s="3" t="s">
        <v>68</v>
      </c>
      <c r="C16" s="8">
        <v>43813.416666666701</v>
      </c>
      <c r="D16" s="8">
        <v>43815.416666666701</v>
      </c>
      <c r="E16" s="12" t="s">
        <v>61</v>
      </c>
      <c r="F16" s="12" t="s">
        <v>67</v>
      </c>
      <c r="G16" s="9">
        <v>56</v>
      </c>
      <c r="H16" s="9">
        <v>602.5</v>
      </c>
      <c r="I16" s="9">
        <v>0</v>
      </c>
      <c r="J16" s="9">
        <v>0</v>
      </c>
      <c r="K16" s="9">
        <v>658.5</v>
      </c>
      <c r="L16" s="3"/>
      <c r="M16" s="3" t="s">
        <v>24</v>
      </c>
      <c r="N16" s="9">
        <v>0</v>
      </c>
      <c r="O16" s="9">
        <v>658.5</v>
      </c>
      <c r="P16" s="12" t="s">
        <v>61</v>
      </c>
      <c r="Q16" s="9">
        <v>0</v>
      </c>
      <c r="R16" s="11">
        <v>0</v>
      </c>
      <c r="S16" s="10">
        <v>0</v>
      </c>
      <c r="T16" s="9">
        <v>658.5</v>
      </c>
      <c r="U16" s="14">
        <v>0</v>
      </c>
      <c r="V16" s="12" t="s">
        <v>170</v>
      </c>
      <c r="W16" s="9"/>
      <c r="X16" s="9"/>
    </row>
    <row r="17" spans="1:24" ht="22" x14ac:dyDescent="0.35">
      <c r="A17" s="3">
        <v>13</v>
      </c>
      <c r="B17" s="3" t="s">
        <v>70</v>
      </c>
      <c r="C17" s="8">
        <v>43823.416666666701</v>
      </c>
      <c r="D17" s="8">
        <v>43823.583333333299</v>
      </c>
      <c r="E17" s="12" t="s">
        <v>29</v>
      </c>
      <c r="F17" s="12" t="s">
        <v>67</v>
      </c>
      <c r="G17" s="9">
        <v>24</v>
      </c>
      <c r="H17" s="9">
        <v>602.5</v>
      </c>
      <c r="I17" s="9">
        <v>0</v>
      </c>
      <c r="J17" s="9">
        <v>0</v>
      </c>
      <c r="K17" s="9">
        <v>626.5</v>
      </c>
      <c r="L17" s="7">
        <v>43811.458333333299</v>
      </c>
      <c r="M17" s="3" t="s">
        <v>29</v>
      </c>
      <c r="N17" s="9">
        <v>626.5</v>
      </c>
      <c r="O17" s="9">
        <v>0</v>
      </c>
      <c r="P17" s="12" t="s">
        <v>24</v>
      </c>
      <c r="Q17" s="9">
        <v>0</v>
      </c>
      <c r="R17" s="11">
        <v>0</v>
      </c>
      <c r="S17" s="10">
        <v>626.5</v>
      </c>
      <c r="T17" s="9">
        <v>0</v>
      </c>
      <c r="U17" s="14">
        <v>1</v>
      </c>
      <c r="V17" s="12" t="s">
        <v>166</v>
      </c>
      <c r="W17" s="9"/>
      <c r="X17" s="9"/>
    </row>
    <row r="18" spans="1:24" x14ac:dyDescent="0.35">
      <c r="A18" s="3">
        <v>14</v>
      </c>
      <c r="B18" s="3" t="s">
        <v>74</v>
      </c>
      <c r="C18" s="8">
        <v>43836.583333333299</v>
      </c>
      <c r="D18" s="8">
        <v>43838.583333333299</v>
      </c>
      <c r="E18" s="12" t="s">
        <v>51</v>
      </c>
      <c r="F18" s="12" t="s">
        <v>77</v>
      </c>
      <c r="G18" s="9">
        <v>672</v>
      </c>
      <c r="H18" s="9">
        <v>602.5</v>
      </c>
      <c r="I18" s="9">
        <v>0</v>
      </c>
      <c r="J18" s="9">
        <v>0</v>
      </c>
      <c r="K18" s="9">
        <v>1274.5</v>
      </c>
      <c r="L18" s="3"/>
      <c r="M18" s="3" t="s">
        <v>24</v>
      </c>
      <c r="N18" s="9">
        <v>0</v>
      </c>
      <c r="O18" s="9">
        <v>1274.5</v>
      </c>
      <c r="P18" s="12" t="s">
        <v>51</v>
      </c>
      <c r="Q18" s="9">
        <v>0</v>
      </c>
      <c r="R18" s="11">
        <v>0</v>
      </c>
      <c r="S18" s="10">
        <v>0</v>
      </c>
      <c r="T18" s="9">
        <v>1274.5</v>
      </c>
      <c r="U18" s="14">
        <v>0</v>
      </c>
      <c r="V18" s="12" t="s">
        <v>170</v>
      </c>
      <c r="W18" s="9"/>
      <c r="X18" s="9"/>
    </row>
    <row r="19" spans="1:24" x14ac:dyDescent="0.35">
      <c r="A19" s="3">
        <v>15</v>
      </c>
      <c r="B19" s="3" t="s">
        <v>78</v>
      </c>
      <c r="C19" s="8">
        <v>43829.583333333299</v>
      </c>
      <c r="D19" s="8">
        <v>43830.583333333299</v>
      </c>
      <c r="E19" s="12" t="s">
        <v>61</v>
      </c>
      <c r="F19" s="12" t="s">
        <v>57</v>
      </c>
      <c r="G19" s="9">
        <v>112</v>
      </c>
      <c r="H19" s="9">
        <v>602.5</v>
      </c>
      <c r="I19" s="9">
        <v>0</v>
      </c>
      <c r="J19" s="9">
        <v>0</v>
      </c>
      <c r="K19" s="9">
        <v>714.5</v>
      </c>
      <c r="L19" s="3"/>
      <c r="M19" s="3" t="s">
        <v>24</v>
      </c>
      <c r="N19" s="9">
        <v>0</v>
      </c>
      <c r="O19" s="9">
        <v>714.5</v>
      </c>
      <c r="P19" s="12" t="s">
        <v>61</v>
      </c>
      <c r="Q19" s="9">
        <v>0</v>
      </c>
      <c r="R19" s="11">
        <v>0</v>
      </c>
      <c r="S19" s="10">
        <v>0</v>
      </c>
      <c r="T19" s="9">
        <v>714.5</v>
      </c>
      <c r="U19" s="14">
        <v>0</v>
      </c>
      <c r="V19" s="12" t="s">
        <v>170</v>
      </c>
      <c r="W19" s="9"/>
      <c r="X19" s="9"/>
    </row>
    <row r="20" spans="1:24" x14ac:dyDescent="0.35">
      <c r="A20" s="3">
        <v>16</v>
      </c>
      <c r="B20" s="3" t="s">
        <v>80</v>
      </c>
      <c r="C20" s="8">
        <v>43827.416666666701</v>
      </c>
      <c r="D20" s="8">
        <v>43827.583333333299</v>
      </c>
      <c r="E20" s="12" t="s">
        <v>29</v>
      </c>
      <c r="F20" s="12" t="s">
        <v>57</v>
      </c>
      <c r="G20" s="9">
        <v>48</v>
      </c>
      <c r="H20" s="9">
        <v>602.5</v>
      </c>
      <c r="I20" s="9">
        <v>0</v>
      </c>
      <c r="J20" s="9">
        <v>0</v>
      </c>
      <c r="K20" s="9">
        <v>650.5</v>
      </c>
      <c r="L20" s="7">
        <v>43813.666666666701</v>
      </c>
      <c r="M20" s="3" t="s">
        <v>167</v>
      </c>
      <c r="N20" s="9">
        <v>666.5</v>
      </c>
      <c r="O20" s="9">
        <v>0</v>
      </c>
      <c r="P20" s="12" t="s">
        <v>24</v>
      </c>
      <c r="Q20" s="9">
        <v>0</v>
      </c>
      <c r="R20" s="11">
        <v>0</v>
      </c>
      <c r="S20" s="10">
        <v>666.5</v>
      </c>
      <c r="T20" s="9">
        <v>0</v>
      </c>
      <c r="U20" s="14">
        <v>1</v>
      </c>
      <c r="V20" s="12" t="s">
        <v>166</v>
      </c>
      <c r="W20" s="9"/>
      <c r="X20" s="9"/>
    </row>
    <row r="21" spans="1:24" x14ac:dyDescent="0.35">
      <c r="A21" s="3">
        <v>17</v>
      </c>
      <c r="B21" s="3" t="s">
        <v>82</v>
      </c>
      <c r="C21" s="8">
        <v>43822.416666666701</v>
      </c>
      <c r="D21" s="8">
        <v>43823.416666666701</v>
      </c>
      <c r="E21" s="12" t="s">
        <v>61</v>
      </c>
      <c r="F21" s="12" t="s">
        <v>85</v>
      </c>
      <c r="G21" s="9">
        <v>140</v>
      </c>
      <c r="H21" s="9">
        <v>3302.5</v>
      </c>
      <c r="I21" s="9">
        <v>0</v>
      </c>
      <c r="J21" s="9">
        <v>0</v>
      </c>
      <c r="K21" s="9">
        <v>3442.5</v>
      </c>
      <c r="L21" s="7">
        <v>43810.625</v>
      </c>
      <c r="M21" s="3" t="s">
        <v>167</v>
      </c>
      <c r="N21" s="9">
        <v>3382.5</v>
      </c>
      <c r="O21" s="9">
        <v>0</v>
      </c>
      <c r="P21" s="12" t="s">
        <v>24</v>
      </c>
      <c r="Q21" s="9">
        <v>0</v>
      </c>
      <c r="R21" s="11">
        <v>0</v>
      </c>
      <c r="S21" s="10">
        <v>3382.5</v>
      </c>
      <c r="T21" s="9">
        <v>0</v>
      </c>
      <c r="U21" s="14">
        <v>1</v>
      </c>
      <c r="V21" s="12" t="s">
        <v>166</v>
      </c>
      <c r="W21" s="9"/>
      <c r="X21" s="9"/>
    </row>
    <row r="22" spans="1:24" x14ac:dyDescent="0.35">
      <c r="A22" s="3">
        <v>18</v>
      </c>
      <c r="B22" s="3" t="s">
        <v>86</v>
      </c>
      <c r="C22" s="8">
        <v>43832.583333333299</v>
      </c>
      <c r="D22" s="8">
        <v>43833.583333333299</v>
      </c>
      <c r="E22" s="12" t="s">
        <v>61</v>
      </c>
      <c r="F22" s="12" t="s">
        <v>57</v>
      </c>
      <c r="G22" s="9">
        <v>112</v>
      </c>
      <c r="H22" s="9">
        <v>602.5</v>
      </c>
      <c r="I22" s="9">
        <v>0</v>
      </c>
      <c r="J22" s="9">
        <v>0</v>
      </c>
      <c r="K22" s="9">
        <v>714.5</v>
      </c>
      <c r="L22" s="3"/>
      <c r="M22" s="3" t="s">
        <v>24</v>
      </c>
      <c r="N22" s="9">
        <v>0</v>
      </c>
      <c r="O22" s="9">
        <v>714.5</v>
      </c>
      <c r="P22" s="12" t="s">
        <v>61</v>
      </c>
      <c r="Q22" s="9">
        <v>0</v>
      </c>
      <c r="R22" s="11">
        <v>0</v>
      </c>
      <c r="S22" s="10">
        <v>0</v>
      </c>
      <c r="T22" s="9">
        <v>714.5</v>
      </c>
      <c r="U22" s="14">
        <v>0</v>
      </c>
      <c r="V22" s="12" t="s">
        <v>170</v>
      </c>
      <c r="W22" s="9"/>
      <c r="X22" s="9"/>
    </row>
    <row r="23" spans="1:24" ht="22" x14ac:dyDescent="0.35">
      <c r="A23" s="3">
        <v>19</v>
      </c>
      <c r="B23" s="3" t="s">
        <v>88</v>
      </c>
      <c r="C23" s="8">
        <v>43833.583333333299</v>
      </c>
      <c r="D23" s="8">
        <v>43836.583333333299</v>
      </c>
      <c r="E23" s="12" t="s">
        <v>51</v>
      </c>
      <c r="F23" s="12" t="s">
        <v>77</v>
      </c>
      <c r="G23" s="9">
        <v>672</v>
      </c>
      <c r="H23" s="9">
        <v>2252.5</v>
      </c>
      <c r="I23" s="9">
        <v>0</v>
      </c>
      <c r="J23" s="9">
        <v>0</v>
      </c>
      <c r="K23" s="9">
        <v>2924.5</v>
      </c>
      <c r="L23" s="3"/>
      <c r="M23" s="3" t="s">
        <v>24</v>
      </c>
      <c r="N23" s="9">
        <v>0</v>
      </c>
      <c r="O23" s="9">
        <v>2924.5</v>
      </c>
      <c r="P23" s="12" t="s">
        <v>51</v>
      </c>
      <c r="Q23" s="9">
        <v>0</v>
      </c>
      <c r="R23" s="11">
        <v>0</v>
      </c>
      <c r="S23" s="10">
        <v>0</v>
      </c>
      <c r="T23" s="9">
        <v>2924.5</v>
      </c>
      <c r="U23" s="14">
        <v>0</v>
      </c>
      <c r="V23" s="12" t="s">
        <v>170</v>
      </c>
      <c r="W23" s="9"/>
      <c r="X23" s="9"/>
    </row>
    <row r="24" spans="1:24" x14ac:dyDescent="0.35">
      <c r="A24" s="3">
        <v>20</v>
      </c>
      <c r="B24" s="3" t="s">
        <v>91</v>
      </c>
      <c r="C24" s="8">
        <v>43824.416666666701</v>
      </c>
      <c r="D24" s="8">
        <v>43825.416666666701</v>
      </c>
      <c r="E24" s="12" t="s">
        <v>61</v>
      </c>
      <c r="F24" s="12" t="s">
        <v>67</v>
      </c>
      <c r="G24" s="9">
        <v>56</v>
      </c>
      <c r="H24" s="9">
        <v>28602.5</v>
      </c>
      <c r="I24" s="9">
        <v>0</v>
      </c>
      <c r="J24" s="9">
        <v>0</v>
      </c>
      <c r="K24" s="9">
        <v>28658.5</v>
      </c>
      <c r="L24" s="7">
        <v>43811.458333333299</v>
      </c>
      <c r="M24" s="3" t="s">
        <v>174</v>
      </c>
      <c r="N24" s="9">
        <v>28642.5</v>
      </c>
      <c r="O24" s="9">
        <v>0</v>
      </c>
      <c r="P24" s="12" t="s">
        <v>24</v>
      </c>
      <c r="Q24" s="9">
        <v>0</v>
      </c>
      <c r="R24" s="11">
        <v>0</v>
      </c>
      <c r="S24" s="10">
        <v>28642.5</v>
      </c>
      <c r="T24" s="9">
        <v>0</v>
      </c>
      <c r="U24" s="14">
        <v>1</v>
      </c>
      <c r="V24" s="12" t="s">
        <v>166</v>
      </c>
      <c r="W24" s="9"/>
      <c r="X24" s="9"/>
    </row>
    <row r="25" spans="1:24" ht="22" x14ac:dyDescent="0.35">
      <c r="A25" s="3">
        <v>21</v>
      </c>
      <c r="B25" s="3" t="s">
        <v>95</v>
      </c>
      <c r="C25" s="8">
        <v>43830.583333333299</v>
      </c>
      <c r="D25" s="8">
        <v>43831.583333333299</v>
      </c>
      <c r="E25" s="12" t="s">
        <v>61</v>
      </c>
      <c r="F25" s="12" t="s">
        <v>36</v>
      </c>
      <c r="G25" s="9">
        <v>168</v>
      </c>
      <c r="H25" s="9">
        <v>3677.5</v>
      </c>
      <c r="I25" s="9">
        <v>0</v>
      </c>
      <c r="J25" s="9">
        <v>0</v>
      </c>
      <c r="K25" s="9">
        <v>3845.5</v>
      </c>
      <c r="L25" s="3"/>
      <c r="M25" s="3" t="s">
        <v>24</v>
      </c>
      <c r="N25" s="9">
        <v>0</v>
      </c>
      <c r="O25" s="9">
        <v>3845.5</v>
      </c>
      <c r="P25" s="12" t="s">
        <v>61</v>
      </c>
      <c r="Q25" s="9">
        <v>0</v>
      </c>
      <c r="R25" s="11">
        <v>0</v>
      </c>
      <c r="S25" s="10">
        <v>0</v>
      </c>
      <c r="T25" s="9">
        <v>3845.5</v>
      </c>
      <c r="U25" s="14">
        <v>0</v>
      </c>
      <c r="V25" s="12" t="s">
        <v>170</v>
      </c>
      <c r="W25" s="9"/>
      <c r="X25" s="9"/>
    </row>
    <row r="26" spans="1:24" x14ac:dyDescent="0.35">
      <c r="A26" s="3">
        <v>22</v>
      </c>
      <c r="B26" s="3" t="s">
        <v>98</v>
      </c>
      <c r="C26" s="8">
        <v>43825.416666666701</v>
      </c>
      <c r="D26" s="8">
        <v>43826.416666666701</v>
      </c>
      <c r="E26" s="12" t="s">
        <v>61</v>
      </c>
      <c r="F26" s="12" t="s">
        <v>67</v>
      </c>
      <c r="G26" s="9">
        <v>56</v>
      </c>
      <c r="H26" s="9">
        <v>602.5</v>
      </c>
      <c r="I26" s="9">
        <v>0</v>
      </c>
      <c r="J26" s="9">
        <v>0</v>
      </c>
      <c r="K26" s="9">
        <v>658.5</v>
      </c>
      <c r="L26" s="7">
        <v>43812.375</v>
      </c>
      <c r="M26" s="3" t="s">
        <v>124</v>
      </c>
      <c r="N26" s="9">
        <v>650.5</v>
      </c>
      <c r="O26" s="9">
        <v>0</v>
      </c>
      <c r="P26" s="12" t="s">
        <v>24</v>
      </c>
      <c r="Q26" s="9">
        <v>0</v>
      </c>
      <c r="R26" s="11">
        <v>0</v>
      </c>
      <c r="S26" s="10">
        <v>650.5</v>
      </c>
      <c r="T26" s="9">
        <v>0</v>
      </c>
      <c r="U26" s="14">
        <v>1</v>
      </c>
      <c r="V26" s="12" t="s">
        <v>166</v>
      </c>
      <c r="W26" s="9"/>
      <c r="X26" s="9"/>
    </row>
    <row r="27" spans="1:24" x14ac:dyDescent="0.35">
      <c r="A27" s="3">
        <v>23</v>
      </c>
      <c r="B27" s="3" t="s">
        <v>101</v>
      </c>
      <c r="C27" s="8">
        <v>43832.583333333299</v>
      </c>
      <c r="D27" s="8">
        <v>43833.583333333299</v>
      </c>
      <c r="E27" s="12" t="s">
        <v>61</v>
      </c>
      <c r="F27" s="12" t="s">
        <v>52</v>
      </c>
      <c r="G27" s="9">
        <v>224</v>
      </c>
      <c r="H27" s="9">
        <v>43602.5</v>
      </c>
      <c r="I27" s="9">
        <v>0</v>
      </c>
      <c r="J27" s="9">
        <v>0</v>
      </c>
      <c r="K27" s="9">
        <v>43826.5</v>
      </c>
      <c r="L27" s="3"/>
      <c r="M27" s="3" t="s">
        <v>24</v>
      </c>
      <c r="N27" s="9">
        <v>0</v>
      </c>
      <c r="O27" s="9">
        <v>43826.5</v>
      </c>
      <c r="P27" s="12" t="s">
        <v>61</v>
      </c>
      <c r="Q27" s="9">
        <v>0</v>
      </c>
      <c r="R27" s="11">
        <v>0</v>
      </c>
      <c r="S27" s="10">
        <v>0</v>
      </c>
      <c r="T27" s="9">
        <v>43826.5</v>
      </c>
      <c r="U27" s="14">
        <v>0</v>
      </c>
      <c r="V27" s="12" t="s">
        <v>170</v>
      </c>
      <c r="W27" s="9"/>
      <c r="X27" s="9"/>
    </row>
    <row r="28" spans="1:24" x14ac:dyDescent="0.35">
      <c r="A28" s="3">
        <v>24</v>
      </c>
      <c r="B28" s="3" t="s">
        <v>103</v>
      </c>
      <c r="C28" s="8">
        <v>43826.416666666701</v>
      </c>
      <c r="D28" s="8">
        <v>43827.416666666701</v>
      </c>
      <c r="E28" s="12" t="s">
        <v>61</v>
      </c>
      <c r="F28" s="12" t="s">
        <v>67</v>
      </c>
      <c r="G28" s="9">
        <v>56</v>
      </c>
      <c r="H28" s="9">
        <v>1577.5</v>
      </c>
      <c r="I28" s="9">
        <v>0</v>
      </c>
      <c r="J28" s="9">
        <v>0</v>
      </c>
      <c r="K28" s="9">
        <v>1633.5</v>
      </c>
      <c r="L28" s="7">
        <v>43812.666666666701</v>
      </c>
      <c r="M28" s="3" t="s">
        <v>61</v>
      </c>
      <c r="N28" s="9">
        <v>1633.5</v>
      </c>
      <c r="O28" s="9">
        <v>0</v>
      </c>
      <c r="P28" s="12" t="s">
        <v>24</v>
      </c>
      <c r="Q28" s="9">
        <v>0</v>
      </c>
      <c r="R28" s="11">
        <v>0</v>
      </c>
      <c r="S28" s="10">
        <v>1633.5</v>
      </c>
      <c r="T28" s="9">
        <v>0</v>
      </c>
      <c r="U28" s="14">
        <v>1</v>
      </c>
      <c r="V28" s="12" t="s">
        <v>166</v>
      </c>
      <c r="W28" s="9"/>
      <c r="X28" s="9"/>
    </row>
    <row r="29" spans="1:24" x14ac:dyDescent="0.35">
      <c r="A29" s="3">
        <v>25</v>
      </c>
      <c r="B29" s="3" t="s">
        <v>106</v>
      </c>
      <c r="C29" s="8">
        <v>43813.416666666701</v>
      </c>
      <c r="D29" s="8">
        <v>43815.416666666701</v>
      </c>
      <c r="E29" s="12" t="s">
        <v>61</v>
      </c>
      <c r="F29" s="12" t="s">
        <v>67</v>
      </c>
      <c r="G29" s="9">
        <v>56</v>
      </c>
      <c r="H29" s="9">
        <v>2524.5</v>
      </c>
      <c r="I29" s="9">
        <v>0</v>
      </c>
      <c r="J29" s="9">
        <v>0</v>
      </c>
      <c r="K29" s="9">
        <v>2580.5</v>
      </c>
      <c r="L29" s="7">
        <v>43812.541666666701</v>
      </c>
      <c r="M29" s="3" t="s">
        <v>61</v>
      </c>
      <c r="N29" s="9">
        <v>2580.5</v>
      </c>
      <c r="O29" s="9">
        <v>0</v>
      </c>
      <c r="P29" s="12" t="s">
        <v>24</v>
      </c>
      <c r="Q29" s="9">
        <v>0</v>
      </c>
      <c r="R29" s="11">
        <v>0</v>
      </c>
      <c r="S29" s="10">
        <v>2580.5</v>
      </c>
      <c r="T29" s="9">
        <v>0</v>
      </c>
      <c r="U29" s="14">
        <v>1</v>
      </c>
      <c r="V29" s="12" t="s">
        <v>166</v>
      </c>
      <c r="W29" s="9"/>
      <c r="X29" s="9"/>
    </row>
    <row r="30" spans="1:24" x14ac:dyDescent="0.35">
      <c r="A30" s="3">
        <v>26</v>
      </c>
      <c r="B30" s="3" t="s">
        <v>108</v>
      </c>
      <c r="C30" s="8">
        <v>43829.583333333299</v>
      </c>
      <c r="D30" s="8">
        <v>43830.583333333299</v>
      </c>
      <c r="E30" s="12" t="s">
        <v>61</v>
      </c>
      <c r="F30" s="12" t="s">
        <v>57</v>
      </c>
      <c r="G30" s="9">
        <v>112</v>
      </c>
      <c r="H30" s="9">
        <v>3442.30004882813</v>
      </c>
      <c r="I30" s="9">
        <v>0</v>
      </c>
      <c r="J30" s="9">
        <v>0</v>
      </c>
      <c r="K30" s="9">
        <v>3554.30004882813</v>
      </c>
      <c r="L30" s="3"/>
      <c r="M30" s="3" t="s">
        <v>24</v>
      </c>
      <c r="N30" s="9">
        <v>0</v>
      </c>
      <c r="O30" s="9">
        <v>3554.30004882813</v>
      </c>
      <c r="P30" s="12" t="s">
        <v>61</v>
      </c>
      <c r="Q30" s="9">
        <v>0</v>
      </c>
      <c r="R30" s="11">
        <v>0</v>
      </c>
      <c r="S30" s="10">
        <v>0</v>
      </c>
      <c r="T30" s="9">
        <v>3554.30004882813</v>
      </c>
      <c r="U30" s="14">
        <v>0</v>
      </c>
      <c r="V30" s="12" t="s">
        <v>170</v>
      </c>
      <c r="W30" s="9"/>
      <c r="X30" s="9"/>
    </row>
    <row r="31" spans="1:24" x14ac:dyDescent="0.35">
      <c r="A31" s="3">
        <v>27</v>
      </c>
      <c r="B31" s="3" t="s">
        <v>110</v>
      </c>
      <c r="C31" s="8">
        <v>43823.416666666701</v>
      </c>
      <c r="D31" s="8">
        <v>43824.416666666701</v>
      </c>
      <c r="E31" s="12" t="s">
        <v>61</v>
      </c>
      <c r="F31" s="12" t="s">
        <v>67</v>
      </c>
      <c r="G31" s="9">
        <v>56</v>
      </c>
      <c r="H31" s="9">
        <v>2972.5</v>
      </c>
      <c r="I31" s="9">
        <v>0</v>
      </c>
      <c r="J31" s="9">
        <v>0</v>
      </c>
      <c r="K31" s="9">
        <v>3028.5</v>
      </c>
      <c r="L31" s="7">
        <v>43810.625</v>
      </c>
      <c r="M31" s="3" t="s">
        <v>167</v>
      </c>
      <c r="N31" s="9">
        <v>3004.5</v>
      </c>
      <c r="O31" s="9">
        <v>0</v>
      </c>
      <c r="P31" s="12" t="s">
        <v>24</v>
      </c>
      <c r="Q31" s="9">
        <v>0</v>
      </c>
      <c r="R31" s="11">
        <v>0</v>
      </c>
      <c r="S31" s="10">
        <v>3004.5</v>
      </c>
      <c r="T31" s="9">
        <v>0</v>
      </c>
      <c r="U31" s="14">
        <v>1</v>
      </c>
      <c r="V31" s="12" t="s">
        <v>166</v>
      </c>
      <c r="W31" s="9"/>
      <c r="X31" s="9"/>
    </row>
    <row r="32" spans="1:24" x14ac:dyDescent="0.35">
      <c r="A32" s="3">
        <v>28</v>
      </c>
      <c r="B32" s="3" t="s">
        <v>113</v>
      </c>
      <c r="C32" s="8">
        <v>43832.583333333299</v>
      </c>
      <c r="D32" s="8">
        <v>43833.583333333299</v>
      </c>
      <c r="E32" s="12" t="s">
        <v>61</v>
      </c>
      <c r="F32" s="12" t="s">
        <v>67</v>
      </c>
      <c r="G32" s="9">
        <v>56</v>
      </c>
      <c r="H32" s="9">
        <v>1586.5</v>
      </c>
      <c r="I32" s="9">
        <v>0</v>
      </c>
      <c r="J32" s="9">
        <v>0</v>
      </c>
      <c r="K32" s="9">
        <v>1642.5</v>
      </c>
      <c r="L32" s="7">
        <v>43810.625</v>
      </c>
      <c r="M32" s="3" t="s">
        <v>185</v>
      </c>
      <c r="N32" s="9">
        <v>1666.5</v>
      </c>
      <c r="O32" s="9">
        <v>0</v>
      </c>
      <c r="P32" s="12" t="s">
        <v>24</v>
      </c>
      <c r="Q32" s="9">
        <v>0</v>
      </c>
      <c r="R32" s="11">
        <v>0</v>
      </c>
      <c r="S32" s="10">
        <v>1666.5</v>
      </c>
      <c r="T32" s="9">
        <v>0</v>
      </c>
      <c r="U32" s="14">
        <v>1</v>
      </c>
      <c r="V32" s="12" t="s">
        <v>166</v>
      </c>
      <c r="W32" s="9"/>
      <c r="X32" s="9"/>
    </row>
    <row r="33" spans="1:24" ht="22" x14ac:dyDescent="0.35">
      <c r="A33" s="3">
        <v>29</v>
      </c>
      <c r="B33" s="3" t="s">
        <v>117</v>
      </c>
      <c r="C33" s="8">
        <v>43833.583333333299</v>
      </c>
      <c r="D33" s="8">
        <v>43833.708333333299</v>
      </c>
      <c r="E33" s="12" t="s">
        <v>29</v>
      </c>
      <c r="F33" s="12" t="s">
        <v>67</v>
      </c>
      <c r="G33" s="9">
        <v>24</v>
      </c>
      <c r="H33" s="9">
        <v>602.5</v>
      </c>
      <c r="I33" s="9">
        <v>0</v>
      </c>
      <c r="J33" s="9">
        <v>0</v>
      </c>
      <c r="K33" s="9">
        <v>626.5</v>
      </c>
      <c r="L33" s="7">
        <v>43812.416666666701</v>
      </c>
      <c r="M33" s="3" t="s">
        <v>177</v>
      </c>
      <c r="N33" s="9">
        <v>618.5</v>
      </c>
      <c r="O33" s="9">
        <v>0</v>
      </c>
      <c r="P33" s="12" t="s">
        <v>24</v>
      </c>
      <c r="Q33" s="9">
        <v>0</v>
      </c>
      <c r="R33" s="11">
        <v>0</v>
      </c>
      <c r="S33" s="10">
        <v>618.5</v>
      </c>
      <c r="T33" s="9">
        <v>0</v>
      </c>
      <c r="U33" s="14">
        <v>1</v>
      </c>
      <c r="V33" s="12" t="s">
        <v>166</v>
      </c>
      <c r="W33" s="9"/>
      <c r="X33" s="9"/>
    </row>
    <row r="34" spans="1:24" x14ac:dyDescent="0.35">
      <c r="A34" s="3">
        <v>30</v>
      </c>
      <c r="B34" s="3" t="s">
        <v>120</v>
      </c>
      <c r="C34" s="8">
        <v>43838.583333333299</v>
      </c>
      <c r="D34" s="8">
        <v>43839.5</v>
      </c>
      <c r="E34" s="12" t="s">
        <v>124</v>
      </c>
      <c r="F34" s="12" t="s">
        <v>67</v>
      </c>
      <c r="G34" s="9">
        <v>48</v>
      </c>
      <c r="H34" s="9">
        <v>602.5</v>
      </c>
      <c r="I34" s="9">
        <v>0</v>
      </c>
      <c r="J34" s="9">
        <v>0</v>
      </c>
      <c r="K34" s="9">
        <v>650.5</v>
      </c>
      <c r="L34" s="3"/>
      <c r="M34" s="3" t="s">
        <v>24</v>
      </c>
      <c r="N34" s="9">
        <v>0</v>
      </c>
      <c r="O34" s="9">
        <v>650.5</v>
      </c>
      <c r="P34" s="12" t="s">
        <v>124</v>
      </c>
      <c r="Q34" s="9">
        <v>0</v>
      </c>
      <c r="R34" s="11">
        <v>0</v>
      </c>
      <c r="S34" s="10">
        <v>0</v>
      </c>
      <c r="T34" s="9">
        <v>650.5</v>
      </c>
      <c r="U34" s="14">
        <v>0</v>
      </c>
      <c r="V34" s="12" t="s">
        <v>170</v>
      </c>
      <c r="W34" s="9"/>
      <c r="X34" s="9"/>
    </row>
    <row r="35" spans="1:24" x14ac:dyDescent="0.35">
      <c r="A35" s="3">
        <v>31</v>
      </c>
      <c r="B35" s="3" t="s">
        <v>125</v>
      </c>
      <c r="C35" s="8">
        <v>43839.5</v>
      </c>
      <c r="D35" s="8">
        <v>43839.5</v>
      </c>
      <c r="E35" s="12" t="s">
        <v>24</v>
      </c>
      <c r="F35" s="12"/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3"/>
      <c r="M35" s="3" t="s">
        <v>24</v>
      </c>
      <c r="N35" s="9">
        <v>0</v>
      </c>
      <c r="O35" s="9">
        <v>0</v>
      </c>
      <c r="P35" s="12" t="s">
        <v>24</v>
      </c>
      <c r="Q35" s="9">
        <v>0</v>
      </c>
      <c r="R35" s="11">
        <v>0</v>
      </c>
      <c r="S35" s="10">
        <v>0</v>
      </c>
      <c r="T35" s="9">
        <v>0</v>
      </c>
      <c r="U35" s="14">
        <v>0</v>
      </c>
      <c r="V35" s="12" t="s">
        <v>170</v>
      </c>
      <c r="W35" s="9"/>
      <c r="X35" s="9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Blad16"/>
  <dimension ref="A1:X35"/>
  <sheetViews>
    <sheetView topLeftCell="C1" workbookViewId="0">
      <selection activeCell="W5" sqref="W5:X35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150</v>
      </c>
      <c r="C1" s="7">
        <v>43820.708333333299</v>
      </c>
      <c r="E1" s="1" t="s">
        <v>151</v>
      </c>
      <c r="F1" s="4" t="s">
        <v>210</v>
      </c>
    </row>
    <row r="3" spans="1:24" x14ac:dyDescent="0.35">
      <c r="A3" s="24" t="s">
        <v>0</v>
      </c>
      <c r="B3" s="24"/>
      <c r="C3" s="24" t="s">
        <v>2</v>
      </c>
      <c r="D3" s="24"/>
      <c r="E3" s="24"/>
      <c r="F3" s="24" t="s">
        <v>3</v>
      </c>
      <c r="G3" s="24"/>
      <c r="H3" s="24" t="s">
        <v>4</v>
      </c>
      <c r="I3" s="24"/>
      <c r="J3" s="24"/>
      <c r="K3" s="24"/>
      <c r="L3" s="24" t="s">
        <v>152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153</v>
      </c>
      <c r="M4" s="1" t="s">
        <v>154</v>
      </c>
      <c r="N4" s="1" t="s">
        <v>155</v>
      </c>
      <c r="O4" s="1" t="s">
        <v>156</v>
      </c>
      <c r="P4" s="1" t="s">
        <v>157</v>
      </c>
      <c r="Q4" s="1" t="s">
        <v>158</v>
      </c>
      <c r="R4" s="1" t="s">
        <v>159</v>
      </c>
      <c r="S4" s="1" t="s">
        <v>160</v>
      </c>
      <c r="T4" s="1" t="s">
        <v>161</v>
      </c>
      <c r="U4" s="1" t="s">
        <v>162</v>
      </c>
      <c r="V4" s="1" t="s">
        <v>152</v>
      </c>
      <c r="W4" s="1" t="s">
        <v>163</v>
      </c>
      <c r="X4" s="1" t="s">
        <v>164</v>
      </c>
    </row>
    <row r="5" spans="1:24" x14ac:dyDescent="0.35">
      <c r="A5" s="2">
        <v>0</v>
      </c>
      <c r="B5" s="3" t="s">
        <v>18</v>
      </c>
      <c r="C5" s="5">
        <v>43808.375</v>
      </c>
      <c r="D5" s="5">
        <v>43839.5</v>
      </c>
      <c r="E5" s="2" t="s">
        <v>20</v>
      </c>
      <c r="F5" s="2"/>
      <c r="G5" s="6"/>
      <c r="H5" s="6">
        <v>118411.30004882799</v>
      </c>
      <c r="I5" s="6"/>
      <c r="J5" s="6"/>
      <c r="K5" s="6">
        <v>126955.30004882799</v>
      </c>
      <c r="L5" s="2"/>
      <c r="M5" s="2" t="s">
        <v>211</v>
      </c>
      <c r="N5" s="6"/>
      <c r="O5" s="6"/>
      <c r="P5" s="2"/>
      <c r="Q5" s="6"/>
      <c r="R5" s="6"/>
      <c r="S5" s="6">
        <v>65124.5</v>
      </c>
      <c r="T5" s="6"/>
      <c r="U5" s="13">
        <v>0.516936060906386</v>
      </c>
      <c r="V5" s="2"/>
      <c r="W5" s="6"/>
      <c r="X5" s="6"/>
    </row>
    <row r="6" spans="1:24" x14ac:dyDescent="0.35">
      <c r="A6" s="3">
        <v>1</v>
      </c>
      <c r="B6" s="3" t="s">
        <v>21</v>
      </c>
      <c r="C6" s="8">
        <v>43808.375</v>
      </c>
      <c r="D6" s="8">
        <v>43806.708333333299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43808.375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166</v>
      </c>
      <c r="W6" s="9"/>
      <c r="X6" s="9"/>
    </row>
    <row r="7" spans="1:24" ht="22" x14ac:dyDescent="0.35">
      <c r="A7" s="3">
        <v>2</v>
      </c>
      <c r="B7" s="3" t="s">
        <v>25</v>
      </c>
      <c r="C7" s="8">
        <v>43808.375</v>
      </c>
      <c r="D7" s="8">
        <v>43808.5</v>
      </c>
      <c r="E7" s="12" t="s">
        <v>29</v>
      </c>
      <c r="F7" s="12" t="s">
        <v>30</v>
      </c>
      <c r="G7" s="9">
        <v>36</v>
      </c>
      <c r="H7" s="9">
        <v>931.5</v>
      </c>
      <c r="I7" s="9">
        <v>0</v>
      </c>
      <c r="J7" s="9">
        <v>0</v>
      </c>
      <c r="K7" s="9">
        <v>967.5</v>
      </c>
      <c r="L7" s="7">
        <v>43808.375</v>
      </c>
      <c r="M7" s="3" t="s">
        <v>29</v>
      </c>
      <c r="N7" s="9">
        <v>967.5</v>
      </c>
      <c r="O7" s="9">
        <v>0</v>
      </c>
      <c r="P7" s="12" t="s">
        <v>24</v>
      </c>
      <c r="Q7" s="9">
        <v>0</v>
      </c>
      <c r="R7" s="11">
        <v>0</v>
      </c>
      <c r="S7" s="10">
        <v>967.5</v>
      </c>
      <c r="T7" s="9">
        <v>0</v>
      </c>
      <c r="U7" s="14">
        <v>1</v>
      </c>
      <c r="V7" s="12" t="s">
        <v>166</v>
      </c>
      <c r="W7" s="9"/>
      <c r="X7" s="9"/>
    </row>
    <row r="8" spans="1:24" x14ac:dyDescent="0.35">
      <c r="A8" s="3">
        <v>3</v>
      </c>
      <c r="B8" s="3" t="s">
        <v>31</v>
      </c>
      <c r="C8" s="8">
        <v>43808.541666666701</v>
      </c>
      <c r="D8" s="8">
        <v>43813.5</v>
      </c>
      <c r="E8" s="12" t="s">
        <v>35</v>
      </c>
      <c r="F8" s="12" t="s">
        <v>36</v>
      </c>
      <c r="G8" s="9">
        <v>840</v>
      </c>
      <c r="H8" s="9">
        <v>950.5</v>
      </c>
      <c r="I8" s="9">
        <v>0</v>
      </c>
      <c r="J8" s="9">
        <v>0</v>
      </c>
      <c r="K8" s="9">
        <v>1790.5</v>
      </c>
      <c r="L8" s="7">
        <v>43808.541666666701</v>
      </c>
      <c r="M8" s="3" t="s">
        <v>181</v>
      </c>
      <c r="N8" s="9">
        <v>1550.5</v>
      </c>
      <c r="O8" s="9">
        <v>0</v>
      </c>
      <c r="P8" s="12" t="s">
        <v>24</v>
      </c>
      <c r="Q8" s="9">
        <v>0</v>
      </c>
      <c r="R8" s="11">
        <v>0</v>
      </c>
      <c r="S8" s="10">
        <v>1550.5</v>
      </c>
      <c r="T8" s="9">
        <v>0</v>
      </c>
      <c r="U8" s="14">
        <v>1</v>
      </c>
      <c r="V8" s="12" t="s">
        <v>166</v>
      </c>
      <c r="W8" s="9"/>
      <c r="X8" s="9"/>
    </row>
    <row r="9" spans="1:24" x14ac:dyDescent="0.35">
      <c r="A9" s="3">
        <v>4</v>
      </c>
      <c r="B9" s="3" t="s">
        <v>37</v>
      </c>
      <c r="C9" s="8">
        <v>43813.541666666701</v>
      </c>
      <c r="D9" s="8">
        <v>43816.625</v>
      </c>
      <c r="E9" s="12" t="s">
        <v>41</v>
      </c>
      <c r="F9" s="12" t="s">
        <v>42</v>
      </c>
      <c r="G9" s="9">
        <v>640</v>
      </c>
      <c r="H9" s="9">
        <v>8819</v>
      </c>
      <c r="I9" s="9">
        <v>0</v>
      </c>
      <c r="J9" s="9">
        <v>0</v>
      </c>
      <c r="K9" s="9">
        <v>9459</v>
      </c>
      <c r="L9" s="7">
        <v>43812.375</v>
      </c>
      <c r="M9" s="3" t="s">
        <v>185</v>
      </c>
      <c r="N9" s="9">
        <v>9219</v>
      </c>
      <c r="O9" s="9">
        <v>0</v>
      </c>
      <c r="P9" s="12" t="s">
        <v>24</v>
      </c>
      <c r="Q9" s="9">
        <v>0</v>
      </c>
      <c r="R9" s="11">
        <v>0</v>
      </c>
      <c r="S9" s="10">
        <v>9219</v>
      </c>
      <c r="T9" s="9">
        <v>0</v>
      </c>
      <c r="U9" s="14">
        <v>1</v>
      </c>
      <c r="V9" s="12" t="s">
        <v>166</v>
      </c>
      <c r="W9" s="9"/>
      <c r="X9" s="9"/>
    </row>
    <row r="10" spans="1:24" ht="22" x14ac:dyDescent="0.35">
      <c r="A10" s="3">
        <v>5</v>
      </c>
      <c r="B10" s="3" t="s">
        <v>43</v>
      </c>
      <c r="C10" s="8">
        <v>43816.625</v>
      </c>
      <c r="D10" s="8">
        <v>43827.708333333299</v>
      </c>
      <c r="E10" s="12" t="s">
        <v>47</v>
      </c>
      <c r="F10" s="12" t="s">
        <v>42</v>
      </c>
      <c r="G10" s="9">
        <v>2880</v>
      </c>
      <c r="H10" s="9">
        <v>3166.5</v>
      </c>
      <c r="I10" s="9">
        <v>0</v>
      </c>
      <c r="J10" s="9">
        <v>0</v>
      </c>
      <c r="K10" s="9">
        <v>6046.5</v>
      </c>
      <c r="L10" s="7">
        <v>43813.541666666701</v>
      </c>
      <c r="M10" s="3" t="s">
        <v>212</v>
      </c>
      <c r="N10" s="9">
        <v>5006.5</v>
      </c>
      <c r="O10" s="9">
        <v>800</v>
      </c>
      <c r="P10" s="12" t="s">
        <v>213</v>
      </c>
      <c r="Q10" s="9">
        <v>0</v>
      </c>
      <c r="R10" s="11">
        <v>0</v>
      </c>
      <c r="S10" s="10">
        <v>5006.5</v>
      </c>
      <c r="T10" s="9">
        <v>800</v>
      </c>
      <c r="U10" s="14">
        <v>0.69696968793868996</v>
      </c>
      <c r="V10" s="12" t="s">
        <v>169</v>
      </c>
      <c r="W10" s="9"/>
      <c r="X10" s="9"/>
    </row>
    <row r="11" spans="1:24" x14ac:dyDescent="0.35">
      <c r="A11" s="3">
        <v>6</v>
      </c>
      <c r="B11" s="3" t="s">
        <v>48</v>
      </c>
      <c r="C11" s="8">
        <v>43830.583333333299</v>
      </c>
      <c r="D11" s="8">
        <v>43832.583333333299</v>
      </c>
      <c r="E11" s="12" t="s">
        <v>51</v>
      </c>
      <c r="F11" s="12" t="s">
        <v>52</v>
      </c>
      <c r="G11" s="9">
        <v>448</v>
      </c>
      <c r="H11" s="9">
        <v>1802.5</v>
      </c>
      <c r="I11" s="9">
        <v>0</v>
      </c>
      <c r="J11" s="9">
        <v>0</v>
      </c>
      <c r="K11" s="9">
        <v>2250.5</v>
      </c>
      <c r="L11" s="7">
        <v>43808.541666666701</v>
      </c>
      <c r="M11" s="3" t="s">
        <v>41</v>
      </c>
      <c r="N11" s="9">
        <v>2314.5</v>
      </c>
      <c r="O11" s="9">
        <v>0</v>
      </c>
      <c r="P11" s="12" t="s">
        <v>24</v>
      </c>
      <c r="Q11" s="9">
        <v>0</v>
      </c>
      <c r="R11" s="11">
        <v>0</v>
      </c>
      <c r="S11" s="10">
        <v>2314.5</v>
      </c>
      <c r="T11" s="9">
        <v>0</v>
      </c>
      <c r="U11" s="14">
        <v>1</v>
      </c>
      <c r="V11" s="12" t="s">
        <v>166</v>
      </c>
      <c r="W11" s="9"/>
      <c r="X11" s="9"/>
    </row>
    <row r="12" spans="1:24" x14ac:dyDescent="0.35">
      <c r="A12" s="3">
        <v>7</v>
      </c>
      <c r="B12" s="3" t="s">
        <v>53</v>
      </c>
      <c r="C12" s="8">
        <v>43815.416666666701</v>
      </c>
      <c r="D12" s="8">
        <v>43822.416666666701</v>
      </c>
      <c r="E12" s="12" t="s">
        <v>56</v>
      </c>
      <c r="F12" s="12" t="s">
        <v>57</v>
      </c>
      <c r="G12" s="9">
        <v>672</v>
      </c>
      <c r="H12" s="9">
        <v>1970.5</v>
      </c>
      <c r="I12" s="9">
        <v>0</v>
      </c>
      <c r="J12" s="9">
        <v>0</v>
      </c>
      <c r="K12" s="9">
        <v>2642.5</v>
      </c>
      <c r="L12" s="7">
        <v>43815.541666666701</v>
      </c>
      <c r="M12" s="3" t="s">
        <v>207</v>
      </c>
      <c r="N12" s="9">
        <v>2594.5</v>
      </c>
      <c r="O12" s="9">
        <v>272</v>
      </c>
      <c r="P12" s="12" t="s">
        <v>214</v>
      </c>
      <c r="Q12" s="9">
        <v>0</v>
      </c>
      <c r="R12" s="11">
        <v>0</v>
      </c>
      <c r="S12" s="10">
        <v>2594.5</v>
      </c>
      <c r="T12" s="9">
        <v>272</v>
      </c>
      <c r="U12" s="14">
        <v>0.69642859697341897</v>
      </c>
      <c r="V12" s="12" t="s">
        <v>169</v>
      </c>
      <c r="W12" s="9"/>
      <c r="X12" s="9"/>
    </row>
    <row r="13" spans="1:24" ht="22" x14ac:dyDescent="0.35">
      <c r="A13" s="3">
        <v>8</v>
      </c>
      <c r="B13" s="3" t="s">
        <v>58</v>
      </c>
      <c r="C13" s="8">
        <v>43831.583333333299</v>
      </c>
      <c r="D13" s="8">
        <v>43832.583333333299</v>
      </c>
      <c r="E13" s="12" t="s">
        <v>61</v>
      </c>
      <c r="F13" s="12" t="s">
        <v>57</v>
      </c>
      <c r="G13" s="9">
        <v>112</v>
      </c>
      <c r="H13" s="9">
        <v>602.5</v>
      </c>
      <c r="I13" s="9">
        <v>0</v>
      </c>
      <c r="J13" s="9">
        <v>0</v>
      </c>
      <c r="K13" s="9">
        <v>714.5</v>
      </c>
      <c r="L13" s="3"/>
      <c r="M13" s="3" t="s">
        <v>24</v>
      </c>
      <c r="N13" s="9">
        <v>0</v>
      </c>
      <c r="O13" s="9">
        <v>714.5</v>
      </c>
      <c r="P13" s="12" t="s">
        <v>61</v>
      </c>
      <c r="Q13" s="9">
        <v>0</v>
      </c>
      <c r="R13" s="11">
        <v>0</v>
      </c>
      <c r="S13" s="10">
        <v>0</v>
      </c>
      <c r="T13" s="9">
        <v>714.5</v>
      </c>
      <c r="U13" s="14">
        <v>0</v>
      </c>
      <c r="V13" s="12" t="s">
        <v>170</v>
      </c>
      <c r="W13" s="9"/>
      <c r="X13" s="9"/>
    </row>
    <row r="14" spans="1:24" x14ac:dyDescent="0.35">
      <c r="A14" s="3">
        <v>9</v>
      </c>
      <c r="B14" s="3" t="s">
        <v>62</v>
      </c>
      <c r="C14" s="8">
        <v>43829.583333333299</v>
      </c>
      <c r="D14" s="8">
        <v>43830.583333333299</v>
      </c>
      <c r="E14" s="12" t="s">
        <v>61</v>
      </c>
      <c r="F14" s="12" t="s">
        <v>57</v>
      </c>
      <c r="G14" s="9">
        <v>112</v>
      </c>
      <c r="H14" s="9">
        <v>602.5</v>
      </c>
      <c r="I14" s="9">
        <v>0</v>
      </c>
      <c r="J14" s="9">
        <v>0</v>
      </c>
      <c r="K14" s="9">
        <v>714.5</v>
      </c>
      <c r="L14" s="3"/>
      <c r="M14" s="3" t="s">
        <v>24</v>
      </c>
      <c r="N14" s="9">
        <v>0</v>
      </c>
      <c r="O14" s="9">
        <v>714.5</v>
      </c>
      <c r="P14" s="12" t="s">
        <v>61</v>
      </c>
      <c r="Q14" s="9">
        <v>0</v>
      </c>
      <c r="R14" s="11">
        <v>0</v>
      </c>
      <c r="S14" s="10">
        <v>0</v>
      </c>
      <c r="T14" s="9">
        <v>714.5</v>
      </c>
      <c r="U14" s="14">
        <v>0</v>
      </c>
      <c r="V14" s="12" t="s">
        <v>170</v>
      </c>
      <c r="W14" s="9"/>
      <c r="X14" s="9"/>
    </row>
    <row r="15" spans="1:24" ht="22" x14ac:dyDescent="0.35">
      <c r="A15" s="3">
        <v>10</v>
      </c>
      <c r="B15" s="3" t="s">
        <v>64</v>
      </c>
      <c r="C15" s="8">
        <v>43829.375</v>
      </c>
      <c r="D15" s="8">
        <v>43829.708333333299</v>
      </c>
      <c r="E15" s="12" t="s">
        <v>61</v>
      </c>
      <c r="F15" s="12" t="s">
        <v>67</v>
      </c>
      <c r="G15" s="9">
        <v>56</v>
      </c>
      <c r="H15" s="9">
        <v>602.5</v>
      </c>
      <c r="I15" s="9">
        <v>0</v>
      </c>
      <c r="J15" s="9">
        <v>0</v>
      </c>
      <c r="K15" s="9">
        <v>658.5</v>
      </c>
      <c r="L15" s="3"/>
      <c r="M15" s="3" t="s">
        <v>24</v>
      </c>
      <c r="N15" s="9">
        <v>0</v>
      </c>
      <c r="O15" s="9">
        <v>658.5</v>
      </c>
      <c r="P15" s="12" t="s">
        <v>61</v>
      </c>
      <c r="Q15" s="9">
        <v>0</v>
      </c>
      <c r="R15" s="11">
        <v>0</v>
      </c>
      <c r="S15" s="10">
        <v>0</v>
      </c>
      <c r="T15" s="9">
        <v>658.5</v>
      </c>
      <c r="U15" s="14">
        <v>0</v>
      </c>
      <c r="V15" s="12" t="s">
        <v>170</v>
      </c>
      <c r="W15" s="9"/>
      <c r="X15" s="9"/>
    </row>
    <row r="16" spans="1:24" x14ac:dyDescent="0.35">
      <c r="A16" s="3">
        <v>11</v>
      </c>
      <c r="B16" s="3" t="s">
        <v>68</v>
      </c>
      <c r="C16" s="8">
        <v>43813.416666666701</v>
      </c>
      <c r="D16" s="8">
        <v>43815.416666666701</v>
      </c>
      <c r="E16" s="12" t="s">
        <v>61</v>
      </c>
      <c r="F16" s="12" t="s">
        <v>67</v>
      </c>
      <c r="G16" s="9">
        <v>56</v>
      </c>
      <c r="H16" s="9">
        <v>602.5</v>
      </c>
      <c r="I16" s="9">
        <v>0</v>
      </c>
      <c r="J16" s="9">
        <v>0</v>
      </c>
      <c r="K16" s="9">
        <v>658.5</v>
      </c>
      <c r="L16" s="3"/>
      <c r="M16" s="3" t="s">
        <v>24</v>
      </c>
      <c r="N16" s="9">
        <v>0</v>
      </c>
      <c r="O16" s="9">
        <v>658.5</v>
      </c>
      <c r="P16" s="12" t="s">
        <v>61</v>
      </c>
      <c r="Q16" s="9">
        <v>0</v>
      </c>
      <c r="R16" s="11">
        <v>0</v>
      </c>
      <c r="S16" s="10">
        <v>0</v>
      </c>
      <c r="T16" s="9">
        <v>658.5</v>
      </c>
      <c r="U16" s="14">
        <v>0</v>
      </c>
      <c r="V16" s="12" t="s">
        <v>170</v>
      </c>
      <c r="W16" s="9"/>
      <c r="X16" s="9"/>
    </row>
    <row r="17" spans="1:24" ht="22" x14ac:dyDescent="0.35">
      <c r="A17" s="3">
        <v>13</v>
      </c>
      <c r="B17" s="3" t="s">
        <v>70</v>
      </c>
      <c r="C17" s="8">
        <v>43823.416666666701</v>
      </c>
      <c r="D17" s="8">
        <v>43823.583333333299</v>
      </c>
      <c r="E17" s="12" t="s">
        <v>29</v>
      </c>
      <c r="F17" s="12" t="s">
        <v>67</v>
      </c>
      <c r="G17" s="9">
        <v>24</v>
      </c>
      <c r="H17" s="9">
        <v>602.5</v>
      </c>
      <c r="I17" s="9">
        <v>0</v>
      </c>
      <c r="J17" s="9">
        <v>0</v>
      </c>
      <c r="K17" s="9">
        <v>626.5</v>
      </c>
      <c r="L17" s="7">
        <v>43811.458333333299</v>
      </c>
      <c r="M17" s="3" t="s">
        <v>29</v>
      </c>
      <c r="N17" s="9">
        <v>626.5</v>
      </c>
      <c r="O17" s="9">
        <v>0</v>
      </c>
      <c r="P17" s="12" t="s">
        <v>24</v>
      </c>
      <c r="Q17" s="9">
        <v>0</v>
      </c>
      <c r="R17" s="11">
        <v>0</v>
      </c>
      <c r="S17" s="10">
        <v>626.5</v>
      </c>
      <c r="T17" s="9">
        <v>0</v>
      </c>
      <c r="U17" s="14">
        <v>1</v>
      </c>
      <c r="V17" s="12" t="s">
        <v>166</v>
      </c>
      <c r="W17" s="9"/>
      <c r="X17" s="9"/>
    </row>
    <row r="18" spans="1:24" x14ac:dyDescent="0.35">
      <c r="A18" s="3">
        <v>14</v>
      </c>
      <c r="B18" s="3" t="s">
        <v>74</v>
      </c>
      <c r="C18" s="8">
        <v>43836.583333333299</v>
      </c>
      <c r="D18" s="8">
        <v>43838.583333333299</v>
      </c>
      <c r="E18" s="12" t="s">
        <v>51</v>
      </c>
      <c r="F18" s="12" t="s">
        <v>77</v>
      </c>
      <c r="G18" s="9">
        <v>672</v>
      </c>
      <c r="H18" s="9">
        <v>602.5</v>
      </c>
      <c r="I18" s="9">
        <v>0</v>
      </c>
      <c r="J18" s="9">
        <v>0</v>
      </c>
      <c r="K18" s="9">
        <v>1274.5</v>
      </c>
      <c r="L18" s="3"/>
      <c r="M18" s="3" t="s">
        <v>24</v>
      </c>
      <c r="N18" s="9">
        <v>0</v>
      </c>
      <c r="O18" s="9">
        <v>1274.5</v>
      </c>
      <c r="P18" s="12" t="s">
        <v>51</v>
      </c>
      <c r="Q18" s="9">
        <v>0</v>
      </c>
      <c r="R18" s="11">
        <v>0</v>
      </c>
      <c r="S18" s="10">
        <v>0</v>
      </c>
      <c r="T18" s="9">
        <v>1274.5</v>
      </c>
      <c r="U18" s="14">
        <v>0</v>
      </c>
      <c r="V18" s="12" t="s">
        <v>170</v>
      </c>
      <c r="W18" s="9"/>
      <c r="X18" s="9"/>
    </row>
    <row r="19" spans="1:24" x14ac:dyDescent="0.35">
      <c r="A19" s="3">
        <v>15</v>
      </c>
      <c r="B19" s="3" t="s">
        <v>78</v>
      </c>
      <c r="C19" s="8">
        <v>43829.583333333299</v>
      </c>
      <c r="D19" s="8">
        <v>43830.583333333299</v>
      </c>
      <c r="E19" s="12" t="s">
        <v>61</v>
      </c>
      <c r="F19" s="12" t="s">
        <v>57</v>
      </c>
      <c r="G19" s="9">
        <v>112</v>
      </c>
      <c r="H19" s="9">
        <v>602.5</v>
      </c>
      <c r="I19" s="9">
        <v>0</v>
      </c>
      <c r="J19" s="9">
        <v>0</v>
      </c>
      <c r="K19" s="9">
        <v>714.5</v>
      </c>
      <c r="L19" s="3"/>
      <c r="M19" s="3" t="s">
        <v>24</v>
      </c>
      <c r="N19" s="9">
        <v>0</v>
      </c>
      <c r="O19" s="9">
        <v>714.5</v>
      </c>
      <c r="P19" s="12" t="s">
        <v>61</v>
      </c>
      <c r="Q19" s="9">
        <v>0</v>
      </c>
      <c r="R19" s="11">
        <v>0</v>
      </c>
      <c r="S19" s="10">
        <v>0</v>
      </c>
      <c r="T19" s="9">
        <v>714.5</v>
      </c>
      <c r="U19" s="14">
        <v>0</v>
      </c>
      <c r="V19" s="12" t="s">
        <v>170</v>
      </c>
      <c r="W19" s="9"/>
      <c r="X19" s="9"/>
    </row>
    <row r="20" spans="1:24" x14ac:dyDescent="0.35">
      <c r="A20" s="3">
        <v>16</v>
      </c>
      <c r="B20" s="3" t="s">
        <v>80</v>
      </c>
      <c r="C20" s="8">
        <v>43827.416666666701</v>
      </c>
      <c r="D20" s="8">
        <v>43827.583333333299</v>
      </c>
      <c r="E20" s="12" t="s">
        <v>29</v>
      </c>
      <c r="F20" s="12" t="s">
        <v>57</v>
      </c>
      <c r="G20" s="9">
        <v>48</v>
      </c>
      <c r="H20" s="9">
        <v>602.5</v>
      </c>
      <c r="I20" s="9">
        <v>0</v>
      </c>
      <c r="J20" s="9">
        <v>0</v>
      </c>
      <c r="K20" s="9">
        <v>650.5</v>
      </c>
      <c r="L20" s="7">
        <v>43813.666666666701</v>
      </c>
      <c r="M20" s="3" t="s">
        <v>167</v>
      </c>
      <c r="N20" s="9">
        <v>666.5</v>
      </c>
      <c r="O20" s="9">
        <v>0</v>
      </c>
      <c r="P20" s="12" t="s">
        <v>24</v>
      </c>
      <c r="Q20" s="9">
        <v>0</v>
      </c>
      <c r="R20" s="11">
        <v>0</v>
      </c>
      <c r="S20" s="10">
        <v>666.5</v>
      </c>
      <c r="T20" s="9">
        <v>0</v>
      </c>
      <c r="U20" s="14">
        <v>1</v>
      </c>
      <c r="V20" s="12" t="s">
        <v>166</v>
      </c>
      <c r="W20" s="9"/>
      <c r="X20" s="9"/>
    </row>
    <row r="21" spans="1:24" x14ac:dyDescent="0.35">
      <c r="A21" s="3">
        <v>17</v>
      </c>
      <c r="B21" s="3" t="s">
        <v>82</v>
      </c>
      <c r="C21" s="8">
        <v>43822.416666666701</v>
      </c>
      <c r="D21" s="8">
        <v>43823.416666666701</v>
      </c>
      <c r="E21" s="12" t="s">
        <v>61</v>
      </c>
      <c r="F21" s="12" t="s">
        <v>85</v>
      </c>
      <c r="G21" s="9">
        <v>140</v>
      </c>
      <c r="H21" s="9">
        <v>3302.5</v>
      </c>
      <c r="I21" s="9">
        <v>0</v>
      </c>
      <c r="J21" s="9">
        <v>0</v>
      </c>
      <c r="K21" s="9">
        <v>3442.5</v>
      </c>
      <c r="L21" s="7">
        <v>43810.625</v>
      </c>
      <c r="M21" s="3" t="s">
        <v>167</v>
      </c>
      <c r="N21" s="9">
        <v>3382.5</v>
      </c>
      <c r="O21" s="9">
        <v>0</v>
      </c>
      <c r="P21" s="12" t="s">
        <v>24</v>
      </c>
      <c r="Q21" s="9">
        <v>0</v>
      </c>
      <c r="R21" s="11">
        <v>0</v>
      </c>
      <c r="S21" s="10">
        <v>3382.5</v>
      </c>
      <c r="T21" s="9">
        <v>0</v>
      </c>
      <c r="U21" s="14">
        <v>1</v>
      </c>
      <c r="V21" s="12" t="s">
        <v>166</v>
      </c>
      <c r="W21" s="9"/>
      <c r="X21" s="9"/>
    </row>
    <row r="22" spans="1:24" x14ac:dyDescent="0.35">
      <c r="A22" s="3">
        <v>18</v>
      </c>
      <c r="B22" s="3" t="s">
        <v>86</v>
      </c>
      <c r="C22" s="8">
        <v>43832.583333333299</v>
      </c>
      <c r="D22" s="8">
        <v>43833.583333333299</v>
      </c>
      <c r="E22" s="12" t="s">
        <v>61</v>
      </c>
      <c r="F22" s="12" t="s">
        <v>57</v>
      </c>
      <c r="G22" s="9">
        <v>112</v>
      </c>
      <c r="H22" s="9">
        <v>602.5</v>
      </c>
      <c r="I22" s="9">
        <v>0</v>
      </c>
      <c r="J22" s="9">
        <v>0</v>
      </c>
      <c r="K22" s="9">
        <v>714.5</v>
      </c>
      <c r="L22" s="3"/>
      <c r="M22" s="3" t="s">
        <v>24</v>
      </c>
      <c r="N22" s="9">
        <v>0</v>
      </c>
      <c r="O22" s="9">
        <v>714.5</v>
      </c>
      <c r="P22" s="12" t="s">
        <v>61</v>
      </c>
      <c r="Q22" s="9">
        <v>0</v>
      </c>
      <c r="R22" s="11">
        <v>0</v>
      </c>
      <c r="S22" s="10">
        <v>0</v>
      </c>
      <c r="T22" s="9">
        <v>714.5</v>
      </c>
      <c r="U22" s="14">
        <v>0</v>
      </c>
      <c r="V22" s="12" t="s">
        <v>170</v>
      </c>
      <c r="W22" s="9"/>
      <c r="X22" s="9"/>
    </row>
    <row r="23" spans="1:24" ht="22" x14ac:dyDescent="0.35">
      <c r="A23" s="3">
        <v>19</v>
      </c>
      <c r="B23" s="3" t="s">
        <v>88</v>
      </c>
      <c r="C23" s="8">
        <v>43833.583333333299</v>
      </c>
      <c r="D23" s="8">
        <v>43836.583333333299</v>
      </c>
      <c r="E23" s="12" t="s">
        <v>51</v>
      </c>
      <c r="F23" s="12" t="s">
        <v>77</v>
      </c>
      <c r="G23" s="9">
        <v>672</v>
      </c>
      <c r="H23" s="9">
        <v>2252.5</v>
      </c>
      <c r="I23" s="9">
        <v>0</v>
      </c>
      <c r="J23" s="9">
        <v>0</v>
      </c>
      <c r="K23" s="9">
        <v>2924.5</v>
      </c>
      <c r="L23" s="3"/>
      <c r="M23" s="3" t="s">
        <v>24</v>
      </c>
      <c r="N23" s="9">
        <v>0</v>
      </c>
      <c r="O23" s="9">
        <v>2924.5</v>
      </c>
      <c r="P23" s="12" t="s">
        <v>51</v>
      </c>
      <c r="Q23" s="9">
        <v>0</v>
      </c>
      <c r="R23" s="11">
        <v>0</v>
      </c>
      <c r="S23" s="10">
        <v>0</v>
      </c>
      <c r="T23" s="9">
        <v>2924.5</v>
      </c>
      <c r="U23" s="14">
        <v>0</v>
      </c>
      <c r="V23" s="12" t="s">
        <v>170</v>
      </c>
      <c r="W23" s="9"/>
      <c r="X23" s="9"/>
    </row>
    <row r="24" spans="1:24" x14ac:dyDescent="0.35">
      <c r="A24" s="3">
        <v>20</v>
      </c>
      <c r="B24" s="3" t="s">
        <v>91</v>
      </c>
      <c r="C24" s="8">
        <v>43824.416666666701</v>
      </c>
      <c r="D24" s="8">
        <v>43825.416666666701</v>
      </c>
      <c r="E24" s="12" t="s">
        <v>61</v>
      </c>
      <c r="F24" s="12" t="s">
        <v>67</v>
      </c>
      <c r="G24" s="9">
        <v>56</v>
      </c>
      <c r="H24" s="9">
        <v>28602.5</v>
      </c>
      <c r="I24" s="9">
        <v>0</v>
      </c>
      <c r="J24" s="9">
        <v>0</v>
      </c>
      <c r="K24" s="9">
        <v>28658.5</v>
      </c>
      <c r="L24" s="7">
        <v>43811.458333333299</v>
      </c>
      <c r="M24" s="3" t="s">
        <v>174</v>
      </c>
      <c r="N24" s="9">
        <v>28642.5</v>
      </c>
      <c r="O24" s="9">
        <v>0</v>
      </c>
      <c r="P24" s="12" t="s">
        <v>24</v>
      </c>
      <c r="Q24" s="9">
        <v>0</v>
      </c>
      <c r="R24" s="11">
        <v>0</v>
      </c>
      <c r="S24" s="10">
        <v>28642.5</v>
      </c>
      <c r="T24" s="9">
        <v>0</v>
      </c>
      <c r="U24" s="14">
        <v>1</v>
      </c>
      <c r="V24" s="12" t="s">
        <v>166</v>
      </c>
      <c r="W24" s="9"/>
      <c r="X24" s="9"/>
    </row>
    <row r="25" spans="1:24" ht="22" x14ac:dyDescent="0.35">
      <c r="A25" s="3">
        <v>21</v>
      </c>
      <c r="B25" s="3" t="s">
        <v>95</v>
      </c>
      <c r="C25" s="8">
        <v>43830.583333333299</v>
      </c>
      <c r="D25" s="8">
        <v>43831.583333333299</v>
      </c>
      <c r="E25" s="12" t="s">
        <v>61</v>
      </c>
      <c r="F25" s="12" t="s">
        <v>36</v>
      </c>
      <c r="G25" s="9">
        <v>168</v>
      </c>
      <c r="H25" s="9">
        <v>3677.5</v>
      </c>
      <c r="I25" s="9">
        <v>0</v>
      </c>
      <c r="J25" s="9">
        <v>0</v>
      </c>
      <c r="K25" s="9">
        <v>3845.5</v>
      </c>
      <c r="L25" s="3"/>
      <c r="M25" s="3" t="s">
        <v>24</v>
      </c>
      <c r="N25" s="9">
        <v>0</v>
      </c>
      <c r="O25" s="9">
        <v>3845.5</v>
      </c>
      <c r="P25" s="12" t="s">
        <v>61</v>
      </c>
      <c r="Q25" s="9">
        <v>0</v>
      </c>
      <c r="R25" s="11">
        <v>0</v>
      </c>
      <c r="S25" s="10">
        <v>0</v>
      </c>
      <c r="T25" s="9">
        <v>3845.5</v>
      </c>
      <c r="U25" s="14">
        <v>0</v>
      </c>
      <c r="V25" s="12" t="s">
        <v>170</v>
      </c>
      <c r="W25" s="9"/>
      <c r="X25" s="9"/>
    </row>
    <row r="26" spans="1:24" x14ac:dyDescent="0.35">
      <c r="A26" s="3">
        <v>22</v>
      </c>
      <c r="B26" s="3" t="s">
        <v>98</v>
      </c>
      <c r="C26" s="8">
        <v>43825.416666666701</v>
      </c>
      <c r="D26" s="8">
        <v>43826.416666666701</v>
      </c>
      <c r="E26" s="12" t="s">
        <v>61</v>
      </c>
      <c r="F26" s="12" t="s">
        <v>67</v>
      </c>
      <c r="G26" s="9">
        <v>56</v>
      </c>
      <c r="H26" s="9">
        <v>602.5</v>
      </c>
      <c r="I26" s="9">
        <v>0</v>
      </c>
      <c r="J26" s="9">
        <v>0</v>
      </c>
      <c r="K26" s="9">
        <v>658.5</v>
      </c>
      <c r="L26" s="7">
        <v>43812.375</v>
      </c>
      <c r="M26" s="3" t="s">
        <v>124</v>
      </c>
      <c r="N26" s="9">
        <v>650.5</v>
      </c>
      <c r="O26" s="9">
        <v>0</v>
      </c>
      <c r="P26" s="12" t="s">
        <v>24</v>
      </c>
      <c r="Q26" s="9">
        <v>0</v>
      </c>
      <c r="R26" s="11">
        <v>0</v>
      </c>
      <c r="S26" s="10">
        <v>650.5</v>
      </c>
      <c r="T26" s="9">
        <v>0</v>
      </c>
      <c r="U26" s="14">
        <v>1</v>
      </c>
      <c r="V26" s="12" t="s">
        <v>166</v>
      </c>
      <c r="W26" s="9"/>
      <c r="X26" s="9"/>
    </row>
    <row r="27" spans="1:24" x14ac:dyDescent="0.35">
      <c r="A27" s="3">
        <v>23</v>
      </c>
      <c r="B27" s="3" t="s">
        <v>101</v>
      </c>
      <c r="C27" s="8">
        <v>43832.583333333299</v>
      </c>
      <c r="D27" s="8">
        <v>43833.583333333299</v>
      </c>
      <c r="E27" s="12" t="s">
        <v>61</v>
      </c>
      <c r="F27" s="12" t="s">
        <v>52</v>
      </c>
      <c r="G27" s="9">
        <v>224</v>
      </c>
      <c r="H27" s="9">
        <v>43602.5</v>
      </c>
      <c r="I27" s="9">
        <v>0</v>
      </c>
      <c r="J27" s="9">
        <v>0</v>
      </c>
      <c r="K27" s="9">
        <v>43826.5</v>
      </c>
      <c r="L27" s="3"/>
      <c r="M27" s="3" t="s">
        <v>24</v>
      </c>
      <c r="N27" s="9">
        <v>0</v>
      </c>
      <c r="O27" s="9">
        <v>43826.5</v>
      </c>
      <c r="P27" s="12" t="s">
        <v>61</v>
      </c>
      <c r="Q27" s="9">
        <v>0</v>
      </c>
      <c r="R27" s="11">
        <v>0</v>
      </c>
      <c r="S27" s="10">
        <v>0</v>
      </c>
      <c r="T27" s="9">
        <v>43826.5</v>
      </c>
      <c r="U27" s="14">
        <v>0</v>
      </c>
      <c r="V27" s="12" t="s">
        <v>170</v>
      </c>
      <c r="W27" s="9"/>
      <c r="X27" s="9"/>
    </row>
    <row r="28" spans="1:24" x14ac:dyDescent="0.35">
      <c r="A28" s="3">
        <v>24</v>
      </c>
      <c r="B28" s="3" t="s">
        <v>103</v>
      </c>
      <c r="C28" s="8">
        <v>43826.416666666701</v>
      </c>
      <c r="D28" s="8">
        <v>43827.416666666701</v>
      </c>
      <c r="E28" s="12" t="s">
        <v>61</v>
      </c>
      <c r="F28" s="12" t="s">
        <v>67</v>
      </c>
      <c r="G28" s="9">
        <v>56</v>
      </c>
      <c r="H28" s="9">
        <v>1577.5</v>
      </c>
      <c r="I28" s="9">
        <v>0</v>
      </c>
      <c r="J28" s="9">
        <v>0</v>
      </c>
      <c r="K28" s="9">
        <v>1633.5</v>
      </c>
      <c r="L28" s="7">
        <v>43812.666666666701</v>
      </c>
      <c r="M28" s="3" t="s">
        <v>61</v>
      </c>
      <c r="N28" s="9">
        <v>1633.5</v>
      </c>
      <c r="O28" s="9">
        <v>0</v>
      </c>
      <c r="P28" s="12" t="s">
        <v>24</v>
      </c>
      <c r="Q28" s="9">
        <v>0</v>
      </c>
      <c r="R28" s="11">
        <v>0</v>
      </c>
      <c r="S28" s="10">
        <v>1633.5</v>
      </c>
      <c r="T28" s="9">
        <v>0</v>
      </c>
      <c r="U28" s="14">
        <v>1</v>
      </c>
      <c r="V28" s="12" t="s">
        <v>166</v>
      </c>
      <c r="W28" s="9"/>
      <c r="X28" s="9"/>
    </row>
    <row r="29" spans="1:24" x14ac:dyDescent="0.35">
      <c r="A29" s="3">
        <v>25</v>
      </c>
      <c r="B29" s="3" t="s">
        <v>106</v>
      </c>
      <c r="C29" s="8">
        <v>43813.416666666701</v>
      </c>
      <c r="D29" s="8">
        <v>43815.416666666701</v>
      </c>
      <c r="E29" s="12" t="s">
        <v>61</v>
      </c>
      <c r="F29" s="12" t="s">
        <v>67</v>
      </c>
      <c r="G29" s="9">
        <v>56</v>
      </c>
      <c r="H29" s="9">
        <v>2524.5</v>
      </c>
      <c r="I29" s="9">
        <v>0</v>
      </c>
      <c r="J29" s="9">
        <v>0</v>
      </c>
      <c r="K29" s="9">
        <v>2580.5</v>
      </c>
      <c r="L29" s="7">
        <v>43812.541666666701</v>
      </c>
      <c r="M29" s="3" t="s">
        <v>61</v>
      </c>
      <c r="N29" s="9">
        <v>2580.5</v>
      </c>
      <c r="O29" s="9">
        <v>0</v>
      </c>
      <c r="P29" s="12" t="s">
        <v>24</v>
      </c>
      <c r="Q29" s="9">
        <v>0</v>
      </c>
      <c r="R29" s="11">
        <v>0</v>
      </c>
      <c r="S29" s="10">
        <v>2580.5</v>
      </c>
      <c r="T29" s="9">
        <v>0</v>
      </c>
      <c r="U29" s="14">
        <v>1</v>
      </c>
      <c r="V29" s="12" t="s">
        <v>166</v>
      </c>
      <c r="W29" s="9"/>
      <c r="X29" s="9"/>
    </row>
    <row r="30" spans="1:24" x14ac:dyDescent="0.35">
      <c r="A30" s="3">
        <v>26</v>
      </c>
      <c r="B30" s="3" t="s">
        <v>108</v>
      </c>
      <c r="C30" s="8">
        <v>43829.583333333299</v>
      </c>
      <c r="D30" s="8">
        <v>43830.583333333299</v>
      </c>
      <c r="E30" s="12" t="s">
        <v>61</v>
      </c>
      <c r="F30" s="12" t="s">
        <v>57</v>
      </c>
      <c r="G30" s="9">
        <v>112</v>
      </c>
      <c r="H30" s="9">
        <v>3442.30004882813</v>
      </c>
      <c r="I30" s="9">
        <v>0</v>
      </c>
      <c r="J30" s="9">
        <v>0</v>
      </c>
      <c r="K30" s="9">
        <v>3554.30004882813</v>
      </c>
      <c r="L30" s="3"/>
      <c r="M30" s="3" t="s">
        <v>24</v>
      </c>
      <c r="N30" s="9">
        <v>0</v>
      </c>
      <c r="O30" s="9">
        <v>3554.30004882813</v>
      </c>
      <c r="P30" s="12" t="s">
        <v>61</v>
      </c>
      <c r="Q30" s="9">
        <v>0</v>
      </c>
      <c r="R30" s="11">
        <v>0</v>
      </c>
      <c r="S30" s="10">
        <v>0</v>
      </c>
      <c r="T30" s="9">
        <v>3554.30004882813</v>
      </c>
      <c r="U30" s="14">
        <v>0</v>
      </c>
      <c r="V30" s="12" t="s">
        <v>170</v>
      </c>
      <c r="W30" s="9"/>
      <c r="X30" s="9"/>
    </row>
    <row r="31" spans="1:24" x14ac:dyDescent="0.35">
      <c r="A31" s="3">
        <v>27</v>
      </c>
      <c r="B31" s="3" t="s">
        <v>110</v>
      </c>
      <c r="C31" s="8">
        <v>43823.416666666701</v>
      </c>
      <c r="D31" s="8">
        <v>43824.416666666701</v>
      </c>
      <c r="E31" s="12" t="s">
        <v>61</v>
      </c>
      <c r="F31" s="12" t="s">
        <v>67</v>
      </c>
      <c r="G31" s="9">
        <v>56</v>
      </c>
      <c r="H31" s="9">
        <v>2972.5</v>
      </c>
      <c r="I31" s="9">
        <v>0</v>
      </c>
      <c r="J31" s="9">
        <v>0</v>
      </c>
      <c r="K31" s="9">
        <v>3028.5</v>
      </c>
      <c r="L31" s="7">
        <v>43810.625</v>
      </c>
      <c r="M31" s="3" t="s">
        <v>167</v>
      </c>
      <c r="N31" s="9">
        <v>3004.5</v>
      </c>
      <c r="O31" s="9">
        <v>0</v>
      </c>
      <c r="P31" s="12" t="s">
        <v>24</v>
      </c>
      <c r="Q31" s="9">
        <v>0</v>
      </c>
      <c r="R31" s="11">
        <v>0</v>
      </c>
      <c r="S31" s="10">
        <v>3004.5</v>
      </c>
      <c r="T31" s="9">
        <v>0</v>
      </c>
      <c r="U31" s="14">
        <v>1</v>
      </c>
      <c r="V31" s="12" t="s">
        <v>166</v>
      </c>
      <c r="W31" s="9"/>
      <c r="X31" s="9"/>
    </row>
    <row r="32" spans="1:24" x14ac:dyDescent="0.35">
      <c r="A32" s="3">
        <v>28</v>
      </c>
      <c r="B32" s="3" t="s">
        <v>113</v>
      </c>
      <c r="C32" s="8">
        <v>43832.583333333299</v>
      </c>
      <c r="D32" s="8">
        <v>43833.583333333299</v>
      </c>
      <c r="E32" s="12" t="s">
        <v>61</v>
      </c>
      <c r="F32" s="12" t="s">
        <v>67</v>
      </c>
      <c r="G32" s="9">
        <v>56</v>
      </c>
      <c r="H32" s="9">
        <v>1586.5</v>
      </c>
      <c r="I32" s="9">
        <v>0</v>
      </c>
      <c r="J32" s="9">
        <v>0</v>
      </c>
      <c r="K32" s="9">
        <v>1642.5</v>
      </c>
      <c r="L32" s="7">
        <v>43810.625</v>
      </c>
      <c r="M32" s="3" t="s">
        <v>185</v>
      </c>
      <c r="N32" s="9">
        <v>1666.5</v>
      </c>
      <c r="O32" s="9">
        <v>0</v>
      </c>
      <c r="P32" s="12" t="s">
        <v>24</v>
      </c>
      <c r="Q32" s="9">
        <v>0</v>
      </c>
      <c r="R32" s="11">
        <v>0</v>
      </c>
      <c r="S32" s="10">
        <v>1666.5</v>
      </c>
      <c r="T32" s="9">
        <v>0</v>
      </c>
      <c r="U32" s="14">
        <v>1</v>
      </c>
      <c r="V32" s="12" t="s">
        <v>166</v>
      </c>
      <c r="W32" s="9"/>
      <c r="X32" s="9"/>
    </row>
    <row r="33" spans="1:24" ht="22" x14ac:dyDescent="0.35">
      <c r="A33" s="3">
        <v>29</v>
      </c>
      <c r="B33" s="3" t="s">
        <v>117</v>
      </c>
      <c r="C33" s="8">
        <v>43833.583333333299</v>
      </c>
      <c r="D33" s="8">
        <v>43833.708333333299</v>
      </c>
      <c r="E33" s="12" t="s">
        <v>29</v>
      </c>
      <c r="F33" s="12" t="s">
        <v>67</v>
      </c>
      <c r="G33" s="9">
        <v>24</v>
      </c>
      <c r="H33" s="9">
        <v>602.5</v>
      </c>
      <c r="I33" s="9">
        <v>0</v>
      </c>
      <c r="J33" s="9">
        <v>0</v>
      </c>
      <c r="K33" s="9">
        <v>626.5</v>
      </c>
      <c r="L33" s="7">
        <v>43812.416666666701</v>
      </c>
      <c r="M33" s="3" t="s">
        <v>177</v>
      </c>
      <c r="N33" s="9">
        <v>618.5</v>
      </c>
      <c r="O33" s="9">
        <v>0</v>
      </c>
      <c r="P33" s="12" t="s">
        <v>24</v>
      </c>
      <c r="Q33" s="9">
        <v>0</v>
      </c>
      <c r="R33" s="11">
        <v>0</v>
      </c>
      <c r="S33" s="10">
        <v>618.5</v>
      </c>
      <c r="T33" s="9">
        <v>0</v>
      </c>
      <c r="U33" s="14">
        <v>1</v>
      </c>
      <c r="V33" s="12" t="s">
        <v>166</v>
      </c>
      <c r="W33" s="9"/>
      <c r="X33" s="9"/>
    </row>
    <row r="34" spans="1:24" x14ac:dyDescent="0.35">
      <c r="A34" s="3">
        <v>30</v>
      </c>
      <c r="B34" s="3" t="s">
        <v>120</v>
      </c>
      <c r="C34" s="8">
        <v>43838.583333333299</v>
      </c>
      <c r="D34" s="8">
        <v>43839.5</v>
      </c>
      <c r="E34" s="12" t="s">
        <v>124</v>
      </c>
      <c r="F34" s="12" t="s">
        <v>67</v>
      </c>
      <c r="G34" s="9">
        <v>48</v>
      </c>
      <c r="H34" s="9">
        <v>602.5</v>
      </c>
      <c r="I34" s="9">
        <v>0</v>
      </c>
      <c r="J34" s="9">
        <v>0</v>
      </c>
      <c r="K34" s="9">
        <v>650.5</v>
      </c>
      <c r="L34" s="3"/>
      <c r="M34" s="3" t="s">
        <v>24</v>
      </c>
      <c r="N34" s="9">
        <v>0</v>
      </c>
      <c r="O34" s="9">
        <v>650.5</v>
      </c>
      <c r="P34" s="12" t="s">
        <v>124</v>
      </c>
      <c r="Q34" s="9">
        <v>0</v>
      </c>
      <c r="R34" s="11">
        <v>0</v>
      </c>
      <c r="S34" s="10">
        <v>0</v>
      </c>
      <c r="T34" s="9">
        <v>650.5</v>
      </c>
      <c r="U34" s="14">
        <v>0</v>
      </c>
      <c r="V34" s="12" t="s">
        <v>170</v>
      </c>
      <c r="W34" s="9"/>
      <c r="X34" s="9"/>
    </row>
    <row r="35" spans="1:24" x14ac:dyDescent="0.35">
      <c r="A35" s="3">
        <v>31</v>
      </c>
      <c r="B35" s="3" t="s">
        <v>125</v>
      </c>
      <c r="C35" s="8">
        <v>43839.5</v>
      </c>
      <c r="D35" s="8">
        <v>43839.5</v>
      </c>
      <c r="E35" s="12" t="s">
        <v>24</v>
      </c>
      <c r="F35" s="12"/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3"/>
      <c r="M35" s="3" t="s">
        <v>24</v>
      </c>
      <c r="N35" s="9">
        <v>0</v>
      </c>
      <c r="O35" s="9">
        <v>0</v>
      </c>
      <c r="P35" s="12" t="s">
        <v>24</v>
      </c>
      <c r="Q35" s="9">
        <v>0</v>
      </c>
      <c r="R35" s="11">
        <v>0</v>
      </c>
      <c r="S35" s="10">
        <v>0</v>
      </c>
      <c r="T35" s="9">
        <v>0</v>
      </c>
      <c r="U35" s="14">
        <v>0</v>
      </c>
      <c r="V35" s="12" t="s">
        <v>170</v>
      </c>
      <c r="W35" s="9"/>
      <c r="X35" s="9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Blad17"/>
  <dimension ref="A1:X35"/>
  <sheetViews>
    <sheetView topLeftCell="C1" workbookViewId="0">
      <selection activeCell="W5" sqref="W5:X35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150</v>
      </c>
      <c r="C1" s="7">
        <v>43822.708333333299</v>
      </c>
      <c r="E1" s="1" t="s">
        <v>151</v>
      </c>
      <c r="F1" s="4" t="s">
        <v>215</v>
      </c>
    </row>
    <row r="3" spans="1:24" x14ac:dyDescent="0.35">
      <c r="A3" s="24" t="s">
        <v>0</v>
      </c>
      <c r="B3" s="24"/>
      <c r="C3" s="24" t="s">
        <v>2</v>
      </c>
      <c r="D3" s="24"/>
      <c r="E3" s="24"/>
      <c r="F3" s="24" t="s">
        <v>3</v>
      </c>
      <c r="G3" s="24"/>
      <c r="H3" s="24" t="s">
        <v>4</v>
      </c>
      <c r="I3" s="24"/>
      <c r="J3" s="24"/>
      <c r="K3" s="24"/>
      <c r="L3" s="24" t="s">
        <v>152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153</v>
      </c>
      <c r="M4" s="1" t="s">
        <v>154</v>
      </c>
      <c r="N4" s="1" t="s">
        <v>155</v>
      </c>
      <c r="O4" s="1" t="s">
        <v>156</v>
      </c>
      <c r="P4" s="1" t="s">
        <v>157</v>
      </c>
      <c r="Q4" s="1" t="s">
        <v>158</v>
      </c>
      <c r="R4" s="1" t="s">
        <v>159</v>
      </c>
      <c r="S4" s="1" t="s">
        <v>160</v>
      </c>
      <c r="T4" s="1" t="s">
        <v>161</v>
      </c>
      <c r="U4" s="1" t="s">
        <v>162</v>
      </c>
      <c r="V4" s="1" t="s">
        <v>152</v>
      </c>
      <c r="W4" s="1" t="s">
        <v>163</v>
      </c>
      <c r="X4" s="1" t="s">
        <v>164</v>
      </c>
    </row>
    <row r="5" spans="1:24" x14ac:dyDescent="0.35">
      <c r="A5" s="2">
        <v>0</v>
      </c>
      <c r="B5" s="3" t="s">
        <v>18</v>
      </c>
      <c r="C5" s="5">
        <v>43808.375</v>
      </c>
      <c r="D5" s="5">
        <v>43839.5</v>
      </c>
      <c r="E5" s="2" t="s">
        <v>20</v>
      </c>
      <c r="F5" s="2"/>
      <c r="G5" s="6"/>
      <c r="H5" s="6">
        <v>118411.30004882799</v>
      </c>
      <c r="I5" s="6"/>
      <c r="J5" s="6"/>
      <c r="K5" s="6">
        <v>126955.30004882799</v>
      </c>
      <c r="L5" s="2"/>
      <c r="M5" s="2" t="s">
        <v>216</v>
      </c>
      <c r="N5" s="6"/>
      <c r="O5" s="6"/>
      <c r="P5" s="2"/>
      <c r="Q5" s="6"/>
      <c r="R5" s="6"/>
      <c r="S5" s="6">
        <v>65516.5</v>
      </c>
      <c r="T5" s="6"/>
      <c r="U5" s="13">
        <v>0.52000371225551001</v>
      </c>
      <c r="V5" s="2"/>
      <c r="W5" s="6"/>
      <c r="X5" s="6"/>
    </row>
    <row r="6" spans="1:24" x14ac:dyDescent="0.35">
      <c r="A6" s="3">
        <v>1</v>
      </c>
      <c r="B6" s="3" t="s">
        <v>21</v>
      </c>
      <c r="C6" s="8">
        <v>43808.375</v>
      </c>
      <c r="D6" s="8">
        <v>43806.708333333299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43808.375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166</v>
      </c>
      <c r="W6" s="9"/>
      <c r="X6" s="9"/>
    </row>
    <row r="7" spans="1:24" ht="22" x14ac:dyDescent="0.35">
      <c r="A7" s="3">
        <v>2</v>
      </c>
      <c r="B7" s="3" t="s">
        <v>25</v>
      </c>
      <c r="C7" s="8">
        <v>43808.375</v>
      </c>
      <c r="D7" s="8">
        <v>43808.5</v>
      </c>
      <c r="E7" s="12" t="s">
        <v>29</v>
      </c>
      <c r="F7" s="12" t="s">
        <v>30</v>
      </c>
      <c r="G7" s="9">
        <v>36</v>
      </c>
      <c r="H7" s="9">
        <v>931.5</v>
      </c>
      <c r="I7" s="9">
        <v>0</v>
      </c>
      <c r="J7" s="9">
        <v>0</v>
      </c>
      <c r="K7" s="9">
        <v>967.5</v>
      </c>
      <c r="L7" s="7">
        <v>43808.375</v>
      </c>
      <c r="M7" s="3" t="s">
        <v>29</v>
      </c>
      <c r="N7" s="9">
        <v>967.5</v>
      </c>
      <c r="O7" s="9">
        <v>0</v>
      </c>
      <c r="P7" s="12" t="s">
        <v>24</v>
      </c>
      <c r="Q7" s="9">
        <v>0</v>
      </c>
      <c r="R7" s="11">
        <v>0</v>
      </c>
      <c r="S7" s="10">
        <v>967.5</v>
      </c>
      <c r="T7" s="9">
        <v>0</v>
      </c>
      <c r="U7" s="14">
        <v>1</v>
      </c>
      <c r="V7" s="12" t="s">
        <v>166</v>
      </c>
      <c r="W7" s="9"/>
      <c r="X7" s="9"/>
    </row>
    <row r="8" spans="1:24" x14ac:dyDescent="0.35">
      <c r="A8" s="3">
        <v>3</v>
      </c>
      <c r="B8" s="3" t="s">
        <v>31</v>
      </c>
      <c r="C8" s="8">
        <v>43808.541666666701</v>
      </c>
      <c r="D8" s="8">
        <v>43813.5</v>
      </c>
      <c r="E8" s="12" t="s">
        <v>35</v>
      </c>
      <c r="F8" s="12" t="s">
        <v>36</v>
      </c>
      <c r="G8" s="9">
        <v>840</v>
      </c>
      <c r="H8" s="9">
        <v>950.5</v>
      </c>
      <c r="I8" s="9">
        <v>0</v>
      </c>
      <c r="J8" s="9">
        <v>0</v>
      </c>
      <c r="K8" s="9">
        <v>1790.5</v>
      </c>
      <c r="L8" s="7">
        <v>43808.541666666701</v>
      </c>
      <c r="M8" s="3" t="s">
        <v>181</v>
      </c>
      <c r="N8" s="9">
        <v>1550.5</v>
      </c>
      <c r="O8" s="9">
        <v>0</v>
      </c>
      <c r="P8" s="12" t="s">
        <v>24</v>
      </c>
      <c r="Q8" s="9">
        <v>0</v>
      </c>
      <c r="R8" s="11">
        <v>0</v>
      </c>
      <c r="S8" s="10">
        <v>1550.5</v>
      </c>
      <c r="T8" s="9">
        <v>0</v>
      </c>
      <c r="U8" s="14">
        <v>1</v>
      </c>
      <c r="V8" s="12" t="s">
        <v>166</v>
      </c>
      <c r="W8" s="9"/>
      <c r="X8" s="9"/>
    </row>
    <row r="9" spans="1:24" x14ac:dyDescent="0.35">
      <c r="A9" s="3">
        <v>4</v>
      </c>
      <c r="B9" s="3" t="s">
        <v>37</v>
      </c>
      <c r="C9" s="8">
        <v>43813.541666666701</v>
      </c>
      <c r="D9" s="8">
        <v>43816.625</v>
      </c>
      <c r="E9" s="12" t="s">
        <v>41</v>
      </c>
      <c r="F9" s="12" t="s">
        <v>42</v>
      </c>
      <c r="G9" s="9">
        <v>640</v>
      </c>
      <c r="H9" s="9">
        <v>8819</v>
      </c>
      <c r="I9" s="9">
        <v>0</v>
      </c>
      <c r="J9" s="9">
        <v>0</v>
      </c>
      <c r="K9" s="9">
        <v>9459</v>
      </c>
      <c r="L9" s="7">
        <v>43812.375</v>
      </c>
      <c r="M9" s="3" t="s">
        <v>185</v>
      </c>
      <c r="N9" s="9">
        <v>9219</v>
      </c>
      <c r="O9" s="9">
        <v>0</v>
      </c>
      <c r="P9" s="12" t="s">
        <v>24</v>
      </c>
      <c r="Q9" s="9">
        <v>0</v>
      </c>
      <c r="R9" s="11">
        <v>0</v>
      </c>
      <c r="S9" s="10">
        <v>9219</v>
      </c>
      <c r="T9" s="9">
        <v>0</v>
      </c>
      <c r="U9" s="14">
        <v>1</v>
      </c>
      <c r="V9" s="12" t="s">
        <v>166</v>
      </c>
      <c r="W9" s="9"/>
      <c r="X9" s="9"/>
    </row>
    <row r="10" spans="1:24" ht="22" x14ac:dyDescent="0.35">
      <c r="A10" s="3">
        <v>5</v>
      </c>
      <c r="B10" s="3" t="s">
        <v>43</v>
      </c>
      <c r="C10" s="8">
        <v>43816.625</v>
      </c>
      <c r="D10" s="8">
        <v>43827.708333333299</v>
      </c>
      <c r="E10" s="12" t="s">
        <v>47</v>
      </c>
      <c r="F10" s="12" t="s">
        <v>42</v>
      </c>
      <c r="G10" s="9">
        <v>2880</v>
      </c>
      <c r="H10" s="9">
        <v>3166.5</v>
      </c>
      <c r="I10" s="9">
        <v>0</v>
      </c>
      <c r="J10" s="9">
        <v>0</v>
      </c>
      <c r="K10" s="9">
        <v>6046.5</v>
      </c>
      <c r="L10" s="7">
        <v>43813.541666666701</v>
      </c>
      <c r="M10" s="3" t="s">
        <v>217</v>
      </c>
      <c r="N10" s="9">
        <v>5286.5</v>
      </c>
      <c r="O10" s="9">
        <v>520</v>
      </c>
      <c r="P10" s="12" t="s">
        <v>218</v>
      </c>
      <c r="Q10" s="9">
        <v>0</v>
      </c>
      <c r="R10" s="11">
        <v>0</v>
      </c>
      <c r="S10" s="10">
        <v>5286.5</v>
      </c>
      <c r="T10" s="9">
        <v>520</v>
      </c>
      <c r="U10" s="14">
        <v>0.80303031206131004</v>
      </c>
      <c r="V10" s="12" t="s">
        <v>169</v>
      </c>
      <c r="W10" s="9"/>
      <c r="X10" s="9"/>
    </row>
    <row r="11" spans="1:24" x14ac:dyDescent="0.35">
      <c r="A11" s="3">
        <v>6</v>
      </c>
      <c r="B11" s="3" t="s">
        <v>48</v>
      </c>
      <c r="C11" s="8">
        <v>43830.583333333299</v>
      </c>
      <c r="D11" s="8">
        <v>43832.583333333299</v>
      </c>
      <c r="E11" s="12" t="s">
        <v>51</v>
      </c>
      <c r="F11" s="12" t="s">
        <v>52</v>
      </c>
      <c r="G11" s="9">
        <v>448</v>
      </c>
      <c r="H11" s="9">
        <v>1802.5</v>
      </c>
      <c r="I11" s="9">
        <v>0</v>
      </c>
      <c r="J11" s="9">
        <v>0</v>
      </c>
      <c r="K11" s="9">
        <v>2250.5</v>
      </c>
      <c r="L11" s="7">
        <v>43808.541666666701</v>
      </c>
      <c r="M11" s="3" t="s">
        <v>41</v>
      </c>
      <c r="N11" s="9">
        <v>2314.5</v>
      </c>
      <c r="O11" s="9">
        <v>0</v>
      </c>
      <c r="P11" s="12" t="s">
        <v>24</v>
      </c>
      <c r="Q11" s="9">
        <v>0</v>
      </c>
      <c r="R11" s="11">
        <v>0</v>
      </c>
      <c r="S11" s="10">
        <v>2314.5</v>
      </c>
      <c r="T11" s="9">
        <v>0</v>
      </c>
      <c r="U11" s="14">
        <v>1</v>
      </c>
      <c r="V11" s="12" t="s">
        <v>166</v>
      </c>
      <c r="W11" s="9"/>
      <c r="X11" s="9"/>
    </row>
    <row r="12" spans="1:24" x14ac:dyDescent="0.35">
      <c r="A12" s="3">
        <v>7</v>
      </c>
      <c r="B12" s="3" t="s">
        <v>53</v>
      </c>
      <c r="C12" s="8">
        <v>43815.416666666701</v>
      </c>
      <c r="D12" s="8">
        <v>43822.416666666701</v>
      </c>
      <c r="E12" s="12" t="s">
        <v>56</v>
      </c>
      <c r="F12" s="12" t="s">
        <v>57</v>
      </c>
      <c r="G12" s="9">
        <v>672</v>
      </c>
      <c r="H12" s="9">
        <v>1970.5</v>
      </c>
      <c r="I12" s="9">
        <v>0</v>
      </c>
      <c r="J12" s="9">
        <v>0</v>
      </c>
      <c r="K12" s="9">
        <v>2642.5</v>
      </c>
      <c r="L12" s="7">
        <v>43815.541666666701</v>
      </c>
      <c r="M12" s="3" t="s">
        <v>212</v>
      </c>
      <c r="N12" s="9">
        <v>2706.5</v>
      </c>
      <c r="O12" s="9">
        <v>160</v>
      </c>
      <c r="P12" s="12" t="s">
        <v>185</v>
      </c>
      <c r="Q12" s="9">
        <v>0</v>
      </c>
      <c r="R12" s="11">
        <v>0</v>
      </c>
      <c r="S12" s="10">
        <v>2706.5</v>
      </c>
      <c r="T12" s="9">
        <v>160</v>
      </c>
      <c r="U12" s="14">
        <v>0.82142859697341897</v>
      </c>
      <c r="V12" s="12" t="s">
        <v>169</v>
      </c>
      <c r="W12" s="9"/>
      <c r="X12" s="9"/>
    </row>
    <row r="13" spans="1:24" ht="22" x14ac:dyDescent="0.35">
      <c r="A13" s="3">
        <v>8</v>
      </c>
      <c r="B13" s="3" t="s">
        <v>58</v>
      </c>
      <c r="C13" s="8">
        <v>43831.583333333299</v>
      </c>
      <c r="D13" s="8">
        <v>43832.583333333299</v>
      </c>
      <c r="E13" s="12" t="s">
        <v>61</v>
      </c>
      <c r="F13" s="12" t="s">
        <v>57</v>
      </c>
      <c r="G13" s="9">
        <v>112</v>
      </c>
      <c r="H13" s="9">
        <v>602.5</v>
      </c>
      <c r="I13" s="9">
        <v>0</v>
      </c>
      <c r="J13" s="9">
        <v>0</v>
      </c>
      <c r="K13" s="9">
        <v>714.5</v>
      </c>
      <c r="L13" s="3"/>
      <c r="M13" s="3" t="s">
        <v>24</v>
      </c>
      <c r="N13" s="9">
        <v>0</v>
      </c>
      <c r="O13" s="9">
        <v>714.5</v>
      </c>
      <c r="P13" s="12" t="s">
        <v>61</v>
      </c>
      <c r="Q13" s="9">
        <v>0</v>
      </c>
      <c r="R13" s="11">
        <v>0</v>
      </c>
      <c r="S13" s="10">
        <v>0</v>
      </c>
      <c r="T13" s="9">
        <v>714.5</v>
      </c>
      <c r="U13" s="14">
        <v>0</v>
      </c>
      <c r="V13" s="12" t="s">
        <v>170</v>
      </c>
      <c r="W13" s="9"/>
      <c r="X13" s="9"/>
    </row>
    <row r="14" spans="1:24" x14ac:dyDescent="0.35">
      <c r="A14" s="3">
        <v>9</v>
      </c>
      <c r="B14" s="3" t="s">
        <v>62</v>
      </c>
      <c r="C14" s="8">
        <v>43829.583333333299</v>
      </c>
      <c r="D14" s="8">
        <v>43830.583333333299</v>
      </c>
      <c r="E14" s="12" t="s">
        <v>61</v>
      </c>
      <c r="F14" s="12" t="s">
        <v>57</v>
      </c>
      <c r="G14" s="9">
        <v>112</v>
      </c>
      <c r="H14" s="9">
        <v>602.5</v>
      </c>
      <c r="I14" s="9">
        <v>0</v>
      </c>
      <c r="J14" s="9">
        <v>0</v>
      </c>
      <c r="K14" s="9">
        <v>714.5</v>
      </c>
      <c r="L14" s="3"/>
      <c r="M14" s="3" t="s">
        <v>24</v>
      </c>
      <c r="N14" s="9">
        <v>0</v>
      </c>
      <c r="O14" s="9">
        <v>714.5</v>
      </c>
      <c r="P14" s="12" t="s">
        <v>61</v>
      </c>
      <c r="Q14" s="9">
        <v>0</v>
      </c>
      <c r="R14" s="11">
        <v>0</v>
      </c>
      <c r="S14" s="10">
        <v>0</v>
      </c>
      <c r="T14" s="9">
        <v>714.5</v>
      </c>
      <c r="U14" s="14">
        <v>0</v>
      </c>
      <c r="V14" s="12" t="s">
        <v>170</v>
      </c>
      <c r="W14" s="9"/>
      <c r="X14" s="9"/>
    </row>
    <row r="15" spans="1:24" ht="22" x14ac:dyDescent="0.35">
      <c r="A15" s="3">
        <v>10</v>
      </c>
      <c r="B15" s="3" t="s">
        <v>64</v>
      </c>
      <c r="C15" s="8">
        <v>43829.375</v>
      </c>
      <c r="D15" s="8">
        <v>43829.708333333299</v>
      </c>
      <c r="E15" s="12" t="s">
        <v>61</v>
      </c>
      <c r="F15" s="12" t="s">
        <v>67</v>
      </c>
      <c r="G15" s="9">
        <v>56</v>
      </c>
      <c r="H15" s="9">
        <v>602.5</v>
      </c>
      <c r="I15" s="9">
        <v>0</v>
      </c>
      <c r="J15" s="9">
        <v>0</v>
      </c>
      <c r="K15" s="9">
        <v>658.5</v>
      </c>
      <c r="L15" s="3"/>
      <c r="M15" s="3" t="s">
        <v>24</v>
      </c>
      <c r="N15" s="9">
        <v>0</v>
      </c>
      <c r="O15" s="9">
        <v>658.5</v>
      </c>
      <c r="P15" s="12" t="s">
        <v>61</v>
      </c>
      <c r="Q15" s="9">
        <v>0</v>
      </c>
      <c r="R15" s="11">
        <v>0</v>
      </c>
      <c r="S15" s="10">
        <v>0</v>
      </c>
      <c r="T15" s="9">
        <v>658.5</v>
      </c>
      <c r="U15" s="14">
        <v>0</v>
      </c>
      <c r="V15" s="12" t="s">
        <v>170</v>
      </c>
      <c r="W15" s="9"/>
      <c r="X15" s="9"/>
    </row>
    <row r="16" spans="1:24" x14ac:dyDescent="0.35">
      <c r="A16" s="3">
        <v>11</v>
      </c>
      <c r="B16" s="3" t="s">
        <v>68</v>
      </c>
      <c r="C16" s="8">
        <v>43813.416666666701</v>
      </c>
      <c r="D16" s="8">
        <v>43815.416666666701</v>
      </c>
      <c r="E16" s="12" t="s">
        <v>61</v>
      </c>
      <c r="F16" s="12" t="s">
        <v>67</v>
      </c>
      <c r="G16" s="9">
        <v>56</v>
      </c>
      <c r="H16" s="9">
        <v>602.5</v>
      </c>
      <c r="I16" s="9">
        <v>0</v>
      </c>
      <c r="J16" s="9">
        <v>0</v>
      </c>
      <c r="K16" s="9">
        <v>658.5</v>
      </c>
      <c r="L16" s="3"/>
      <c r="M16" s="3" t="s">
        <v>24</v>
      </c>
      <c r="N16" s="9">
        <v>0</v>
      </c>
      <c r="O16" s="9">
        <v>658.5</v>
      </c>
      <c r="P16" s="12" t="s">
        <v>61</v>
      </c>
      <c r="Q16" s="9">
        <v>0</v>
      </c>
      <c r="R16" s="11">
        <v>0</v>
      </c>
      <c r="S16" s="10">
        <v>0</v>
      </c>
      <c r="T16" s="9">
        <v>658.5</v>
      </c>
      <c r="U16" s="14">
        <v>0</v>
      </c>
      <c r="V16" s="12" t="s">
        <v>170</v>
      </c>
      <c r="W16" s="9"/>
      <c r="X16" s="9"/>
    </row>
    <row r="17" spans="1:24" ht="22" x14ac:dyDescent="0.35">
      <c r="A17" s="3">
        <v>13</v>
      </c>
      <c r="B17" s="3" t="s">
        <v>70</v>
      </c>
      <c r="C17" s="8">
        <v>43823.416666666701</v>
      </c>
      <c r="D17" s="8">
        <v>43823.583333333299</v>
      </c>
      <c r="E17" s="12" t="s">
        <v>29</v>
      </c>
      <c r="F17" s="12" t="s">
        <v>67</v>
      </c>
      <c r="G17" s="9">
        <v>24</v>
      </c>
      <c r="H17" s="9">
        <v>602.5</v>
      </c>
      <c r="I17" s="9">
        <v>0</v>
      </c>
      <c r="J17" s="9">
        <v>0</v>
      </c>
      <c r="K17" s="9">
        <v>626.5</v>
      </c>
      <c r="L17" s="7">
        <v>43811.458333333299</v>
      </c>
      <c r="M17" s="3" t="s">
        <v>29</v>
      </c>
      <c r="N17" s="9">
        <v>626.5</v>
      </c>
      <c r="O17" s="9">
        <v>0</v>
      </c>
      <c r="P17" s="12" t="s">
        <v>24</v>
      </c>
      <c r="Q17" s="9">
        <v>0</v>
      </c>
      <c r="R17" s="11">
        <v>0</v>
      </c>
      <c r="S17" s="10">
        <v>626.5</v>
      </c>
      <c r="T17" s="9">
        <v>0</v>
      </c>
      <c r="U17" s="14">
        <v>1</v>
      </c>
      <c r="V17" s="12" t="s">
        <v>166</v>
      </c>
      <c r="W17" s="9"/>
      <c r="X17" s="9"/>
    </row>
    <row r="18" spans="1:24" x14ac:dyDescent="0.35">
      <c r="A18" s="3">
        <v>14</v>
      </c>
      <c r="B18" s="3" t="s">
        <v>74</v>
      </c>
      <c r="C18" s="8">
        <v>43836.583333333299</v>
      </c>
      <c r="D18" s="8">
        <v>43838.583333333299</v>
      </c>
      <c r="E18" s="12" t="s">
        <v>51</v>
      </c>
      <c r="F18" s="12" t="s">
        <v>77</v>
      </c>
      <c r="G18" s="9">
        <v>672</v>
      </c>
      <c r="H18" s="9">
        <v>602.5</v>
      </c>
      <c r="I18" s="9">
        <v>0</v>
      </c>
      <c r="J18" s="9">
        <v>0</v>
      </c>
      <c r="K18" s="9">
        <v>1274.5</v>
      </c>
      <c r="L18" s="3"/>
      <c r="M18" s="3" t="s">
        <v>24</v>
      </c>
      <c r="N18" s="9">
        <v>0</v>
      </c>
      <c r="O18" s="9">
        <v>1274.5</v>
      </c>
      <c r="P18" s="12" t="s">
        <v>51</v>
      </c>
      <c r="Q18" s="9">
        <v>0</v>
      </c>
      <c r="R18" s="11">
        <v>0</v>
      </c>
      <c r="S18" s="10">
        <v>0</v>
      </c>
      <c r="T18" s="9">
        <v>1274.5</v>
      </c>
      <c r="U18" s="14">
        <v>0</v>
      </c>
      <c r="V18" s="12" t="s">
        <v>170</v>
      </c>
      <c r="W18" s="9"/>
      <c r="X18" s="9"/>
    </row>
    <row r="19" spans="1:24" x14ac:dyDescent="0.35">
      <c r="A19" s="3">
        <v>15</v>
      </c>
      <c r="B19" s="3" t="s">
        <v>78</v>
      </c>
      <c r="C19" s="8">
        <v>43829.583333333299</v>
      </c>
      <c r="D19" s="8">
        <v>43830.583333333299</v>
      </c>
      <c r="E19" s="12" t="s">
        <v>61</v>
      </c>
      <c r="F19" s="12" t="s">
        <v>57</v>
      </c>
      <c r="G19" s="9">
        <v>112</v>
      </c>
      <c r="H19" s="9">
        <v>602.5</v>
      </c>
      <c r="I19" s="9">
        <v>0</v>
      </c>
      <c r="J19" s="9">
        <v>0</v>
      </c>
      <c r="K19" s="9">
        <v>714.5</v>
      </c>
      <c r="L19" s="3"/>
      <c r="M19" s="3" t="s">
        <v>24</v>
      </c>
      <c r="N19" s="9">
        <v>0</v>
      </c>
      <c r="O19" s="9">
        <v>714.5</v>
      </c>
      <c r="P19" s="12" t="s">
        <v>61</v>
      </c>
      <c r="Q19" s="9">
        <v>0</v>
      </c>
      <c r="R19" s="11">
        <v>0</v>
      </c>
      <c r="S19" s="10">
        <v>0</v>
      </c>
      <c r="T19" s="9">
        <v>714.5</v>
      </c>
      <c r="U19" s="14">
        <v>0</v>
      </c>
      <c r="V19" s="12" t="s">
        <v>170</v>
      </c>
      <c r="W19" s="9"/>
      <c r="X19" s="9"/>
    </row>
    <row r="20" spans="1:24" x14ac:dyDescent="0.35">
      <c r="A20" s="3">
        <v>16</v>
      </c>
      <c r="B20" s="3" t="s">
        <v>80</v>
      </c>
      <c r="C20" s="8">
        <v>43827.416666666701</v>
      </c>
      <c r="D20" s="8">
        <v>43827.583333333299</v>
      </c>
      <c r="E20" s="12" t="s">
        <v>29</v>
      </c>
      <c r="F20" s="12" t="s">
        <v>57</v>
      </c>
      <c r="G20" s="9">
        <v>48</v>
      </c>
      <c r="H20" s="9">
        <v>602.5</v>
      </c>
      <c r="I20" s="9">
        <v>0</v>
      </c>
      <c r="J20" s="9">
        <v>0</v>
      </c>
      <c r="K20" s="9">
        <v>650.5</v>
      </c>
      <c r="L20" s="7">
        <v>43813.666666666701</v>
      </c>
      <c r="M20" s="3" t="s">
        <v>167</v>
      </c>
      <c r="N20" s="9">
        <v>666.5</v>
      </c>
      <c r="O20" s="9">
        <v>0</v>
      </c>
      <c r="P20" s="12" t="s">
        <v>24</v>
      </c>
      <c r="Q20" s="9">
        <v>0</v>
      </c>
      <c r="R20" s="11">
        <v>0</v>
      </c>
      <c r="S20" s="10">
        <v>666.5</v>
      </c>
      <c r="T20" s="9">
        <v>0</v>
      </c>
      <c r="U20" s="14">
        <v>1</v>
      </c>
      <c r="V20" s="12" t="s">
        <v>166</v>
      </c>
      <c r="W20" s="9"/>
      <c r="X20" s="9"/>
    </row>
    <row r="21" spans="1:24" x14ac:dyDescent="0.35">
      <c r="A21" s="3">
        <v>17</v>
      </c>
      <c r="B21" s="3" t="s">
        <v>82</v>
      </c>
      <c r="C21" s="8">
        <v>43822.416666666701</v>
      </c>
      <c r="D21" s="8">
        <v>43823.416666666701</v>
      </c>
      <c r="E21" s="12" t="s">
        <v>61</v>
      </c>
      <c r="F21" s="12" t="s">
        <v>85</v>
      </c>
      <c r="G21" s="9">
        <v>140</v>
      </c>
      <c r="H21" s="9">
        <v>3302.5</v>
      </c>
      <c r="I21" s="9">
        <v>0</v>
      </c>
      <c r="J21" s="9">
        <v>0</v>
      </c>
      <c r="K21" s="9">
        <v>3442.5</v>
      </c>
      <c r="L21" s="7">
        <v>43810.625</v>
      </c>
      <c r="M21" s="3" t="s">
        <v>167</v>
      </c>
      <c r="N21" s="9">
        <v>3382.5</v>
      </c>
      <c r="O21" s="9">
        <v>0</v>
      </c>
      <c r="P21" s="12" t="s">
        <v>24</v>
      </c>
      <c r="Q21" s="9">
        <v>0</v>
      </c>
      <c r="R21" s="11">
        <v>0</v>
      </c>
      <c r="S21" s="10">
        <v>3382.5</v>
      </c>
      <c r="T21" s="9">
        <v>0</v>
      </c>
      <c r="U21" s="14">
        <v>1</v>
      </c>
      <c r="V21" s="12" t="s">
        <v>166</v>
      </c>
      <c r="W21" s="9"/>
      <c r="X21" s="9"/>
    </row>
    <row r="22" spans="1:24" x14ac:dyDescent="0.35">
      <c r="A22" s="3">
        <v>18</v>
      </c>
      <c r="B22" s="3" t="s">
        <v>86</v>
      </c>
      <c r="C22" s="8">
        <v>43832.583333333299</v>
      </c>
      <c r="D22" s="8">
        <v>43833.583333333299</v>
      </c>
      <c r="E22" s="12" t="s">
        <v>61</v>
      </c>
      <c r="F22" s="12" t="s">
        <v>57</v>
      </c>
      <c r="G22" s="9">
        <v>112</v>
      </c>
      <c r="H22" s="9">
        <v>602.5</v>
      </c>
      <c r="I22" s="9">
        <v>0</v>
      </c>
      <c r="J22" s="9">
        <v>0</v>
      </c>
      <c r="K22" s="9">
        <v>714.5</v>
      </c>
      <c r="L22" s="3"/>
      <c r="M22" s="3" t="s">
        <v>24</v>
      </c>
      <c r="N22" s="9">
        <v>0</v>
      </c>
      <c r="O22" s="9">
        <v>714.5</v>
      </c>
      <c r="P22" s="12" t="s">
        <v>61</v>
      </c>
      <c r="Q22" s="9">
        <v>0</v>
      </c>
      <c r="R22" s="11">
        <v>0</v>
      </c>
      <c r="S22" s="10">
        <v>0</v>
      </c>
      <c r="T22" s="9">
        <v>714.5</v>
      </c>
      <c r="U22" s="14">
        <v>0</v>
      </c>
      <c r="V22" s="12" t="s">
        <v>170</v>
      </c>
      <c r="W22" s="9"/>
      <c r="X22" s="9"/>
    </row>
    <row r="23" spans="1:24" ht="22" x14ac:dyDescent="0.35">
      <c r="A23" s="3">
        <v>19</v>
      </c>
      <c r="B23" s="3" t="s">
        <v>88</v>
      </c>
      <c r="C23" s="8">
        <v>43833.583333333299</v>
      </c>
      <c r="D23" s="8">
        <v>43836.583333333299</v>
      </c>
      <c r="E23" s="12" t="s">
        <v>51</v>
      </c>
      <c r="F23" s="12" t="s">
        <v>77</v>
      </c>
      <c r="G23" s="9">
        <v>672</v>
      </c>
      <c r="H23" s="9">
        <v>2252.5</v>
      </c>
      <c r="I23" s="9">
        <v>0</v>
      </c>
      <c r="J23" s="9">
        <v>0</v>
      </c>
      <c r="K23" s="9">
        <v>2924.5</v>
      </c>
      <c r="L23" s="3"/>
      <c r="M23" s="3" t="s">
        <v>24</v>
      </c>
      <c r="N23" s="9">
        <v>0</v>
      </c>
      <c r="O23" s="9">
        <v>2924.5</v>
      </c>
      <c r="P23" s="12" t="s">
        <v>51</v>
      </c>
      <c r="Q23" s="9">
        <v>0</v>
      </c>
      <c r="R23" s="11">
        <v>0</v>
      </c>
      <c r="S23" s="10">
        <v>0</v>
      </c>
      <c r="T23" s="9">
        <v>2924.5</v>
      </c>
      <c r="U23" s="14">
        <v>0</v>
      </c>
      <c r="V23" s="12" t="s">
        <v>170</v>
      </c>
      <c r="W23" s="9"/>
      <c r="X23" s="9"/>
    </row>
    <row r="24" spans="1:24" x14ac:dyDescent="0.35">
      <c r="A24" s="3">
        <v>20</v>
      </c>
      <c r="B24" s="3" t="s">
        <v>91</v>
      </c>
      <c r="C24" s="8">
        <v>43824.416666666701</v>
      </c>
      <c r="D24" s="8">
        <v>43825.416666666701</v>
      </c>
      <c r="E24" s="12" t="s">
        <v>61</v>
      </c>
      <c r="F24" s="12" t="s">
        <v>67</v>
      </c>
      <c r="G24" s="9">
        <v>56</v>
      </c>
      <c r="H24" s="9">
        <v>28602.5</v>
      </c>
      <c r="I24" s="9">
        <v>0</v>
      </c>
      <c r="J24" s="9">
        <v>0</v>
      </c>
      <c r="K24" s="9">
        <v>28658.5</v>
      </c>
      <c r="L24" s="7">
        <v>43811.458333333299</v>
      </c>
      <c r="M24" s="3" t="s">
        <v>174</v>
      </c>
      <c r="N24" s="9">
        <v>28642.5</v>
      </c>
      <c r="O24" s="9">
        <v>0</v>
      </c>
      <c r="P24" s="12" t="s">
        <v>24</v>
      </c>
      <c r="Q24" s="9">
        <v>0</v>
      </c>
      <c r="R24" s="11">
        <v>0</v>
      </c>
      <c r="S24" s="10">
        <v>28642.5</v>
      </c>
      <c r="T24" s="9">
        <v>0</v>
      </c>
      <c r="U24" s="14">
        <v>1</v>
      </c>
      <c r="V24" s="12" t="s">
        <v>166</v>
      </c>
      <c r="W24" s="9"/>
      <c r="X24" s="9"/>
    </row>
    <row r="25" spans="1:24" ht="22" x14ac:dyDescent="0.35">
      <c r="A25" s="3">
        <v>21</v>
      </c>
      <c r="B25" s="3" t="s">
        <v>95</v>
      </c>
      <c r="C25" s="8">
        <v>43830.583333333299</v>
      </c>
      <c r="D25" s="8">
        <v>43831.583333333299</v>
      </c>
      <c r="E25" s="12" t="s">
        <v>61</v>
      </c>
      <c r="F25" s="12" t="s">
        <v>36</v>
      </c>
      <c r="G25" s="9">
        <v>168</v>
      </c>
      <c r="H25" s="9">
        <v>3677.5</v>
      </c>
      <c r="I25" s="9">
        <v>0</v>
      </c>
      <c r="J25" s="9">
        <v>0</v>
      </c>
      <c r="K25" s="9">
        <v>3845.5</v>
      </c>
      <c r="L25" s="3"/>
      <c r="M25" s="3" t="s">
        <v>24</v>
      </c>
      <c r="N25" s="9">
        <v>0</v>
      </c>
      <c r="O25" s="9">
        <v>3845.5</v>
      </c>
      <c r="P25" s="12" t="s">
        <v>61</v>
      </c>
      <c r="Q25" s="9">
        <v>0</v>
      </c>
      <c r="R25" s="11">
        <v>0</v>
      </c>
      <c r="S25" s="10">
        <v>0</v>
      </c>
      <c r="T25" s="9">
        <v>3845.5</v>
      </c>
      <c r="U25" s="14">
        <v>0</v>
      </c>
      <c r="V25" s="12" t="s">
        <v>170</v>
      </c>
      <c r="W25" s="9"/>
      <c r="X25" s="9"/>
    </row>
    <row r="26" spans="1:24" x14ac:dyDescent="0.35">
      <c r="A26" s="3">
        <v>22</v>
      </c>
      <c r="B26" s="3" t="s">
        <v>98</v>
      </c>
      <c r="C26" s="8">
        <v>43825.416666666701</v>
      </c>
      <c r="D26" s="8">
        <v>43826.416666666701</v>
      </c>
      <c r="E26" s="12" t="s">
        <v>61</v>
      </c>
      <c r="F26" s="12" t="s">
        <v>67</v>
      </c>
      <c r="G26" s="9">
        <v>56</v>
      </c>
      <c r="H26" s="9">
        <v>602.5</v>
      </c>
      <c r="I26" s="9">
        <v>0</v>
      </c>
      <c r="J26" s="9">
        <v>0</v>
      </c>
      <c r="K26" s="9">
        <v>658.5</v>
      </c>
      <c r="L26" s="7">
        <v>43812.375</v>
      </c>
      <c r="M26" s="3" t="s">
        <v>124</v>
      </c>
      <c r="N26" s="9">
        <v>650.5</v>
      </c>
      <c r="O26" s="9">
        <v>0</v>
      </c>
      <c r="P26" s="12" t="s">
        <v>24</v>
      </c>
      <c r="Q26" s="9">
        <v>0</v>
      </c>
      <c r="R26" s="11">
        <v>0</v>
      </c>
      <c r="S26" s="10">
        <v>650.5</v>
      </c>
      <c r="T26" s="9">
        <v>0</v>
      </c>
      <c r="U26" s="14">
        <v>1</v>
      </c>
      <c r="V26" s="12" t="s">
        <v>166</v>
      </c>
      <c r="W26" s="9"/>
      <c r="X26" s="9"/>
    </row>
    <row r="27" spans="1:24" x14ac:dyDescent="0.35">
      <c r="A27" s="3">
        <v>23</v>
      </c>
      <c r="B27" s="3" t="s">
        <v>101</v>
      </c>
      <c r="C27" s="8">
        <v>43832.583333333299</v>
      </c>
      <c r="D27" s="8">
        <v>43833.583333333299</v>
      </c>
      <c r="E27" s="12" t="s">
        <v>61</v>
      </c>
      <c r="F27" s="12" t="s">
        <v>52</v>
      </c>
      <c r="G27" s="9">
        <v>224</v>
      </c>
      <c r="H27" s="9">
        <v>43602.5</v>
      </c>
      <c r="I27" s="9">
        <v>0</v>
      </c>
      <c r="J27" s="9">
        <v>0</v>
      </c>
      <c r="K27" s="9">
        <v>43826.5</v>
      </c>
      <c r="L27" s="3"/>
      <c r="M27" s="3" t="s">
        <v>24</v>
      </c>
      <c r="N27" s="9">
        <v>0</v>
      </c>
      <c r="O27" s="9">
        <v>43826.5</v>
      </c>
      <c r="P27" s="12" t="s">
        <v>61</v>
      </c>
      <c r="Q27" s="9">
        <v>0</v>
      </c>
      <c r="R27" s="11">
        <v>0</v>
      </c>
      <c r="S27" s="10">
        <v>0</v>
      </c>
      <c r="T27" s="9">
        <v>43826.5</v>
      </c>
      <c r="U27" s="14">
        <v>0</v>
      </c>
      <c r="V27" s="12" t="s">
        <v>170</v>
      </c>
      <c r="W27" s="9"/>
      <c r="X27" s="9"/>
    </row>
    <row r="28" spans="1:24" x14ac:dyDescent="0.35">
      <c r="A28" s="3">
        <v>24</v>
      </c>
      <c r="B28" s="3" t="s">
        <v>103</v>
      </c>
      <c r="C28" s="8">
        <v>43826.416666666701</v>
      </c>
      <c r="D28" s="8">
        <v>43827.416666666701</v>
      </c>
      <c r="E28" s="12" t="s">
        <v>61</v>
      </c>
      <c r="F28" s="12" t="s">
        <v>67</v>
      </c>
      <c r="G28" s="9">
        <v>56</v>
      </c>
      <c r="H28" s="9">
        <v>1577.5</v>
      </c>
      <c r="I28" s="9">
        <v>0</v>
      </c>
      <c r="J28" s="9">
        <v>0</v>
      </c>
      <c r="K28" s="9">
        <v>1633.5</v>
      </c>
      <c r="L28" s="7">
        <v>43812.666666666701</v>
      </c>
      <c r="M28" s="3" t="s">
        <v>61</v>
      </c>
      <c r="N28" s="9">
        <v>1633.5</v>
      </c>
      <c r="O28" s="9">
        <v>0</v>
      </c>
      <c r="P28" s="12" t="s">
        <v>24</v>
      </c>
      <c r="Q28" s="9">
        <v>0</v>
      </c>
      <c r="R28" s="11">
        <v>0</v>
      </c>
      <c r="S28" s="10">
        <v>1633.5</v>
      </c>
      <c r="T28" s="9">
        <v>0</v>
      </c>
      <c r="U28" s="14">
        <v>1</v>
      </c>
      <c r="V28" s="12" t="s">
        <v>166</v>
      </c>
      <c r="W28" s="9"/>
      <c r="X28" s="9"/>
    </row>
    <row r="29" spans="1:24" x14ac:dyDescent="0.35">
      <c r="A29" s="3">
        <v>25</v>
      </c>
      <c r="B29" s="3" t="s">
        <v>106</v>
      </c>
      <c r="C29" s="8">
        <v>43813.416666666701</v>
      </c>
      <c r="D29" s="8">
        <v>43815.416666666701</v>
      </c>
      <c r="E29" s="12" t="s">
        <v>61</v>
      </c>
      <c r="F29" s="12" t="s">
        <v>67</v>
      </c>
      <c r="G29" s="9">
        <v>56</v>
      </c>
      <c r="H29" s="9">
        <v>2524.5</v>
      </c>
      <c r="I29" s="9">
        <v>0</v>
      </c>
      <c r="J29" s="9">
        <v>0</v>
      </c>
      <c r="K29" s="9">
        <v>2580.5</v>
      </c>
      <c r="L29" s="7">
        <v>43812.541666666701</v>
      </c>
      <c r="M29" s="3" t="s">
        <v>61</v>
      </c>
      <c r="N29" s="9">
        <v>2580.5</v>
      </c>
      <c r="O29" s="9">
        <v>0</v>
      </c>
      <c r="P29" s="12" t="s">
        <v>24</v>
      </c>
      <c r="Q29" s="9">
        <v>0</v>
      </c>
      <c r="R29" s="11">
        <v>0</v>
      </c>
      <c r="S29" s="10">
        <v>2580.5</v>
      </c>
      <c r="T29" s="9">
        <v>0</v>
      </c>
      <c r="U29" s="14">
        <v>1</v>
      </c>
      <c r="V29" s="12" t="s">
        <v>166</v>
      </c>
      <c r="W29" s="9"/>
      <c r="X29" s="9"/>
    </row>
    <row r="30" spans="1:24" x14ac:dyDescent="0.35">
      <c r="A30" s="3">
        <v>26</v>
      </c>
      <c r="B30" s="3" t="s">
        <v>108</v>
      </c>
      <c r="C30" s="8">
        <v>43829.583333333299</v>
      </c>
      <c r="D30" s="8">
        <v>43830.583333333299</v>
      </c>
      <c r="E30" s="12" t="s">
        <v>61</v>
      </c>
      <c r="F30" s="12" t="s">
        <v>57</v>
      </c>
      <c r="G30" s="9">
        <v>112</v>
      </c>
      <c r="H30" s="9">
        <v>3442.30004882813</v>
      </c>
      <c r="I30" s="9">
        <v>0</v>
      </c>
      <c r="J30" s="9">
        <v>0</v>
      </c>
      <c r="K30" s="9">
        <v>3554.30004882813</v>
      </c>
      <c r="L30" s="3"/>
      <c r="M30" s="3" t="s">
        <v>24</v>
      </c>
      <c r="N30" s="9">
        <v>0</v>
      </c>
      <c r="O30" s="9">
        <v>3554.30004882813</v>
      </c>
      <c r="P30" s="12" t="s">
        <v>61</v>
      </c>
      <c r="Q30" s="9">
        <v>0</v>
      </c>
      <c r="R30" s="11">
        <v>0</v>
      </c>
      <c r="S30" s="10">
        <v>0</v>
      </c>
      <c r="T30" s="9">
        <v>3554.30004882813</v>
      </c>
      <c r="U30" s="14">
        <v>0</v>
      </c>
      <c r="V30" s="12" t="s">
        <v>170</v>
      </c>
      <c r="W30" s="9"/>
      <c r="X30" s="9"/>
    </row>
    <row r="31" spans="1:24" x14ac:dyDescent="0.35">
      <c r="A31" s="3">
        <v>27</v>
      </c>
      <c r="B31" s="3" t="s">
        <v>110</v>
      </c>
      <c r="C31" s="8">
        <v>43823.416666666701</v>
      </c>
      <c r="D31" s="8">
        <v>43824.416666666701</v>
      </c>
      <c r="E31" s="12" t="s">
        <v>61</v>
      </c>
      <c r="F31" s="12" t="s">
        <v>67</v>
      </c>
      <c r="G31" s="9">
        <v>56</v>
      </c>
      <c r="H31" s="9">
        <v>2972.5</v>
      </c>
      <c r="I31" s="9">
        <v>0</v>
      </c>
      <c r="J31" s="9">
        <v>0</v>
      </c>
      <c r="K31" s="9">
        <v>3028.5</v>
      </c>
      <c r="L31" s="7">
        <v>43810.625</v>
      </c>
      <c r="M31" s="3" t="s">
        <v>167</v>
      </c>
      <c r="N31" s="9">
        <v>3004.5</v>
      </c>
      <c r="O31" s="9">
        <v>0</v>
      </c>
      <c r="P31" s="12" t="s">
        <v>24</v>
      </c>
      <c r="Q31" s="9">
        <v>0</v>
      </c>
      <c r="R31" s="11">
        <v>0</v>
      </c>
      <c r="S31" s="10">
        <v>3004.5</v>
      </c>
      <c r="T31" s="9">
        <v>0</v>
      </c>
      <c r="U31" s="14">
        <v>1</v>
      </c>
      <c r="V31" s="12" t="s">
        <v>166</v>
      </c>
      <c r="W31" s="9"/>
      <c r="X31" s="9"/>
    </row>
    <row r="32" spans="1:24" x14ac:dyDescent="0.35">
      <c r="A32" s="3">
        <v>28</v>
      </c>
      <c r="B32" s="3" t="s">
        <v>113</v>
      </c>
      <c r="C32" s="8">
        <v>43832.583333333299</v>
      </c>
      <c r="D32" s="8">
        <v>43833.583333333299</v>
      </c>
      <c r="E32" s="12" t="s">
        <v>61</v>
      </c>
      <c r="F32" s="12" t="s">
        <v>67</v>
      </c>
      <c r="G32" s="9">
        <v>56</v>
      </c>
      <c r="H32" s="9">
        <v>1586.5</v>
      </c>
      <c r="I32" s="9">
        <v>0</v>
      </c>
      <c r="J32" s="9">
        <v>0</v>
      </c>
      <c r="K32" s="9">
        <v>1642.5</v>
      </c>
      <c r="L32" s="7">
        <v>43810.625</v>
      </c>
      <c r="M32" s="3" t="s">
        <v>185</v>
      </c>
      <c r="N32" s="9">
        <v>1666.5</v>
      </c>
      <c r="O32" s="9">
        <v>0</v>
      </c>
      <c r="P32" s="12" t="s">
        <v>24</v>
      </c>
      <c r="Q32" s="9">
        <v>0</v>
      </c>
      <c r="R32" s="11">
        <v>0</v>
      </c>
      <c r="S32" s="10">
        <v>1666.5</v>
      </c>
      <c r="T32" s="9">
        <v>0</v>
      </c>
      <c r="U32" s="14">
        <v>1</v>
      </c>
      <c r="V32" s="12" t="s">
        <v>166</v>
      </c>
      <c r="W32" s="9"/>
      <c r="X32" s="9"/>
    </row>
    <row r="33" spans="1:24" ht="22" x14ac:dyDescent="0.35">
      <c r="A33" s="3">
        <v>29</v>
      </c>
      <c r="B33" s="3" t="s">
        <v>117</v>
      </c>
      <c r="C33" s="8">
        <v>43833.583333333299</v>
      </c>
      <c r="D33" s="8">
        <v>43833.708333333299</v>
      </c>
      <c r="E33" s="12" t="s">
        <v>29</v>
      </c>
      <c r="F33" s="12" t="s">
        <v>67</v>
      </c>
      <c r="G33" s="9">
        <v>24</v>
      </c>
      <c r="H33" s="9">
        <v>602.5</v>
      </c>
      <c r="I33" s="9">
        <v>0</v>
      </c>
      <c r="J33" s="9">
        <v>0</v>
      </c>
      <c r="K33" s="9">
        <v>626.5</v>
      </c>
      <c r="L33" s="7">
        <v>43812.416666666701</v>
      </c>
      <c r="M33" s="3" t="s">
        <v>177</v>
      </c>
      <c r="N33" s="9">
        <v>618.5</v>
      </c>
      <c r="O33" s="9">
        <v>0</v>
      </c>
      <c r="P33" s="12" t="s">
        <v>24</v>
      </c>
      <c r="Q33" s="9">
        <v>0</v>
      </c>
      <c r="R33" s="11">
        <v>0</v>
      </c>
      <c r="S33" s="10">
        <v>618.5</v>
      </c>
      <c r="T33" s="9">
        <v>0</v>
      </c>
      <c r="U33" s="14">
        <v>1</v>
      </c>
      <c r="V33" s="12" t="s">
        <v>166</v>
      </c>
      <c r="W33" s="9"/>
      <c r="X33" s="9"/>
    </row>
    <row r="34" spans="1:24" x14ac:dyDescent="0.35">
      <c r="A34" s="3">
        <v>30</v>
      </c>
      <c r="B34" s="3" t="s">
        <v>120</v>
      </c>
      <c r="C34" s="8">
        <v>43838.583333333299</v>
      </c>
      <c r="D34" s="8">
        <v>43839.5</v>
      </c>
      <c r="E34" s="12" t="s">
        <v>124</v>
      </c>
      <c r="F34" s="12" t="s">
        <v>67</v>
      </c>
      <c r="G34" s="9">
        <v>48</v>
      </c>
      <c r="H34" s="9">
        <v>602.5</v>
      </c>
      <c r="I34" s="9">
        <v>0</v>
      </c>
      <c r="J34" s="9">
        <v>0</v>
      </c>
      <c r="K34" s="9">
        <v>650.5</v>
      </c>
      <c r="L34" s="3"/>
      <c r="M34" s="3" t="s">
        <v>24</v>
      </c>
      <c r="N34" s="9">
        <v>0</v>
      </c>
      <c r="O34" s="9">
        <v>650.5</v>
      </c>
      <c r="P34" s="12" t="s">
        <v>124</v>
      </c>
      <c r="Q34" s="9">
        <v>0</v>
      </c>
      <c r="R34" s="11">
        <v>0</v>
      </c>
      <c r="S34" s="10">
        <v>0</v>
      </c>
      <c r="T34" s="9">
        <v>650.5</v>
      </c>
      <c r="U34" s="14">
        <v>0</v>
      </c>
      <c r="V34" s="12" t="s">
        <v>170</v>
      </c>
      <c r="W34" s="9"/>
      <c r="X34" s="9"/>
    </row>
    <row r="35" spans="1:24" x14ac:dyDescent="0.35">
      <c r="A35" s="3">
        <v>31</v>
      </c>
      <c r="B35" s="3" t="s">
        <v>125</v>
      </c>
      <c r="C35" s="8">
        <v>43839.5</v>
      </c>
      <c r="D35" s="8">
        <v>43839.5</v>
      </c>
      <c r="E35" s="12" t="s">
        <v>24</v>
      </c>
      <c r="F35" s="12"/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3"/>
      <c r="M35" s="3" t="s">
        <v>24</v>
      </c>
      <c r="N35" s="9">
        <v>0</v>
      </c>
      <c r="O35" s="9">
        <v>0</v>
      </c>
      <c r="P35" s="12" t="s">
        <v>24</v>
      </c>
      <c r="Q35" s="9">
        <v>0</v>
      </c>
      <c r="R35" s="11">
        <v>0</v>
      </c>
      <c r="S35" s="10">
        <v>0</v>
      </c>
      <c r="T35" s="9">
        <v>0</v>
      </c>
      <c r="U35" s="14">
        <v>0</v>
      </c>
      <c r="V35" s="12" t="s">
        <v>170</v>
      </c>
      <c r="W35" s="9"/>
      <c r="X35" s="9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Blad18"/>
  <dimension ref="A1:X35"/>
  <sheetViews>
    <sheetView topLeftCell="C1" workbookViewId="0">
      <selection activeCell="W5" sqref="W5:X35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150</v>
      </c>
      <c r="C1" s="7">
        <v>43823.708333333299</v>
      </c>
      <c r="E1" s="1" t="s">
        <v>151</v>
      </c>
      <c r="F1" s="4" t="s">
        <v>219</v>
      </c>
    </row>
    <row r="3" spans="1:24" x14ac:dyDescent="0.35">
      <c r="A3" s="24" t="s">
        <v>0</v>
      </c>
      <c r="B3" s="24"/>
      <c r="C3" s="24" t="s">
        <v>2</v>
      </c>
      <c r="D3" s="24"/>
      <c r="E3" s="24"/>
      <c r="F3" s="24" t="s">
        <v>3</v>
      </c>
      <c r="G3" s="24"/>
      <c r="H3" s="24" t="s">
        <v>4</v>
      </c>
      <c r="I3" s="24"/>
      <c r="J3" s="24"/>
      <c r="K3" s="24"/>
      <c r="L3" s="24" t="s">
        <v>152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153</v>
      </c>
      <c r="M4" s="1" t="s">
        <v>154</v>
      </c>
      <c r="N4" s="1" t="s">
        <v>155</v>
      </c>
      <c r="O4" s="1" t="s">
        <v>156</v>
      </c>
      <c r="P4" s="1" t="s">
        <v>157</v>
      </c>
      <c r="Q4" s="1" t="s">
        <v>158</v>
      </c>
      <c r="R4" s="1" t="s">
        <v>159</v>
      </c>
      <c r="S4" s="1" t="s">
        <v>160</v>
      </c>
      <c r="T4" s="1" t="s">
        <v>161</v>
      </c>
      <c r="U4" s="1" t="s">
        <v>162</v>
      </c>
      <c r="V4" s="1" t="s">
        <v>152</v>
      </c>
      <c r="W4" s="1" t="s">
        <v>163</v>
      </c>
      <c r="X4" s="1" t="s">
        <v>164</v>
      </c>
    </row>
    <row r="5" spans="1:24" x14ac:dyDescent="0.35">
      <c r="A5" s="2">
        <v>0</v>
      </c>
      <c r="B5" s="3" t="s">
        <v>18</v>
      </c>
      <c r="C5" s="5">
        <v>43808.375</v>
      </c>
      <c r="D5" s="5">
        <v>43839.5</v>
      </c>
      <c r="E5" s="2" t="s">
        <v>20</v>
      </c>
      <c r="F5" s="2"/>
      <c r="G5" s="6"/>
      <c r="H5" s="6">
        <v>118411.30004882799</v>
      </c>
      <c r="I5" s="6"/>
      <c r="J5" s="6"/>
      <c r="K5" s="6">
        <v>126955.30004882799</v>
      </c>
      <c r="L5" s="2"/>
      <c r="M5" s="2" t="s">
        <v>220</v>
      </c>
      <c r="N5" s="6"/>
      <c r="O5" s="6"/>
      <c r="P5" s="2"/>
      <c r="Q5" s="6"/>
      <c r="R5" s="6"/>
      <c r="S5" s="6">
        <v>65908.5</v>
      </c>
      <c r="T5" s="6"/>
      <c r="U5" s="13">
        <v>0.52307136360463302</v>
      </c>
      <c r="V5" s="2"/>
      <c r="W5" s="6"/>
      <c r="X5" s="6"/>
    </row>
    <row r="6" spans="1:24" x14ac:dyDescent="0.35">
      <c r="A6" s="3">
        <v>1</v>
      </c>
      <c r="B6" s="3" t="s">
        <v>21</v>
      </c>
      <c r="C6" s="8">
        <v>43808.375</v>
      </c>
      <c r="D6" s="8">
        <v>43806.708333333299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43808.375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166</v>
      </c>
      <c r="W6" s="9"/>
      <c r="X6" s="9"/>
    </row>
    <row r="7" spans="1:24" ht="22" x14ac:dyDescent="0.35">
      <c r="A7" s="3">
        <v>2</v>
      </c>
      <c r="B7" s="3" t="s">
        <v>25</v>
      </c>
      <c r="C7" s="8">
        <v>43808.375</v>
      </c>
      <c r="D7" s="8">
        <v>43808.5</v>
      </c>
      <c r="E7" s="12" t="s">
        <v>29</v>
      </c>
      <c r="F7" s="12" t="s">
        <v>30</v>
      </c>
      <c r="G7" s="9">
        <v>36</v>
      </c>
      <c r="H7" s="9">
        <v>931.5</v>
      </c>
      <c r="I7" s="9">
        <v>0</v>
      </c>
      <c r="J7" s="9">
        <v>0</v>
      </c>
      <c r="K7" s="9">
        <v>967.5</v>
      </c>
      <c r="L7" s="7">
        <v>43808.375</v>
      </c>
      <c r="M7" s="3" t="s">
        <v>29</v>
      </c>
      <c r="N7" s="9">
        <v>967.5</v>
      </c>
      <c r="O7" s="9">
        <v>0</v>
      </c>
      <c r="P7" s="12" t="s">
        <v>24</v>
      </c>
      <c r="Q7" s="9">
        <v>0</v>
      </c>
      <c r="R7" s="11">
        <v>0</v>
      </c>
      <c r="S7" s="10">
        <v>967.5</v>
      </c>
      <c r="T7" s="9">
        <v>0</v>
      </c>
      <c r="U7" s="14">
        <v>1</v>
      </c>
      <c r="V7" s="12" t="s">
        <v>166</v>
      </c>
      <c r="W7" s="9"/>
      <c r="X7" s="9"/>
    </row>
    <row r="8" spans="1:24" x14ac:dyDescent="0.35">
      <c r="A8" s="3">
        <v>3</v>
      </c>
      <c r="B8" s="3" t="s">
        <v>31</v>
      </c>
      <c r="C8" s="8">
        <v>43808.541666666701</v>
      </c>
      <c r="D8" s="8">
        <v>43813.5</v>
      </c>
      <c r="E8" s="12" t="s">
        <v>35</v>
      </c>
      <c r="F8" s="12" t="s">
        <v>36</v>
      </c>
      <c r="G8" s="9">
        <v>840</v>
      </c>
      <c r="H8" s="9">
        <v>950.5</v>
      </c>
      <c r="I8" s="9">
        <v>0</v>
      </c>
      <c r="J8" s="9">
        <v>0</v>
      </c>
      <c r="K8" s="9">
        <v>1790.5</v>
      </c>
      <c r="L8" s="7">
        <v>43808.541666666701</v>
      </c>
      <c r="M8" s="3" t="s">
        <v>181</v>
      </c>
      <c r="N8" s="9">
        <v>1550.5</v>
      </c>
      <c r="O8" s="9">
        <v>0</v>
      </c>
      <c r="P8" s="12" t="s">
        <v>24</v>
      </c>
      <c r="Q8" s="9">
        <v>0</v>
      </c>
      <c r="R8" s="11">
        <v>0</v>
      </c>
      <c r="S8" s="10">
        <v>1550.5</v>
      </c>
      <c r="T8" s="9">
        <v>0</v>
      </c>
      <c r="U8" s="14">
        <v>1</v>
      </c>
      <c r="V8" s="12" t="s">
        <v>166</v>
      </c>
      <c r="W8" s="9"/>
      <c r="X8" s="9"/>
    </row>
    <row r="9" spans="1:24" x14ac:dyDescent="0.35">
      <c r="A9" s="3">
        <v>4</v>
      </c>
      <c r="B9" s="3" t="s">
        <v>37</v>
      </c>
      <c r="C9" s="8">
        <v>43813.541666666701</v>
      </c>
      <c r="D9" s="8">
        <v>43816.625</v>
      </c>
      <c r="E9" s="12" t="s">
        <v>41</v>
      </c>
      <c r="F9" s="12" t="s">
        <v>42</v>
      </c>
      <c r="G9" s="9">
        <v>640</v>
      </c>
      <c r="H9" s="9">
        <v>8819</v>
      </c>
      <c r="I9" s="9">
        <v>0</v>
      </c>
      <c r="J9" s="9">
        <v>0</v>
      </c>
      <c r="K9" s="9">
        <v>9459</v>
      </c>
      <c r="L9" s="7">
        <v>43812.375</v>
      </c>
      <c r="M9" s="3" t="s">
        <v>185</v>
      </c>
      <c r="N9" s="9">
        <v>9219</v>
      </c>
      <c r="O9" s="9">
        <v>0</v>
      </c>
      <c r="P9" s="12" t="s">
        <v>24</v>
      </c>
      <c r="Q9" s="9">
        <v>0</v>
      </c>
      <c r="R9" s="11">
        <v>0</v>
      </c>
      <c r="S9" s="10">
        <v>9219</v>
      </c>
      <c r="T9" s="9">
        <v>0</v>
      </c>
      <c r="U9" s="14">
        <v>1</v>
      </c>
      <c r="V9" s="12" t="s">
        <v>166</v>
      </c>
      <c r="W9" s="9"/>
      <c r="X9" s="9"/>
    </row>
    <row r="10" spans="1:24" ht="22" x14ac:dyDescent="0.35">
      <c r="A10" s="3">
        <v>5</v>
      </c>
      <c r="B10" s="3" t="s">
        <v>43</v>
      </c>
      <c r="C10" s="8">
        <v>43816.625</v>
      </c>
      <c r="D10" s="8">
        <v>43827.708333333299</v>
      </c>
      <c r="E10" s="12" t="s">
        <v>47</v>
      </c>
      <c r="F10" s="12" t="s">
        <v>42</v>
      </c>
      <c r="G10" s="9">
        <v>2880</v>
      </c>
      <c r="H10" s="9">
        <v>3166.5</v>
      </c>
      <c r="I10" s="9">
        <v>0</v>
      </c>
      <c r="J10" s="9">
        <v>0</v>
      </c>
      <c r="K10" s="9">
        <v>6046.5</v>
      </c>
      <c r="L10" s="7">
        <v>43813.541666666701</v>
      </c>
      <c r="M10" s="3" t="s">
        <v>221</v>
      </c>
      <c r="N10" s="9">
        <v>5566.5</v>
      </c>
      <c r="O10" s="9">
        <v>240</v>
      </c>
      <c r="P10" s="12" t="s">
        <v>124</v>
      </c>
      <c r="Q10" s="9">
        <v>0</v>
      </c>
      <c r="R10" s="11">
        <v>0</v>
      </c>
      <c r="S10" s="10">
        <v>5566.5</v>
      </c>
      <c r="T10" s="9">
        <v>240</v>
      </c>
      <c r="U10" s="14">
        <v>0.909090936183929</v>
      </c>
      <c r="V10" s="12" t="s">
        <v>169</v>
      </c>
      <c r="W10" s="9"/>
      <c r="X10" s="9"/>
    </row>
    <row r="11" spans="1:24" x14ac:dyDescent="0.35">
      <c r="A11" s="3">
        <v>6</v>
      </c>
      <c r="B11" s="3" t="s">
        <v>48</v>
      </c>
      <c r="C11" s="8">
        <v>43830.583333333299</v>
      </c>
      <c r="D11" s="8">
        <v>43832.583333333299</v>
      </c>
      <c r="E11" s="12" t="s">
        <v>51</v>
      </c>
      <c r="F11" s="12" t="s">
        <v>52</v>
      </c>
      <c r="G11" s="9">
        <v>448</v>
      </c>
      <c r="H11" s="9">
        <v>1802.5</v>
      </c>
      <c r="I11" s="9">
        <v>0</v>
      </c>
      <c r="J11" s="9">
        <v>0</v>
      </c>
      <c r="K11" s="9">
        <v>2250.5</v>
      </c>
      <c r="L11" s="7">
        <v>43808.541666666701</v>
      </c>
      <c r="M11" s="3" t="s">
        <v>41</v>
      </c>
      <c r="N11" s="9">
        <v>2314.5</v>
      </c>
      <c r="O11" s="9">
        <v>0</v>
      </c>
      <c r="P11" s="12" t="s">
        <v>24</v>
      </c>
      <c r="Q11" s="9">
        <v>0</v>
      </c>
      <c r="R11" s="11">
        <v>0</v>
      </c>
      <c r="S11" s="10">
        <v>2314.5</v>
      </c>
      <c r="T11" s="9">
        <v>0</v>
      </c>
      <c r="U11" s="14">
        <v>1</v>
      </c>
      <c r="V11" s="12" t="s">
        <v>166</v>
      </c>
      <c r="W11" s="9"/>
      <c r="X11" s="9"/>
    </row>
    <row r="12" spans="1:24" x14ac:dyDescent="0.35">
      <c r="A12" s="3">
        <v>7</v>
      </c>
      <c r="B12" s="3" t="s">
        <v>53</v>
      </c>
      <c r="C12" s="8">
        <v>43815.416666666701</v>
      </c>
      <c r="D12" s="8">
        <v>43822.416666666701</v>
      </c>
      <c r="E12" s="12" t="s">
        <v>56</v>
      </c>
      <c r="F12" s="12" t="s">
        <v>57</v>
      </c>
      <c r="G12" s="9">
        <v>672</v>
      </c>
      <c r="H12" s="9">
        <v>1970.5</v>
      </c>
      <c r="I12" s="9">
        <v>0</v>
      </c>
      <c r="J12" s="9">
        <v>0</v>
      </c>
      <c r="K12" s="9">
        <v>2642.5</v>
      </c>
      <c r="L12" s="7">
        <v>43815.541666666701</v>
      </c>
      <c r="M12" s="3" t="s">
        <v>217</v>
      </c>
      <c r="N12" s="9">
        <v>2818.5</v>
      </c>
      <c r="O12" s="9">
        <v>48</v>
      </c>
      <c r="P12" s="12" t="s">
        <v>29</v>
      </c>
      <c r="Q12" s="9">
        <v>0</v>
      </c>
      <c r="R12" s="11">
        <v>0</v>
      </c>
      <c r="S12" s="10">
        <v>2818.5</v>
      </c>
      <c r="T12" s="9">
        <v>48</v>
      </c>
      <c r="U12" s="14">
        <v>0.94642859697341897</v>
      </c>
      <c r="V12" s="12" t="s">
        <v>169</v>
      </c>
      <c r="W12" s="9"/>
      <c r="X12" s="9"/>
    </row>
    <row r="13" spans="1:24" ht="22" x14ac:dyDescent="0.35">
      <c r="A13" s="3">
        <v>8</v>
      </c>
      <c r="B13" s="3" t="s">
        <v>58</v>
      </c>
      <c r="C13" s="8">
        <v>43831.583333333299</v>
      </c>
      <c r="D13" s="8">
        <v>43832.583333333299</v>
      </c>
      <c r="E13" s="12" t="s">
        <v>61</v>
      </c>
      <c r="F13" s="12" t="s">
        <v>57</v>
      </c>
      <c r="G13" s="9">
        <v>112</v>
      </c>
      <c r="H13" s="9">
        <v>602.5</v>
      </c>
      <c r="I13" s="9">
        <v>0</v>
      </c>
      <c r="J13" s="9">
        <v>0</v>
      </c>
      <c r="K13" s="9">
        <v>714.5</v>
      </c>
      <c r="L13" s="3"/>
      <c r="M13" s="3" t="s">
        <v>24</v>
      </c>
      <c r="N13" s="9">
        <v>0</v>
      </c>
      <c r="O13" s="9">
        <v>714.5</v>
      </c>
      <c r="P13" s="12" t="s">
        <v>61</v>
      </c>
      <c r="Q13" s="9">
        <v>0</v>
      </c>
      <c r="R13" s="11">
        <v>0</v>
      </c>
      <c r="S13" s="10">
        <v>0</v>
      </c>
      <c r="T13" s="9">
        <v>714.5</v>
      </c>
      <c r="U13" s="14">
        <v>0</v>
      </c>
      <c r="V13" s="12" t="s">
        <v>170</v>
      </c>
      <c r="W13" s="9"/>
      <c r="X13" s="9"/>
    </row>
    <row r="14" spans="1:24" x14ac:dyDescent="0.35">
      <c r="A14" s="3">
        <v>9</v>
      </c>
      <c r="B14" s="3" t="s">
        <v>62</v>
      </c>
      <c r="C14" s="8">
        <v>43829.583333333299</v>
      </c>
      <c r="D14" s="8">
        <v>43830.583333333299</v>
      </c>
      <c r="E14" s="12" t="s">
        <v>61</v>
      </c>
      <c r="F14" s="12" t="s">
        <v>57</v>
      </c>
      <c r="G14" s="9">
        <v>112</v>
      </c>
      <c r="H14" s="9">
        <v>602.5</v>
      </c>
      <c r="I14" s="9">
        <v>0</v>
      </c>
      <c r="J14" s="9">
        <v>0</v>
      </c>
      <c r="K14" s="9">
        <v>714.5</v>
      </c>
      <c r="L14" s="3"/>
      <c r="M14" s="3" t="s">
        <v>24</v>
      </c>
      <c r="N14" s="9">
        <v>0</v>
      </c>
      <c r="O14" s="9">
        <v>714.5</v>
      </c>
      <c r="P14" s="12" t="s">
        <v>61</v>
      </c>
      <c r="Q14" s="9">
        <v>0</v>
      </c>
      <c r="R14" s="11">
        <v>0</v>
      </c>
      <c r="S14" s="10">
        <v>0</v>
      </c>
      <c r="T14" s="9">
        <v>714.5</v>
      </c>
      <c r="U14" s="14">
        <v>0</v>
      </c>
      <c r="V14" s="12" t="s">
        <v>170</v>
      </c>
      <c r="W14" s="9"/>
      <c r="X14" s="9"/>
    </row>
    <row r="15" spans="1:24" ht="22" x14ac:dyDescent="0.35">
      <c r="A15" s="3">
        <v>10</v>
      </c>
      <c r="B15" s="3" t="s">
        <v>64</v>
      </c>
      <c r="C15" s="8">
        <v>43829.375</v>
      </c>
      <c r="D15" s="8">
        <v>43829.708333333299</v>
      </c>
      <c r="E15" s="12" t="s">
        <v>61</v>
      </c>
      <c r="F15" s="12" t="s">
        <v>67</v>
      </c>
      <c r="G15" s="9">
        <v>56</v>
      </c>
      <c r="H15" s="9">
        <v>602.5</v>
      </c>
      <c r="I15" s="9">
        <v>0</v>
      </c>
      <c r="J15" s="9">
        <v>0</v>
      </c>
      <c r="K15" s="9">
        <v>658.5</v>
      </c>
      <c r="L15" s="3"/>
      <c r="M15" s="3" t="s">
        <v>24</v>
      </c>
      <c r="N15" s="9">
        <v>0</v>
      </c>
      <c r="O15" s="9">
        <v>658.5</v>
      </c>
      <c r="P15" s="12" t="s">
        <v>61</v>
      </c>
      <c r="Q15" s="9">
        <v>0</v>
      </c>
      <c r="R15" s="11">
        <v>0</v>
      </c>
      <c r="S15" s="10">
        <v>0</v>
      </c>
      <c r="T15" s="9">
        <v>658.5</v>
      </c>
      <c r="U15" s="14">
        <v>0</v>
      </c>
      <c r="V15" s="12" t="s">
        <v>170</v>
      </c>
      <c r="W15" s="9"/>
      <c r="X15" s="9"/>
    </row>
    <row r="16" spans="1:24" x14ac:dyDescent="0.35">
      <c r="A16" s="3">
        <v>11</v>
      </c>
      <c r="B16" s="3" t="s">
        <v>68</v>
      </c>
      <c r="C16" s="8">
        <v>43813.416666666701</v>
      </c>
      <c r="D16" s="8">
        <v>43815.416666666701</v>
      </c>
      <c r="E16" s="12" t="s">
        <v>61</v>
      </c>
      <c r="F16" s="12" t="s">
        <v>67</v>
      </c>
      <c r="G16" s="9">
        <v>56</v>
      </c>
      <c r="H16" s="9">
        <v>602.5</v>
      </c>
      <c r="I16" s="9">
        <v>0</v>
      </c>
      <c r="J16" s="9">
        <v>0</v>
      </c>
      <c r="K16" s="9">
        <v>658.5</v>
      </c>
      <c r="L16" s="3"/>
      <c r="M16" s="3" t="s">
        <v>24</v>
      </c>
      <c r="N16" s="9">
        <v>0</v>
      </c>
      <c r="O16" s="9">
        <v>658.5</v>
      </c>
      <c r="P16" s="12" t="s">
        <v>61</v>
      </c>
      <c r="Q16" s="9">
        <v>0</v>
      </c>
      <c r="R16" s="11">
        <v>0</v>
      </c>
      <c r="S16" s="10">
        <v>0</v>
      </c>
      <c r="T16" s="9">
        <v>658.5</v>
      </c>
      <c r="U16" s="14">
        <v>0</v>
      </c>
      <c r="V16" s="12" t="s">
        <v>170</v>
      </c>
      <c r="W16" s="9"/>
      <c r="X16" s="9"/>
    </row>
    <row r="17" spans="1:24" ht="22" x14ac:dyDescent="0.35">
      <c r="A17" s="3">
        <v>13</v>
      </c>
      <c r="B17" s="3" t="s">
        <v>70</v>
      </c>
      <c r="C17" s="8">
        <v>43823.416666666701</v>
      </c>
      <c r="D17" s="8">
        <v>43823.583333333299</v>
      </c>
      <c r="E17" s="12" t="s">
        <v>29</v>
      </c>
      <c r="F17" s="12" t="s">
        <v>67</v>
      </c>
      <c r="G17" s="9">
        <v>24</v>
      </c>
      <c r="H17" s="9">
        <v>602.5</v>
      </c>
      <c r="I17" s="9">
        <v>0</v>
      </c>
      <c r="J17" s="9">
        <v>0</v>
      </c>
      <c r="K17" s="9">
        <v>626.5</v>
      </c>
      <c r="L17" s="7">
        <v>43811.458333333299</v>
      </c>
      <c r="M17" s="3" t="s">
        <v>29</v>
      </c>
      <c r="N17" s="9">
        <v>626.5</v>
      </c>
      <c r="O17" s="9">
        <v>0</v>
      </c>
      <c r="P17" s="12" t="s">
        <v>24</v>
      </c>
      <c r="Q17" s="9">
        <v>0</v>
      </c>
      <c r="R17" s="11">
        <v>0</v>
      </c>
      <c r="S17" s="10">
        <v>626.5</v>
      </c>
      <c r="T17" s="9">
        <v>0</v>
      </c>
      <c r="U17" s="14">
        <v>1</v>
      </c>
      <c r="V17" s="12" t="s">
        <v>166</v>
      </c>
      <c r="W17" s="9"/>
      <c r="X17" s="9"/>
    </row>
    <row r="18" spans="1:24" x14ac:dyDescent="0.35">
      <c r="A18" s="3">
        <v>14</v>
      </c>
      <c r="B18" s="3" t="s">
        <v>74</v>
      </c>
      <c r="C18" s="8">
        <v>43836.583333333299</v>
      </c>
      <c r="D18" s="8">
        <v>43838.583333333299</v>
      </c>
      <c r="E18" s="12" t="s">
        <v>51</v>
      </c>
      <c r="F18" s="12" t="s">
        <v>77</v>
      </c>
      <c r="G18" s="9">
        <v>672</v>
      </c>
      <c r="H18" s="9">
        <v>602.5</v>
      </c>
      <c r="I18" s="9">
        <v>0</v>
      </c>
      <c r="J18" s="9">
        <v>0</v>
      </c>
      <c r="K18" s="9">
        <v>1274.5</v>
      </c>
      <c r="L18" s="3"/>
      <c r="M18" s="3" t="s">
        <v>24</v>
      </c>
      <c r="N18" s="9">
        <v>0</v>
      </c>
      <c r="O18" s="9">
        <v>1274.5</v>
      </c>
      <c r="P18" s="12" t="s">
        <v>51</v>
      </c>
      <c r="Q18" s="9">
        <v>0</v>
      </c>
      <c r="R18" s="11">
        <v>0</v>
      </c>
      <c r="S18" s="10">
        <v>0</v>
      </c>
      <c r="T18" s="9">
        <v>1274.5</v>
      </c>
      <c r="U18" s="14">
        <v>0</v>
      </c>
      <c r="V18" s="12" t="s">
        <v>170</v>
      </c>
      <c r="W18" s="9"/>
      <c r="X18" s="9"/>
    </row>
    <row r="19" spans="1:24" x14ac:dyDescent="0.35">
      <c r="A19" s="3">
        <v>15</v>
      </c>
      <c r="B19" s="3" t="s">
        <v>78</v>
      </c>
      <c r="C19" s="8">
        <v>43829.583333333299</v>
      </c>
      <c r="D19" s="8">
        <v>43830.583333333299</v>
      </c>
      <c r="E19" s="12" t="s">
        <v>61</v>
      </c>
      <c r="F19" s="12" t="s">
        <v>57</v>
      </c>
      <c r="G19" s="9">
        <v>112</v>
      </c>
      <c r="H19" s="9">
        <v>602.5</v>
      </c>
      <c r="I19" s="9">
        <v>0</v>
      </c>
      <c r="J19" s="9">
        <v>0</v>
      </c>
      <c r="K19" s="9">
        <v>714.5</v>
      </c>
      <c r="L19" s="3"/>
      <c r="M19" s="3" t="s">
        <v>24</v>
      </c>
      <c r="N19" s="9">
        <v>0</v>
      </c>
      <c r="O19" s="9">
        <v>714.5</v>
      </c>
      <c r="P19" s="12" t="s">
        <v>61</v>
      </c>
      <c r="Q19" s="9">
        <v>0</v>
      </c>
      <c r="R19" s="11">
        <v>0</v>
      </c>
      <c r="S19" s="10">
        <v>0</v>
      </c>
      <c r="T19" s="9">
        <v>714.5</v>
      </c>
      <c r="U19" s="14">
        <v>0</v>
      </c>
      <c r="V19" s="12" t="s">
        <v>170</v>
      </c>
      <c r="W19" s="9"/>
      <c r="X19" s="9"/>
    </row>
    <row r="20" spans="1:24" x14ac:dyDescent="0.35">
      <c r="A20" s="3">
        <v>16</v>
      </c>
      <c r="B20" s="3" t="s">
        <v>80</v>
      </c>
      <c r="C20" s="8">
        <v>43827.416666666701</v>
      </c>
      <c r="D20" s="8">
        <v>43827.583333333299</v>
      </c>
      <c r="E20" s="12" t="s">
        <v>29</v>
      </c>
      <c r="F20" s="12" t="s">
        <v>57</v>
      </c>
      <c r="G20" s="9">
        <v>48</v>
      </c>
      <c r="H20" s="9">
        <v>602.5</v>
      </c>
      <c r="I20" s="9">
        <v>0</v>
      </c>
      <c r="J20" s="9">
        <v>0</v>
      </c>
      <c r="K20" s="9">
        <v>650.5</v>
      </c>
      <c r="L20" s="7">
        <v>43813.666666666701</v>
      </c>
      <c r="M20" s="3" t="s">
        <v>167</v>
      </c>
      <c r="N20" s="9">
        <v>666.5</v>
      </c>
      <c r="O20" s="9">
        <v>0</v>
      </c>
      <c r="P20" s="12" t="s">
        <v>24</v>
      </c>
      <c r="Q20" s="9">
        <v>0</v>
      </c>
      <c r="R20" s="11">
        <v>0</v>
      </c>
      <c r="S20" s="10">
        <v>666.5</v>
      </c>
      <c r="T20" s="9">
        <v>0</v>
      </c>
      <c r="U20" s="14">
        <v>1</v>
      </c>
      <c r="V20" s="12" t="s">
        <v>166</v>
      </c>
      <c r="W20" s="9"/>
      <c r="X20" s="9"/>
    </row>
    <row r="21" spans="1:24" x14ac:dyDescent="0.35">
      <c r="A21" s="3">
        <v>17</v>
      </c>
      <c r="B21" s="3" t="s">
        <v>82</v>
      </c>
      <c r="C21" s="8">
        <v>43822.416666666701</v>
      </c>
      <c r="D21" s="8">
        <v>43823.416666666701</v>
      </c>
      <c r="E21" s="12" t="s">
        <v>61</v>
      </c>
      <c r="F21" s="12" t="s">
        <v>85</v>
      </c>
      <c r="G21" s="9">
        <v>140</v>
      </c>
      <c r="H21" s="9">
        <v>3302.5</v>
      </c>
      <c r="I21" s="9">
        <v>0</v>
      </c>
      <c r="J21" s="9">
        <v>0</v>
      </c>
      <c r="K21" s="9">
        <v>3442.5</v>
      </c>
      <c r="L21" s="7">
        <v>43810.625</v>
      </c>
      <c r="M21" s="3" t="s">
        <v>167</v>
      </c>
      <c r="N21" s="9">
        <v>3382.5</v>
      </c>
      <c r="O21" s="9">
        <v>0</v>
      </c>
      <c r="P21" s="12" t="s">
        <v>24</v>
      </c>
      <c r="Q21" s="9">
        <v>0</v>
      </c>
      <c r="R21" s="11">
        <v>0</v>
      </c>
      <c r="S21" s="10">
        <v>3382.5</v>
      </c>
      <c r="T21" s="9">
        <v>0</v>
      </c>
      <c r="U21" s="14">
        <v>1</v>
      </c>
      <c r="V21" s="12" t="s">
        <v>166</v>
      </c>
      <c r="W21" s="9"/>
      <c r="X21" s="9"/>
    </row>
    <row r="22" spans="1:24" x14ac:dyDescent="0.35">
      <c r="A22" s="3">
        <v>18</v>
      </c>
      <c r="B22" s="3" t="s">
        <v>86</v>
      </c>
      <c r="C22" s="8">
        <v>43832.583333333299</v>
      </c>
      <c r="D22" s="8">
        <v>43833.583333333299</v>
      </c>
      <c r="E22" s="12" t="s">
        <v>61</v>
      </c>
      <c r="F22" s="12" t="s">
        <v>57</v>
      </c>
      <c r="G22" s="9">
        <v>112</v>
      </c>
      <c r="H22" s="9">
        <v>602.5</v>
      </c>
      <c r="I22" s="9">
        <v>0</v>
      </c>
      <c r="J22" s="9">
        <v>0</v>
      </c>
      <c r="K22" s="9">
        <v>714.5</v>
      </c>
      <c r="L22" s="3"/>
      <c r="M22" s="3" t="s">
        <v>24</v>
      </c>
      <c r="N22" s="9">
        <v>0</v>
      </c>
      <c r="O22" s="9">
        <v>714.5</v>
      </c>
      <c r="P22" s="12" t="s">
        <v>61</v>
      </c>
      <c r="Q22" s="9">
        <v>0</v>
      </c>
      <c r="R22" s="11">
        <v>0</v>
      </c>
      <c r="S22" s="10">
        <v>0</v>
      </c>
      <c r="T22" s="9">
        <v>714.5</v>
      </c>
      <c r="U22" s="14">
        <v>0</v>
      </c>
      <c r="V22" s="12" t="s">
        <v>170</v>
      </c>
      <c r="W22" s="9"/>
      <c r="X22" s="9"/>
    </row>
    <row r="23" spans="1:24" ht="22" x14ac:dyDescent="0.35">
      <c r="A23" s="3">
        <v>19</v>
      </c>
      <c r="B23" s="3" t="s">
        <v>88</v>
      </c>
      <c r="C23" s="8">
        <v>43833.583333333299</v>
      </c>
      <c r="D23" s="8">
        <v>43836.583333333299</v>
      </c>
      <c r="E23" s="12" t="s">
        <v>51</v>
      </c>
      <c r="F23" s="12" t="s">
        <v>77</v>
      </c>
      <c r="G23" s="9">
        <v>672</v>
      </c>
      <c r="H23" s="9">
        <v>2252.5</v>
      </c>
      <c r="I23" s="9">
        <v>0</v>
      </c>
      <c r="J23" s="9">
        <v>0</v>
      </c>
      <c r="K23" s="9">
        <v>2924.5</v>
      </c>
      <c r="L23" s="3"/>
      <c r="M23" s="3" t="s">
        <v>24</v>
      </c>
      <c r="N23" s="9">
        <v>0</v>
      </c>
      <c r="O23" s="9">
        <v>2924.5</v>
      </c>
      <c r="P23" s="12" t="s">
        <v>51</v>
      </c>
      <c r="Q23" s="9">
        <v>0</v>
      </c>
      <c r="R23" s="11">
        <v>0</v>
      </c>
      <c r="S23" s="10">
        <v>0</v>
      </c>
      <c r="T23" s="9">
        <v>2924.5</v>
      </c>
      <c r="U23" s="14">
        <v>0</v>
      </c>
      <c r="V23" s="12" t="s">
        <v>170</v>
      </c>
      <c r="W23" s="9"/>
      <c r="X23" s="9"/>
    </row>
    <row r="24" spans="1:24" x14ac:dyDescent="0.35">
      <c r="A24" s="3">
        <v>20</v>
      </c>
      <c r="B24" s="3" t="s">
        <v>91</v>
      </c>
      <c r="C24" s="8">
        <v>43824.416666666701</v>
      </c>
      <c r="D24" s="8">
        <v>43825.416666666701</v>
      </c>
      <c r="E24" s="12" t="s">
        <v>61</v>
      </c>
      <c r="F24" s="12" t="s">
        <v>67</v>
      </c>
      <c r="G24" s="9">
        <v>56</v>
      </c>
      <c r="H24" s="9">
        <v>28602.5</v>
      </c>
      <c r="I24" s="9">
        <v>0</v>
      </c>
      <c r="J24" s="9">
        <v>0</v>
      </c>
      <c r="K24" s="9">
        <v>28658.5</v>
      </c>
      <c r="L24" s="7">
        <v>43811.458333333299</v>
      </c>
      <c r="M24" s="3" t="s">
        <v>174</v>
      </c>
      <c r="N24" s="9">
        <v>28642.5</v>
      </c>
      <c r="O24" s="9">
        <v>0</v>
      </c>
      <c r="P24" s="12" t="s">
        <v>24</v>
      </c>
      <c r="Q24" s="9">
        <v>0</v>
      </c>
      <c r="R24" s="11">
        <v>0</v>
      </c>
      <c r="S24" s="10">
        <v>28642.5</v>
      </c>
      <c r="T24" s="9">
        <v>0</v>
      </c>
      <c r="U24" s="14">
        <v>1</v>
      </c>
      <c r="V24" s="12" t="s">
        <v>166</v>
      </c>
      <c r="W24" s="9"/>
      <c r="X24" s="9"/>
    </row>
    <row r="25" spans="1:24" ht="22" x14ac:dyDescent="0.35">
      <c r="A25" s="3">
        <v>21</v>
      </c>
      <c r="B25" s="3" t="s">
        <v>95</v>
      </c>
      <c r="C25" s="8">
        <v>43830.583333333299</v>
      </c>
      <c r="D25" s="8">
        <v>43831.583333333299</v>
      </c>
      <c r="E25" s="12" t="s">
        <v>61</v>
      </c>
      <c r="F25" s="12" t="s">
        <v>36</v>
      </c>
      <c r="G25" s="9">
        <v>168</v>
      </c>
      <c r="H25" s="9">
        <v>3677.5</v>
      </c>
      <c r="I25" s="9">
        <v>0</v>
      </c>
      <c r="J25" s="9">
        <v>0</v>
      </c>
      <c r="K25" s="9">
        <v>3845.5</v>
      </c>
      <c r="L25" s="3"/>
      <c r="M25" s="3" t="s">
        <v>24</v>
      </c>
      <c r="N25" s="9">
        <v>0</v>
      </c>
      <c r="O25" s="9">
        <v>3845.5</v>
      </c>
      <c r="P25" s="12" t="s">
        <v>61</v>
      </c>
      <c r="Q25" s="9">
        <v>0</v>
      </c>
      <c r="R25" s="11">
        <v>0</v>
      </c>
      <c r="S25" s="10">
        <v>0</v>
      </c>
      <c r="T25" s="9">
        <v>3845.5</v>
      </c>
      <c r="U25" s="14">
        <v>0</v>
      </c>
      <c r="V25" s="12" t="s">
        <v>170</v>
      </c>
      <c r="W25" s="9"/>
      <c r="X25" s="9"/>
    </row>
    <row r="26" spans="1:24" x14ac:dyDescent="0.35">
      <c r="A26" s="3">
        <v>22</v>
      </c>
      <c r="B26" s="3" t="s">
        <v>98</v>
      </c>
      <c r="C26" s="8">
        <v>43825.416666666701</v>
      </c>
      <c r="D26" s="8">
        <v>43826.416666666701</v>
      </c>
      <c r="E26" s="12" t="s">
        <v>61</v>
      </c>
      <c r="F26" s="12" t="s">
        <v>67</v>
      </c>
      <c r="G26" s="9">
        <v>56</v>
      </c>
      <c r="H26" s="9">
        <v>602.5</v>
      </c>
      <c r="I26" s="9">
        <v>0</v>
      </c>
      <c r="J26" s="9">
        <v>0</v>
      </c>
      <c r="K26" s="9">
        <v>658.5</v>
      </c>
      <c r="L26" s="7">
        <v>43812.375</v>
      </c>
      <c r="M26" s="3" t="s">
        <v>124</v>
      </c>
      <c r="N26" s="9">
        <v>650.5</v>
      </c>
      <c r="O26" s="9">
        <v>0</v>
      </c>
      <c r="P26" s="12" t="s">
        <v>24</v>
      </c>
      <c r="Q26" s="9">
        <v>0</v>
      </c>
      <c r="R26" s="11">
        <v>0</v>
      </c>
      <c r="S26" s="10">
        <v>650.5</v>
      </c>
      <c r="T26" s="9">
        <v>0</v>
      </c>
      <c r="U26" s="14">
        <v>1</v>
      </c>
      <c r="V26" s="12" t="s">
        <v>166</v>
      </c>
      <c r="W26" s="9"/>
      <c r="X26" s="9"/>
    </row>
    <row r="27" spans="1:24" x14ac:dyDescent="0.35">
      <c r="A27" s="3">
        <v>23</v>
      </c>
      <c r="B27" s="3" t="s">
        <v>101</v>
      </c>
      <c r="C27" s="8">
        <v>43832.583333333299</v>
      </c>
      <c r="D27" s="8">
        <v>43833.583333333299</v>
      </c>
      <c r="E27" s="12" t="s">
        <v>61</v>
      </c>
      <c r="F27" s="12" t="s">
        <v>52</v>
      </c>
      <c r="G27" s="9">
        <v>224</v>
      </c>
      <c r="H27" s="9">
        <v>43602.5</v>
      </c>
      <c r="I27" s="9">
        <v>0</v>
      </c>
      <c r="J27" s="9">
        <v>0</v>
      </c>
      <c r="K27" s="9">
        <v>43826.5</v>
      </c>
      <c r="L27" s="3"/>
      <c r="M27" s="3" t="s">
        <v>24</v>
      </c>
      <c r="N27" s="9">
        <v>0</v>
      </c>
      <c r="O27" s="9">
        <v>43826.5</v>
      </c>
      <c r="P27" s="12" t="s">
        <v>61</v>
      </c>
      <c r="Q27" s="9">
        <v>0</v>
      </c>
      <c r="R27" s="11">
        <v>0</v>
      </c>
      <c r="S27" s="10">
        <v>0</v>
      </c>
      <c r="T27" s="9">
        <v>43826.5</v>
      </c>
      <c r="U27" s="14">
        <v>0</v>
      </c>
      <c r="V27" s="12" t="s">
        <v>170</v>
      </c>
      <c r="W27" s="9"/>
      <c r="X27" s="9"/>
    </row>
    <row r="28" spans="1:24" x14ac:dyDescent="0.35">
      <c r="A28" s="3">
        <v>24</v>
      </c>
      <c r="B28" s="3" t="s">
        <v>103</v>
      </c>
      <c r="C28" s="8">
        <v>43826.416666666701</v>
      </c>
      <c r="D28" s="8">
        <v>43827.416666666701</v>
      </c>
      <c r="E28" s="12" t="s">
        <v>61</v>
      </c>
      <c r="F28" s="12" t="s">
        <v>67</v>
      </c>
      <c r="G28" s="9">
        <v>56</v>
      </c>
      <c r="H28" s="9">
        <v>1577.5</v>
      </c>
      <c r="I28" s="9">
        <v>0</v>
      </c>
      <c r="J28" s="9">
        <v>0</v>
      </c>
      <c r="K28" s="9">
        <v>1633.5</v>
      </c>
      <c r="L28" s="7">
        <v>43812.666666666701</v>
      </c>
      <c r="M28" s="3" t="s">
        <v>61</v>
      </c>
      <c r="N28" s="9">
        <v>1633.5</v>
      </c>
      <c r="O28" s="9">
        <v>0</v>
      </c>
      <c r="P28" s="12" t="s">
        <v>24</v>
      </c>
      <c r="Q28" s="9">
        <v>0</v>
      </c>
      <c r="R28" s="11">
        <v>0</v>
      </c>
      <c r="S28" s="10">
        <v>1633.5</v>
      </c>
      <c r="T28" s="9">
        <v>0</v>
      </c>
      <c r="U28" s="14">
        <v>1</v>
      </c>
      <c r="V28" s="12" t="s">
        <v>166</v>
      </c>
      <c r="W28" s="9"/>
      <c r="X28" s="9"/>
    </row>
    <row r="29" spans="1:24" x14ac:dyDescent="0.35">
      <c r="A29" s="3">
        <v>25</v>
      </c>
      <c r="B29" s="3" t="s">
        <v>106</v>
      </c>
      <c r="C29" s="8">
        <v>43813.416666666701</v>
      </c>
      <c r="D29" s="8">
        <v>43815.416666666701</v>
      </c>
      <c r="E29" s="12" t="s">
        <v>61</v>
      </c>
      <c r="F29" s="12" t="s">
        <v>67</v>
      </c>
      <c r="G29" s="9">
        <v>56</v>
      </c>
      <c r="H29" s="9">
        <v>2524.5</v>
      </c>
      <c r="I29" s="9">
        <v>0</v>
      </c>
      <c r="J29" s="9">
        <v>0</v>
      </c>
      <c r="K29" s="9">
        <v>2580.5</v>
      </c>
      <c r="L29" s="7">
        <v>43812.541666666701</v>
      </c>
      <c r="M29" s="3" t="s">
        <v>61</v>
      </c>
      <c r="N29" s="9">
        <v>2580.5</v>
      </c>
      <c r="O29" s="9">
        <v>0</v>
      </c>
      <c r="P29" s="12" t="s">
        <v>24</v>
      </c>
      <c r="Q29" s="9">
        <v>0</v>
      </c>
      <c r="R29" s="11">
        <v>0</v>
      </c>
      <c r="S29" s="10">
        <v>2580.5</v>
      </c>
      <c r="T29" s="9">
        <v>0</v>
      </c>
      <c r="U29" s="14">
        <v>1</v>
      </c>
      <c r="V29" s="12" t="s">
        <v>166</v>
      </c>
      <c r="W29" s="9"/>
      <c r="X29" s="9"/>
    </row>
    <row r="30" spans="1:24" x14ac:dyDescent="0.35">
      <c r="A30" s="3">
        <v>26</v>
      </c>
      <c r="B30" s="3" t="s">
        <v>108</v>
      </c>
      <c r="C30" s="8">
        <v>43829.583333333299</v>
      </c>
      <c r="D30" s="8">
        <v>43830.583333333299</v>
      </c>
      <c r="E30" s="12" t="s">
        <v>61</v>
      </c>
      <c r="F30" s="12" t="s">
        <v>57</v>
      </c>
      <c r="G30" s="9">
        <v>112</v>
      </c>
      <c r="H30" s="9">
        <v>3442.30004882813</v>
      </c>
      <c r="I30" s="9">
        <v>0</v>
      </c>
      <c r="J30" s="9">
        <v>0</v>
      </c>
      <c r="K30" s="9">
        <v>3554.30004882813</v>
      </c>
      <c r="L30" s="3"/>
      <c r="M30" s="3" t="s">
        <v>24</v>
      </c>
      <c r="N30" s="9">
        <v>0</v>
      </c>
      <c r="O30" s="9">
        <v>3554.30004882813</v>
      </c>
      <c r="P30" s="12" t="s">
        <v>61</v>
      </c>
      <c r="Q30" s="9">
        <v>0</v>
      </c>
      <c r="R30" s="11">
        <v>0</v>
      </c>
      <c r="S30" s="10">
        <v>0</v>
      </c>
      <c r="T30" s="9">
        <v>3554.30004882813</v>
      </c>
      <c r="U30" s="14">
        <v>0</v>
      </c>
      <c r="V30" s="12" t="s">
        <v>170</v>
      </c>
      <c r="W30" s="9"/>
      <c r="X30" s="9"/>
    </row>
    <row r="31" spans="1:24" x14ac:dyDescent="0.35">
      <c r="A31" s="3">
        <v>27</v>
      </c>
      <c r="B31" s="3" t="s">
        <v>110</v>
      </c>
      <c r="C31" s="8">
        <v>43823.416666666701</v>
      </c>
      <c r="D31" s="8">
        <v>43824.416666666701</v>
      </c>
      <c r="E31" s="12" t="s">
        <v>61</v>
      </c>
      <c r="F31" s="12" t="s">
        <v>67</v>
      </c>
      <c r="G31" s="9">
        <v>56</v>
      </c>
      <c r="H31" s="9">
        <v>2972.5</v>
      </c>
      <c r="I31" s="9">
        <v>0</v>
      </c>
      <c r="J31" s="9">
        <v>0</v>
      </c>
      <c r="K31" s="9">
        <v>3028.5</v>
      </c>
      <c r="L31" s="7">
        <v>43810.625</v>
      </c>
      <c r="M31" s="3" t="s">
        <v>167</v>
      </c>
      <c r="N31" s="9">
        <v>3004.5</v>
      </c>
      <c r="O31" s="9">
        <v>0</v>
      </c>
      <c r="P31" s="12" t="s">
        <v>24</v>
      </c>
      <c r="Q31" s="9">
        <v>0</v>
      </c>
      <c r="R31" s="11">
        <v>0</v>
      </c>
      <c r="S31" s="10">
        <v>3004.5</v>
      </c>
      <c r="T31" s="9">
        <v>0</v>
      </c>
      <c r="U31" s="14">
        <v>1</v>
      </c>
      <c r="V31" s="12" t="s">
        <v>166</v>
      </c>
      <c r="W31" s="9"/>
      <c r="X31" s="9"/>
    </row>
    <row r="32" spans="1:24" x14ac:dyDescent="0.35">
      <c r="A32" s="3">
        <v>28</v>
      </c>
      <c r="B32" s="3" t="s">
        <v>113</v>
      </c>
      <c r="C32" s="8">
        <v>43832.583333333299</v>
      </c>
      <c r="D32" s="8">
        <v>43833.583333333299</v>
      </c>
      <c r="E32" s="12" t="s">
        <v>61</v>
      </c>
      <c r="F32" s="12" t="s">
        <v>67</v>
      </c>
      <c r="G32" s="9">
        <v>56</v>
      </c>
      <c r="H32" s="9">
        <v>1586.5</v>
      </c>
      <c r="I32" s="9">
        <v>0</v>
      </c>
      <c r="J32" s="9">
        <v>0</v>
      </c>
      <c r="K32" s="9">
        <v>1642.5</v>
      </c>
      <c r="L32" s="7">
        <v>43810.625</v>
      </c>
      <c r="M32" s="3" t="s">
        <v>185</v>
      </c>
      <c r="N32" s="9">
        <v>1666.5</v>
      </c>
      <c r="O32" s="9">
        <v>0</v>
      </c>
      <c r="P32" s="12" t="s">
        <v>24</v>
      </c>
      <c r="Q32" s="9">
        <v>0</v>
      </c>
      <c r="R32" s="11">
        <v>0</v>
      </c>
      <c r="S32" s="10">
        <v>1666.5</v>
      </c>
      <c r="T32" s="9">
        <v>0</v>
      </c>
      <c r="U32" s="14">
        <v>1</v>
      </c>
      <c r="V32" s="12" t="s">
        <v>166</v>
      </c>
      <c r="W32" s="9"/>
      <c r="X32" s="9"/>
    </row>
    <row r="33" spans="1:24" ht="22" x14ac:dyDescent="0.35">
      <c r="A33" s="3">
        <v>29</v>
      </c>
      <c r="B33" s="3" t="s">
        <v>117</v>
      </c>
      <c r="C33" s="8">
        <v>43833.583333333299</v>
      </c>
      <c r="D33" s="8">
        <v>43833.708333333299</v>
      </c>
      <c r="E33" s="12" t="s">
        <v>29</v>
      </c>
      <c r="F33" s="12" t="s">
        <v>67</v>
      </c>
      <c r="G33" s="9">
        <v>24</v>
      </c>
      <c r="H33" s="9">
        <v>602.5</v>
      </c>
      <c r="I33" s="9">
        <v>0</v>
      </c>
      <c r="J33" s="9">
        <v>0</v>
      </c>
      <c r="K33" s="9">
        <v>626.5</v>
      </c>
      <c r="L33" s="7">
        <v>43812.416666666701</v>
      </c>
      <c r="M33" s="3" t="s">
        <v>177</v>
      </c>
      <c r="N33" s="9">
        <v>618.5</v>
      </c>
      <c r="O33" s="9">
        <v>0</v>
      </c>
      <c r="P33" s="12" t="s">
        <v>24</v>
      </c>
      <c r="Q33" s="9">
        <v>0</v>
      </c>
      <c r="R33" s="11">
        <v>0</v>
      </c>
      <c r="S33" s="10">
        <v>618.5</v>
      </c>
      <c r="T33" s="9">
        <v>0</v>
      </c>
      <c r="U33" s="14">
        <v>1</v>
      </c>
      <c r="V33" s="12" t="s">
        <v>166</v>
      </c>
      <c r="W33" s="9"/>
      <c r="X33" s="9"/>
    </row>
    <row r="34" spans="1:24" x14ac:dyDescent="0.35">
      <c r="A34" s="3">
        <v>30</v>
      </c>
      <c r="B34" s="3" t="s">
        <v>120</v>
      </c>
      <c r="C34" s="8">
        <v>43838.583333333299</v>
      </c>
      <c r="D34" s="8">
        <v>43839.5</v>
      </c>
      <c r="E34" s="12" t="s">
        <v>124</v>
      </c>
      <c r="F34" s="12" t="s">
        <v>67</v>
      </c>
      <c r="G34" s="9">
        <v>48</v>
      </c>
      <c r="H34" s="9">
        <v>602.5</v>
      </c>
      <c r="I34" s="9">
        <v>0</v>
      </c>
      <c r="J34" s="9">
        <v>0</v>
      </c>
      <c r="K34" s="9">
        <v>650.5</v>
      </c>
      <c r="L34" s="3"/>
      <c r="M34" s="3" t="s">
        <v>24</v>
      </c>
      <c r="N34" s="9">
        <v>0</v>
      </c>
      <c r="O34" s="9">
        <v>650.5</v>
      </c>
      <c r="P34" s="12" t="s">
        <v>124</v>
      </c>
      <c r="Q34" s="9">
        <v>0</v>
      </c>
      <c r="R34" s="11">
        <v>0</v>
      </c>
      <c r="S34" s="10">
        <v>0</v>
      </c>
      <c r="T34" s="9">
        <v>650.5</v>
      </c>
      <c r="U34" s="14">
        <v>0</v>
      </c>
      <c r="V34" s="12" t="s">
        <v>170</v>
      </c>
      <c r="W34" s="9"/>
      <c r="X34" s="9"/>
    </row>
    <row r="35" spans="1:24" x14ac:dyDescent="0.35">
      <c r="A35" s="3">
        <v>31</v>
      </c>
      <c r="B35" s="3" t="s">
        <v>125</v>
      </c>
      <c r="C35" s="8">
        <v>43839.5</v>
      </c>
      <c r="D35" s="8">
        <v>43839.5</v>
      </c>
      <c r="E35" s="12" t="s">
        <v>24</v>
      </c>
      <c r="F35" s="12"/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3"/>
      <c r="M35" s="3" t="s">
        <v>24</v>
      </c>
      <c r="N35" s="9">
        <v>0</v>
      </c>
      <c r="O35" s="9">
        <v>0</v>
      </c>
      <c r="P35" s="12" t="s">
        <v>24</v>
      </c>
      <c r="Q35" s="9">
        <v>0</v>
      </c>
      <c r="R35" s="11">
        <v>0</v>
      </c>
      <c r="S35" s="10">
        <v>0</v>
      </c>
      <c r="T35" s="9">
        <v>0</v>
      </c>
      <c r="U35" s="14">
        <v>0</v>
      </c>
      <c r="V35" s="12" t="s">
        <v>170</v>
      </c>
      <c r="W35" s="9"/>
      <c r="X35" s="9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Blad19"/>
  <dimension ref="A1:X35"/>
  <sheetViews>
    <sheetView topLeftCell="C1" workbookViewId="0">
      <selection activeCell="W5" sqref="W5:X35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150</v>
      </c>
      <c r="C1" s="7">
        <v>43824.708333333299</v>
      </c>
      <c r="E1" s="1" t="s">
        <v>151</v>
      </c>
      <c r="F1" s="4" t="s">
        <v>222</v>
      </c>
    </row>
    <row r="3" spans="1:24" x14ac:dyDescent="0.35">
      <c r="A3" s="24" t="s">
        <v>0</v>
      </c>
      <c r="B3" s="24"/>
      <c r="C3" s="24" t="s">
        <v>2</v>
      </c>
      <c r="D3" s="24"/>
      <c r="E3" s="24"/>
      <c r="F3" s="24" t="s">
        <v>3</v>
      </c>
      <c r="G3" s="24"/>
      <c r="H3" s="24" t="s">
        <v>4</v>
      </c>
      <c r="I3" s="24"/>
      <c r="J3" s="24"/>
      <c r="K3" s="24"/>
      <c r="L3" s="24" t="s">
        <v>152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153</v>
      </c>
      <c r="M4" s="1" t="s">
        <v>154</v>
      </c>
      <c r="N4" s="1" t="s">
        <v>155</v>
      </c>
      <c r="O4" s="1" t="s">
        <v>156</v>
      </c>
      <c r="P4" s="1" t="s">
        <v>157</v>
      </c>
      <c r="Q4" s="1" t="s">
        <v>158</v>
      </c>
      <c r="R4" s="1" t="s">
        <v>159</v>
      </c>
      <c r="S4" s="1" t="s">
        <v>160</v>
      </c>
      <c r="T4" s="1" t="s">
        <v>161</v>
      </c>
      <c r="U4" s="1" t="s">
        <v>162</v>
      </c>
      <c r="V4" s="1" t="s">
        <v>152</v>
      </c>
      <c r="W4" s="1" t="s">
        <v>163</v>
      </c>
      <c r="X4" s="1" t="s">
        <v>164</v>
      </c>
    </row>
    <row r="5" spans="1:24" x14ac:dyDescent="0.35">
      <c r="A5" s="2">
        <v>0</v>
      </c>
      <c r="B5" s="3" t="s">
        <v>18</v>
      </c>
      <c r="C5" s="5">
        <v>43808.375</v>
      </c>
      <c r="D5" s="5">
        <v>43839.5</v>
      </c>
      <c r="E5" s="2" t="s">
        <v>20</v>
      </c>
      <c r="F5" s="2"/>
      <c r="G5" s="6"/>
      <c r="H5" s="6">
        <v>118411.30004882799</v>
      </c>
      <c r="I5" s="6"/>
      <c r="J5" s="6"/>
      <c r="K5" s="6">
        <v>126955.30004882799</v>
      </c>
      <c r="L5" s="2"/>
      <c r="M5" s="2" t="s">
        <v>223</v>
      </c>
      <c r="N5" s="6"/>
      <c r="O5" s="6"/>
      <c r="P5" s="2"/>
      <c r="Q5" s="6"/>
      <c r="R5" s="6"/>
      <c r="S5" s="6">
        <v>68662.5</v>
      </c>
      <c r="T5" s="6"/>
      <c r="U5" s="13">
        <v>0.54476960680516595</v>
      </c>
      <c r="V5" s="2"/>
      <c r="W5" s="6"/>
      <c r="X5" s="6"/>
    </row>
    <row r="6" spans="1:24" x14ac:dyDescent="0.35">
      <c r="A6" s="3">
        <v>1</v>
      </c>
      <c r="B6" s="3" t="s">
        <v>21</v>
      </c>
      <c r="C6" s="8">
        <v>43808.375</v>
      </c>
      <c r="D6" s="8">
        <v>43806.708333333299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43808.375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166</v>
      </c>
      <c r="W6" s="9"/>
      <c r="X6" s="9"/>
    </row>
    <row r="7" spans="1:24" ht="22" x14ac:dyDescent="0.35">
      <c r="A7" s="3">
        <v>2</v>
      </c>
      <c r="B7" s="3" t="s">
        <v>25</v>
      </c>
      <c r="C7" s="8">
        <v>43808.375</v>
      </c>
      <c r="D7" s="8">
        <v>43808.5</v>
      </c>
      <c r="E7" s="12" t="s">
        <v>29</v>
      </c>
      <c r="F7" s="12" t="s">
        <v>30</v>
      </c>
      <c r="G7" s="9">
        <v>36</v>
      </c>
      <c r="H7" s="9">
        <v>931.5</v>
      </c>
      <c r="I7" s="9">
        <v>0</v>
      </c>
      <c r="J7" s="9">
        <v>0</v>
      </c>
      <c r="K7" s="9">
        <v>967.5</v>
      </c>
      <c r="L7" s="7">
        <v>43808.375</v>
      </c>
      <c r="M7" s="3" t="s">
        <v>29</v>
      </c>
      <c r="N7" s="9">
        <v>967.5</v>
      </c>
      <c r="O7" s="9">
        <v>0</v>
      </c>
      <c r="P7" s="12" t="s">
        <v>24</v>
      </c>
      <c r="Q7" s="9">
        <v>0</v>
      </c>
      <c r="R7" s="11">
        <v>0</v>
      </c>
      <c r="S7" s="10">
        <v>967.5</v>
      </c>
      <c r="T7" s="9">
        <v>0</v>
      </c>
      <c r="U7" s="14">
        <v>1</v>
      </c>
      <c r="V7" s="12" t="s">
        <v>166</v>
      </c>
      <c r="W7" s="9"/>
      <c r="X7" s="9"/>
    </row>
    <row r="8" spans="1:24" x14ac:dyDescent="0.35">
      <c r="A8" s="3">
        <v>3</v>
      </c>
      <c r="B8" s="3" t="s">
        <v>31</v>
      </c>
      <c r="C8" s="8">
        <v>43808.541666666701</v>
      </c>
      <c r="D8" s="8">
        <v>43813.5</v>
      </c>
      <c r="E8" s="12" t="s">
        <v>35</v>
      </c>
      <c r="F8" s="12" t="s">
        <v>36</v>
      </c>
      <c r="G8" s="9">
        <v>840</v>
      </c>
      <c r="H8" s="9">
        <v>950.5</v>
      </c>
      <c r="I8" s="9">
        <v>0</v>
      </c>
      <c r="J8" s="9">
        <v>0</v>
      </c>
      <c r="K8" s="9">
        <v>1790.5</v>
      </c>
      <c r="L8" s="7">
        <v>43808.541666666701</v>
      </c>
      <c r="M8" s="3" t="s">
        <v>181</v>
      </c>
      <c r="N8" s="9">
        <v>1550.5</v>
      </c>
      <c r="O8" s="9">
        <v>0</v>
      </c>
      <c r="P8" s="12" t="s">
        <v>24</v>
      </c>
      <c r="Q8" s="9">
        <v>0</v>
      </c>
      <c r="R8" s="11">
        <v>0</v>
      </c>
      <c r="S8" s="10">
        <v>1550.5</v>
      </c>
      <c r="T8" s="9">
        <v>0</v>
      </c>
      <c r="U8" s="14">
        <v>1</v>
      </c>
      <c r="V8" s="12" t="s">
        <v>166</v>
      </c>
      <c r="W8" s="9"/>
      <c r="X8" s="9"/>
    </row>
    <row r="9" spans="1:24" x14ac:dyDescent="0.35">
      <c r="A9" s="3">
        <v>4</v>
      </c>
      <c r="B9" s="3" t="s">
        <v>37</v>
      </c>
      <c r="C9" s="8">
        <v>43813.541666666701</v>
      </c>
      <c r="D9" s="8">
        <v>43816.625</v>
      </c>
      <c r="E9" s="12" t="s">
        <v>41</v>
      </c>
      <c r="F9" s="12" t="s">
        <v>42</v>
      </c>
      <c r="G9" s="9">
        <v>640</v>
      </c>
      <c r="H9" s="9">
        <v>8819</v>
      </c>
      <c r="I9" s="9">
        <v>0</v>
      </c>
      <c r="J9" s="9">
        <v>0</v>
      </c>
      <c r="K9" s="9">
        <v>9459</v>
      </c>
      <c r="L9" s="7">
        <v>43812.375</v>
      </c>
      <c r="M9" s="3" t="s">
        <v>185</v>
      </c>
      <c r="N9" s="9">
        <v>9219</v>
      </c>
      <c r="O9" s="9">
        <v>0</v>
      </c>
      <c r="P9" s="12" t="s">
        <v>24</v>
      </c>
      <c r="Q9" s="9">
        <v>0</v>
      </c>
      <c r="R9" s="11">
        <v>0</v>
      </c>
      <c r="S9" s="10">
        <v>9219</v>
      </c>
      <c r="T9" s="9">
        <v>0</v>
      </c>
      <c r="U9" s="14">
        <v>1</v>
      </c>
      <c r="V9" s="12" t="s">
        <v>166</v>
      </c>
      <c r="W9" s="9"/>
      <c r="X9" s="9"/>
    </row>
    <row r="10" spans="1:24" ht="22" x14ac:dyDescent="0.35">
      <c r="A10" s="3">
        <v>5</v>
      </c>
      <c r="B10" s="3" t="s">
        <v>43</v>
      </c>
      <c r="C10" s="8">
        <v>43816.625</v>
      </c>
      <c r="D10" s="8">
        <v>43827.708333333299</v>
      </c>
      <c r="E10" s="12" t="s">
        <v>47</v>
      </c>
      <c r="F10" s="12" t="s">
        <v>42</v>
      </c>
      <c r="G10" s="9">
        <v>2880</v>
      </c>
      <c r="H10" s="9">
        <v>3166.5</v>
      </c>
      <c r="I10" s="9">
        <v>0</v>
      </c>
      <c r="J10" s="9">
        <v>0</v>
      </c>
      <c r="K10" s="9">
        <v>6046.5</v>
      </c>
      <c r="L10" s="7">
        <v>43813.541666666701</v>
      </c>
      <c r="M10" s="3" t="s">
        <v>224</v>
      </c>
      <c r="N10" s="9">
        <v>5806.5</v>
      </c>
      <c r="O10" s="9">
        <v>0</v>
      </c>
      <c r="P10" s="12" t="s">
        <v>24</v>
      </c>
      <c r="Q10" s="9">
        <v>0</v>
      </c>
      <c r="R10" s="11">
        <v>0</v>
      </c>
      <c r="S10" s="10">
        <v>5806.5</v>
      </c>
      <c r="T10" s="9">
        <v>0</v>
      </c>
      <c r="U10" s="14">
        <v>1</v>
      </c>
      <c r="V10" s="12" t="s">
        <v>166</v>
      </c>
      <c r="W10" s="9"/>
      <c r="X10" s="9"/>
    </row>
    <row r="11" spans="1:24" x14ac:dyDescent="0.35">
      <c r="A11" s="3">
        <v>6</v>
      </c>
      <c r="B11" s="3" t="s">
        <v>48</v>
      </c>
      <c r="C11" s="8">
        <v>43830.583333333299</v>
      </c>
      <c r="D11" s="8">
        <v>43832.583333333299</v>
      </c>
      <c r="E11" s="12" t="s">
        <v>51</v>
      </c>
      <c r="F11" s="12" t="s">
        <v>52</v>
      </c>
      <c r="G11" s="9">
        <v>448</v>
      </c>
      <c r="H11" s="9">
        <v>1802.5</v>
      </c>
      <c r="I11" s="9">
        <v>0</v>
      </c>
      <c r="J11" s="9">
        <v>0</v>
      </c>
      <c r="K11" s="9">
        <v>2250.5</v>
      </c>
      <c r="L11" s="7">
        <v>43808.541666666701</v>
      </c>
      <c r="M11" s="3" t="s">
        <v>41</v>
      </c>
      <c r="N11" s="9">
        <v>2314.5</v>
      </c>
      <c r="O11" s="9">
        <v>0</v>
      </c>
      <c r="P11" s="12" t="s">
        <v>24</v>
      </c>
      <c r="Q11" s="9">
        <v>0</v>
      </c>
      <c r="R11" s="11">
        <v>0</v>
      </c>
      <c r="S11" s="10">
        <v>2314.5</v>
      </c>
      <c r="T11" s="9">
        <v>0</v>
      </c>
      <c r="U11" s="14">
        <v>1</v>
      </c>
      <c r="V11" s="12" t="s">
        <v>166</v>
      </c>
      <c r="W11" s="9"/>
      <c r="X11" s="9"/>
    </row>
    <row r="12" spans="1:24" x14ac:dyDescent="0.35">
      <c r="A12" s="3">
        <v>7</v>
      </c>
      <c r="B12" s="3" t="s">
        <v>53</v>
      </c>
      <c r="C12" s="8">
        <v>43815.416666666701</v>
      </c>
      <c r="D12" s="8">
        <v>43822.416666666701</v>
      </c>
      <c r="E12" s="12" t="s">
        <v>56</v>
      </c>
      <c r="F12" s="12" t="s">
        <v>57</v>
      </c>
      <c r="G12" s="9">
        <v>672</v>
      </c>
      <c r="H12" s="9">
        <v>1970.5</v>
      </c>
      <c r="I12" s="9">
        <v>0</v>
      </c>
      <c r="J12" s="9">
        <v>0</v>
      </c>
      <c r="K12" s="9">
        <v>2642.5</v>
      </c>
      <c r="L12" s="7">
        <v>43815.541666666701</v>
      </c>
      <c r="M12" s="3" t="s">
        <v>193</v>
      </c>
      <c r="N12" s="9">
        <v>2866.5</v>
      </c>
      <c r="O12" s="9">
        <v>0</v>
      </c>
      <c r="P12" s="12" t="s">
        <v>24</v>
      </c>
      <c r="Q12" s="9">
        <v>0</v>
      </c>
      <c r="R12" s="11">
        <v>0</v>
      </c>
      <c r="S12" s="10">
        <v>2866.5</v>
      </c>
      <c r="T12" s="9">
        <v>0</v>
      </c>
      <c r="U12" s="14">
        <v>1</v>
      </c>
      <c r="V12" s="12" t="s">
        <v>166</v>
      </c>
      <c r="W12" s="9"/>
      <c r="X12" s="9"/>
    </row>
    <row r="13" spans="1:24" ht="22" x14ac:dyDescent="0.35">
      <c r="A13" s="3">
        <v>8</v>
      </c>
      <c r="B13" s="3" t="s">
        <v>58</v>
      </c>
      <c r="C13" s="8">
        <v>43831.583333333299</v>
      </c>
      <c r="D13" s="8">
        <v>43832.583333333299</v>
      </c>
      <c r="E13" s="12" t="s">
        <v>61</v>
      </c>
      <c r="F13" s="12" t="s">
        <v>57</v>
      </c>
      <c r="G13" s="9">
        <v>112</v>
      </c>
      <c r="H13" s="9">
        <v>602.5</v>
      </c>
      <c r="I13" s="9">
        <v>0</v>
      </c>
      <c r="J13" s="9">
        <v>0</v>
      </c>
      <c r="K13" s="9">
        <v>714.5</v>
      </c>
      <c r="L13" s="7">
        <v>43824.666666666701</v>
      </c>
      <c r="M13" s="3" t="s">
        <v>183</v>
      </c>
      <c r="N13" s="9">
        <v>618.5</v>
      </c>
      <c r="O13" s="9">
        <v>112</v>
      </c>
      <c r="P13" s="12" t="s">
        <v>61</v>
      </c>
      <c r="Q13" s="9">
        <v>0</v>
      </c>
      <c r="R13" s="11">
        <v>0</v>
      </c>
      <c r="S13" s="10">
        <v>618.5</v>
      </c>
      <c r="T13" s="9">
        <v>112</v>
      </c>
      <c r="U13" s="14">
        <v>0.125</v>
      </c>
      <c r="V13" s="12" t="s">
        <v>169</v>
      </c>
      <c r="W13" s="9"/>
      <c r="X13" s="9"/>
    </row>
    <row r="14" spans="1:24" x14ac:dyDescent="0.35">
      <c r="A14" s="3">
        <v>9</v>
      </c>
      <c r="B14" s="3" t="s">
        <v>62</v>
      </c>
      <c r="C14" s="8">
        <v>43829.583333333299</v>
      </c>
      <c r="D14" s="8">
        <v>43830.583333333299</v>
      </c>
      <c r="E14" s="12" t="s">
        <v>61</v>
      </c>
      <c r="F14" s="12" t="s">
        <v>57</v>
      </c>
      <c r="G14" s="9">
        <v>112</v>
      </c>
      <c r="H14" s="9">
        <v>602.5</v>
      </c>
      <c r="I14" s="9">
        <v>0</v>
      </c>
      <c r="J14" s="9">
        <v>0</v>
      </c>
      <c r="K14" s="9">
        <v>714.5</v>
      </c>
      <c r="L14" s="3"/>
      <c r="M14" s="3" t="s">
        <v>24</v>
      </c>
      <c r="N14" s="9">
        <v>0</v>
      </c>
      <c r="O14" s="9">
        <v>714.5</v>
      </c>
      <c r="P14" s="12" t="s">
        <v>61</v>
      </c>
      <c r="Q14" s="9">
        <v>0</v>
      </c>
      <c r="R14" s="11">
        <v>0</v>
      </c>
      <c r="S14" s="10">
        <v>0</v>
      </c>
      <c r="T14" s="9">
        <v>714.5</v>
      </c>
      <c r="U14" s="14">
        <v>0</v>
      </c>
      <c r="V14" s="12" t="s">
        <v>170</v>
      </c>
      <c r="W14" s="9"/>
      <c r="X14" s="9"/>
    </row>
    <row r="15" spans="1:24" ht="22" x14ac:dyDescent="0.35">
      <c r="A15" s="3">
        <v>10</v>
      </c>
      <c r="B15" s="3" t="s">
        <v>64</v>
      </c>
      <c r="C15" s="8">
        <v>43829.375</v>
      </c>
      <c r="D15" s="8">
        <v>43829.708333333299</v>
      </c>
      <c r="E15" s="12" t="s">
        <v>61</v>
      </c>
      <c r="F15" s="12" t="s">
        <v>67</v>
      </c>
      <c r="G15" s="9">
        <v>56</v>
      </c>
      <c r="H15" s="9">
        <v>602.5</v>
      </c>
      <c r="I15" s="9">
        <v>0</v>
      </c>
      <c r="J15" s="9">
        <v>0</v>
      </c>
      <c r="K15" s="9">
        <v>658.5</v>
      </c>
      <c r="L15" s="7">
        <v>43824.666666666701</v>
      </c>
      <c r="M15" s="3" t="s">
        <v>183</v>
      </c>
      <c r="N15" s="9">
        <v>610.5</v>
      </c>
      <c r="O15" s="9">
        <v>48</v>
      </c>
      <c r="P15" s="12" t="s">
        <v>124</v>
      </c>
      <c r="Q15" s="9">
        <v>0</v>
      </c>
      <c r="R15" s="11">
        <v>0</v>
      </c>
      <c r="S15" s="10">
        <v>610.5</v>
      </c>
      <c r="T15" s="9">
        <v>48</v>
      </c>
      <c r="U15" s="14">
        <v>0.14285714924335499</v>
      </c>
      <c r="V15" s="12" t="s">
        <v>169</v>
      </c>
      <c r="W15" s="9"/>
      <c r="X15" s="9"/>
    </row>
    <row r="16" spans="1:24" x14ac:dyDescent="0.35">
      <c r="A16" s="3">
        <v>11</v>
      </c>
      <c r="B16" s="3" t="s">
        <v>68</v>
      </c>
      <c r="C16" s="8">
        <v>43813.416666666701</v>
      </c>
      <c r="D16" s="8">
        <v>43815.416666666701</v>
      </c>
      <c r="E16" s="12" t="s">
        <v>61</v>
      </c>
      <c r="F16" s="12" t="s">
        <v>67</v>
      </c>
      <c r="G16" s="9">
        <v>56</v>
      </c>
      <c r="H16" s="9">
        <v>602.5</v>
      </c>
      <c r="I16" s="9">
        <v>0</v>
      </c>
      <c r="J16" s="9">
        <v>0</v>
      </c>
      <c r="K16" s="9">
        <v>658.5</v>
      </c>
      <c r="L16" s="3"/>
      <c r="M16" s="3" t="s">
        <v>24</v>
      </c>
      <c r="N16" s="9">
        <v>0</v>
      </c>
      <c r="O16" s="9">
        <v>658.5</v>
      </c>
      <c r="P16" s="12" t="s">
        <v>61</v>
      </c>
      <c r="Q16" s="9">
        <v>0</v>
      </c>
      <c r="R16" s="11">
        <v>0</v>
      </c>
      <c r="S16" s="10">
        <v>0</v>
      </c>
      <c r="T16" s="9">
        <v>658.5</v>
      </c>
      <c r="U16" s="14">
        <v>0</v>
      </c>
      <c r="V16" s="12" t="s">
        <v>170</v>
      </c>
      <c r="W16" s="9"/>
      <c r="X16" s="9"/>
    </row>
    <row r="17" spans="1:24" ht="22" x14ac:dyDescent="0.35">
      <c r="A17" s="3">
        <v>13</v>
      </c>
      <c r="B17" s="3" t="s">
        <v>70</v>
      </c>
      <c r="C17" s="8">
        <v>43823.416666666701</v>
      </c>
      <c r="D17" s="8">
        <v>43823.583333333299</v>
      </c>
      <c r="E17" s="12" t="s">
        <v>29</v>
      </c>
      <c r="F17" s="12" t="s">
        <v>67</v>
      </c>
      <c r="G17" s="9">
        <v>24</v>
      </c>
      <c r="H17" s="9">
        <v>602.5</v>
      </c>
      <c r="I17" s="9">
        <v>0</v>
      </c>
      <c r="J17" s="9">
        <v>0</v>
      </c>
      <c r="K17" s="9">
        <v>626.5</v>
      </c>
      <c r="L17" s="7">
        <v>43811.458333333299</v>
      </c>
      <c r="M17" s="3" t="s">
        <v>29</v>
      </c>
      <c r="N17" s="9">
        <v>626.5</v>
      </c>
      <c r="O17" s="9">
        <v>0</v>
      </c>
      <c r="P17" s="12" t="s">
        <v>24</v>
      </c>
      <c r="Q17" s="9">
        <v>0</v>
      </c>
      <c r="R17" s="11">
        <v>0</v>
      </c>
      <c r="S17" s="10">
        <v>626.5</v>
      </c>
      <c r="T17" s="9">
        <v>0</v>
      </c>
      <c r="U17" s="14">
        <v>1</v>
      </c>
      <c r="V17" s="12" t="s">
        <v>166</v>
      </c>
      <c r="W17" s="9"/>
      <c r="X17" s="9"/>
    </row>
    <row r="18" spans="1:24" x14ac:dyDescent="0.35">
      <c r="A18" s="3">
        <v>14</v>
      </c>
      <c r="B18" s="3" t="s">
        <v>74</v>
      </c>
      <c r="C18" s="8">
        <v>43836.583333333299</v>
      </c>
      <c r="D18" s="8">
        <v>43838.583333333299</v>
      </c>
      <c r="E18" s="12" t="s">
        <v>51</v>
      </c>
      <c r="F18" s="12" t="s">
        <v>77</v>
      </c>
      <c r="G18" s="9">
        <v>672</v>
      </c>
      <c r="H18" s="9">
        <v>602.5</v>
      </c>
      <c r="I18" s="9">
        <v>0</v>
      </c>
      <c r="J18" s="9">
        <v>0</v>
      </c>
      <c r="K18" s="9">
        <v>1274.5</v>
      </c>
      <c r="L18" s="3"/>
      <c r="M18" s="3" t="s">
        <v>24</v>
      </c>
      <c r="N18" s="9">
        <v>0</v>
      </c>
      <c r="O18" s="9">
        <v>1274.5</v>
      </c>
      <c r="P18" s="12" t="s">
        <v>51</v>
      </c>
      <c r="Q18" s="9">
        <v>0</v>
      </c>
      <c r="R18" s="11">
        <v>0</v>
      </c>
      <c r="S18" s="10">
        <v>0</v>
      </c>
      <c r="T18" s="9">
        <v>1274.5</v>
      </c>
      <c r="U18" s="14">
        <v>0</v>
      </c>
      <c r="V18" s="12" t="s">
        <v>170</v>
      </c>
      <c r="W18" s="9"/>
      <c r="X18" s="9"/>
    </row>
    <row r="19" spans="1:24" x14ac:dyDescent="0.35">
      <c r="A19" s="3">
        <v>15</v>
      </c>
      <c r="B19" s="3" t="s">
        <v>78</v>
      </c>
      <c r="C19" s="8">
        <v>43829.583333333299</v>
      </c>
      <c r="D19" s="8">
        <v>43830.583333333299</v>
      </c>
      <c r="E19" s="12" t="s">
        <v>61</v>
      </c>
      <c r="F19" s="12" t="s">
        <v>57</v>
      </c>
      <c r="G19" s="9">
        <v>112</v>
      </c>
      <c r="H19" s="9">
        <v>602.5</v>
      </c>
      <c r="I19" s="9">
        <v>0</v>
      </c>
      <c r="J19" s="9">
        <v>0</v>
      </c>
      <c r="K19" s="9">
        <v>714.5</v>
      </c>
      <c r="L19" s="7">
        <v>43824.666666666701</v>
      </c>
      <c r="M19" s="3" t="s">
        <v>183</v>
      </c>
      <c r="N19" s="9">
        <v>618.5</v>
      </c>
      <c r="O19" s="9">
        <v>128</v>
      </c>
      <c r="P19" s="12" t="s">
        <v>178</v>
      </c>
      <c r="Q19" s="9">
        <v>0</v>
      </c>
      <c r="R19" s="11">
        <v>0</v>
      </c>
      <c r="S19" s="10">
        <v>618.5</v>
      </c>
      <c r="T19" s="9">
        <v>128</v>
      </c>
      <c r="U19" s="14">
        <v>0.111111111938953</v>
      </c>
      <c r="V19" s="12" t="s">
        <v>169</v>
      </c>
      <c r="W19" s="9"/>
      <c r="X19" s="9"/>
    </row>
    <row r="20" spans="1:24" x14ac:dyDescent="0.35">
      <c r="A20" s="3">
        <v>16</v>
      </c>
      <c r="B20" s="3" t="s">
        <v>80</v>
      </c>
      <c r="C20" s="8">
        <v>43827.416666666701</v>
      </c>
      <c r="D20" s="8">
        <v>43827.583333333299</v>
      </c>
      <c r="E20" s="12" t="s">
        <v>29</v>
      </c>
      <c r="F20" s="12" t="s">
        <v>57</v>
      </c>
      <c r="G20" s="9">
        <v>48</v>
      </c>
      <c r="H20" s="9">
        <v>602.5</v>
      </c>
      <c r="I20" s="9">
        <v>0</v>
      </c>
      <c r="J20" s="9">
        <v>0</v>
      </c>
      <c r="K20" s="9">
        <v>650.5</v>
      </c>
      <c r="L20" s="7">
        <v>43813.666666666701</v>
      </c>
      <c r="M20" s="3" t="s">
        <v>167</v>
      </c>
      <c r="N20" s="9">
        <v>666.5</v>
      </c>
      <c r="O20" s="9">
        <v>0</v>
      </c>
      <c r="P20" s="12" t="s">
        <v>24</v>
      </c>
      <c r="Q20" s="9">
        <v>0</v>
      </c>
      <c r="R20" s="11">
        <v>0</v>
      </c>
      <c r="S20" s="10">
        <v>666.5</v>
      </c>
      <c r="T20" s="9">
        <v>0</v>
      </c>
      <c r="U20" s="14">
        <v>1</v>
      </c>
      <c r="V20" s="12" t="s">
        <v>166</v>
      </c>
      <c r="W20" s="9"/>
      <c r="X20" s="9"/>
    </row>
    <row r="21" spans="1:24" x14ac:dyDescent="0.35">
      <c r="A21" s="3">
        <v>17</v>
      </c>
      <c r="B21" s="3" t="s">
        <v>82</v>
      </c>
      <c r="C21" s="8">
        <v>43822.416666666701</v>
      </c>
      <c r="D21" s="8">
        <v>43823.416666666701</v>
      </c>
      <c r="E21" s="12" t="s">
        <v>61</v>
      </c>
      <c r="F21" s="12" t="s">
        <v>85</v>
      </c>
      <c r="G21" s="9">
        <v>140</v>
      </c>
      <c r="H21" s="9">
        <v>3302.5</v>
      </c>
      <c r="I21" s="9">
        <v>0</v>
      </c>
      <c r="J21" s="9">
        <v>0</v>
      </c>
      <c r="K21" s="9">
        <v>3442.5</v>
      </c>
      <c r="L21" s="7">
        <v>43810.625</v>
      </c>
      <c r="M21" s="3" t="s">
        <v>167</v>
      </c>
      <c r="N21" s="9">
        <v>3382.5</v>
      </c>
      <c r="O21" s="9">
        <v>0</v>
      </c>
      <c r="P21" s="12" t="s">
        <v>24</v>
      </c>
      <c r="Q21" s="9">
        <v>0</v>
      </c>
      <c r="R21" s="11">
        <v>0</v>
      </c>
      <c r="S21" s="10">
        <v>3382.5</v>
      </c>
      <c r="T21" s="9">
        <v>0</v>
      </c>
      <c r="U21" s="14">
        <v>1</v>
      </c>
      <c r="V21" s="12" t="s">
        <v>166</v>
      </c>
      <c r="W21" s="9"/>
      <c r="X21" s="9"/>
    </row>
    <row r="22" spans="1:24" x14ac:dyDescent="0.35">
      <c r="A22" s="3">
        <v>18</v>
      </c>
      <c r="B22" s="3" t="s">
        <v>86</v>
      </c>
      <c r="C22" s="8">
        <v>43832.583333333299</v>
      </c>
      <c r="D22" s="8">
        <v>43833.583333333299</v>
      </c>
      <c r="E22" s="12" t="s">
        <v>61</v>
      </c>
      <c r="F22" s="12" t="s">
        <v>57</v>
      </c>
      <c r="G22" s="9">
        <v>112</v>
      </c>
      <c r="H22" s="9">
        <v>602.5</v>
      </c>
      <c r="I22" s="9">
        <v>0</v>
      </c>
      <c r="J22" s="9">
        <v>0</v>
      </c>
      <c r="K22" s="9">
        <v>714.5</v>
      </c>
      <c r="L22" s="7">
        <v>43824.666666666701</v>
      </c>
      <c r="M22" s="3" t="s">
        <v>183</v>
      </c>
      <c r="N22" s="9">
        <v>618.5</v>
      </c>
      <c r="O22" s="9">
        <v>128</v>
      </c>
      <c r="P22" s="12" t="s">
        <v>178</v>
      </c>
      <c r="Q22" s="9">
        <v>0</v>
      </c>
      <c r="R22" s="11">
        <v>0</v>
      </c>
      <c r="S22" s="10">
        <v>618.5</v>
      </c>
      <c r="T22" s="9">
        <v>128</v>
      </c>
      <c r="U22" s="14">
        <v>0.111111111938953</v>
      </c>
      <c r="V22" s="12" t="s">
        <v>169</v>
      </c>
      <c r="W22" s="9"/>
      <c r="X22" s="9"/>
    </row>
    <row r="23" spans="1:24" ht="22" x14ac:dyDescent="0.35">
      <c r="A23" s="3">
        <v>19</v>
      </c>
      <c r="B23" s="3" t="s">
        <v>88</v>
      </c>
      <c r="C23" s="8">
        <v>43833.583333333299</v>
      </c>
      <c r="D23" s="8">
        <v>43836.583333333299</v>
      </c>
      <c r="E23" s="12" t="s">
        <v>51</v>
      </c>
      <c r="F23" s="12" t="s">
        <v>77</v>
      </c>
      <c r="G23" s="9">
        <v>672</v>
      </c>
      <c r="H23" s="9">
        <v>2252.5</v>
      </c>
      <c r="I23" s="9">
        <v>0</v>
      </c>
      <c r="J23" s="9">
        <v>0</v>
      </c>
      <c r="K23" s="9">
        <v>2924.5</v>
      </c>
      <c r="L23" s="3"/>
      <c r="M23" s="3" t="s">
        <v>24</v>
      </c>
      <c r="N23" s="9">
        <v>0</v>
      </c>
      <c r="O23" s="9">
        <v>2924.5</v>
      </c>
      <c r="P23" s="12" t="s">
        <v>51</v>
      </c>
      <c r="Q23" s="9">
        <v>0</v>
      </c>
      <c r="R23" s="11">
        <v>0</v>
      </c>
      <c r="S23" s="10">
        <v>0</v>
      </c>
      <c r="T23" s="9">
        <v>2924.5</v>
      </c>
      <c r="U23" s="14">
        <v>0</v>
      </c>
      <c r="V23" s="12" t="s">
        <v>170</v>
      </c>
      <c r="W23" s="9"/>
      <c r="X23" s="9"/>
    </row>
    <row r="24" spans="1:24" x14ac:dyDescent="0.35">
      <c r="A24" s="3">
        <v>20</v>
      </c>
      <c r="B24" s="3" t="s">
        <v>91</v>
      </c>
      <c r="C24" s="8">
        <v>43824.416666666701</v>
      </c>
      <c r="D24" s="8">
        <v>43825.416666666701</v>
      </c>
      <c r="E24" s="12" t="s">
        <v>61</v>
      </c>
      <c r="F24" s="12" t="s">
        <v>67</v>
      </c>
      <c r="G24" s="9">
        <v>56</v>
      </c>
      <c r="H24" s="9">
        <v>28602.5</v>
      </c>
      <c r="I24" s="9">
        <v>0</v>
      </c>
      <c r="J24" s="9">
        <v>0</v>
      </c>
      <c r="K24" s="9">
        <v>28658.5</v>
      </c>
      <c r="L24" s="7">
        <v>43811.458333333299</v>
      </c>
      <c r="M24" s="3" t="s">
        <v>174</v>
      </c>
      <c r="N24" s="9">
        <v>28642.5</v>
      </c>
      <c r="O24" s="9">
        <v>0</v>
      </c>
      <c r="P24" s="12" t="s">
        <v>24</v>
      </c>
      <c r="Q24" s="9">
        <v>0</v>
      </c>
      <c r="R24" s="11">
        <v>0</v>
      </c>
      <c r="S24" s="10">
        <v>28642.5</v>
      </c>
      <c r="T24" s="9">
        <v>0</v>
      </c>
      <c r="U24" s="14">
        <v>1</v>
      </c>
      <c r="V24" s="12" t="s">
        <v>166</v>
      </c>
      <c r="W24" s="9"/>
      <c r="X24" s="9"/>
    </row>
    <row r="25" spans="1:24" ht="22" x14ac:dyDescent="0.35">
      <c r="A25" s="3">
        <v>21</v>
      </c>
      <c r="B25" s="3" t="s">
        <v>95</v>
      </c>
      <c r="C25" s="8">
        <v>43830.583333333299</v>
      </c>
      <c r="D25" s="8">
        <v>43831.583333333299</v>
      </c>
      <c r="E25" s="12" t="s">
        <v>61</v>
      </c>
      <c r="F25" s="12" t="s">
        <v>36</v>
      </c>
      <c r="G25" s="9">
        <v>168</v>
      </c>
      <c r="H25" s="9">
        <v>3677.5</v>
      </c>
      <c r="I25" s="9">
        <v>0</v>
      </c>
      <c r="J25" s="9">
        <v>0</v>
      </c>
      <c r="K25" s="9">
        <v>3845.5</v>
      </c>
      <c r="L25" s="3"/>
      <c r="M25" s="3" t="s">
        <v>24</v>
      </c>
      <c r="N25" s="9">
        <v>0</v>
      </c>
      <c r="O25" s="9">
        <v>3845.5</v>
      </c>
      <c r="P25" s="12" t="s">
        <v>61</v>
      </c>
      <c r="Q25" s="9">
        <v>0</v>
      </c>
      <c r="R25" s="11">
        <v>0</v>
      </c>
      <c r="S25" s="10">
        <v>0</v>
      </c>
      <c r="T25" s="9">
        <v>3845.5</v>
      </c>
      <c r="U25" s="14">
        <v>0</v>
      </c>
      <c r="V25" s="12" t="s">
        <v>170</v>
      </c>
      <c r="W25" s="9"/>
      <c r="X25" s="9"/>
    </row>
    <row r="26" spans="1:24" x14ac:dyDescent="0.35">
      <c r="A26" s="3">
        <v>22</v>
      </c>
      <c r="B26" s="3" t="s">
        <v>98</v>
      </c>
      <c r="C26" s="8">
        <v>43825.416666666701</v>
      </c>
      <c r="D26" s="8">
        <v>43826.416666666701</v>
      </c>
      <c r="E26" s="12" t="s">
        <v>61</v>
      </c>
      <c r="F26" s="12" t="s">
        <v>67</v>
      </c>
      <c r="G26" s="9">
        <v>56</v>
      </c>
      <c r="H26" s="9">
        <v>602.5</v>
      </c>
      <c r="I26" s="9">
        <v>0</v>
      </c>
      <c r="J26" s="9">
        <v>0</v>
      </c>
      <c r="K26" s="9">
        <v>658.5</v>
      </c>
      <c r="L26" s="7">
        <v>43812.375</v>
      </c>
      <c r="M26" s="3" t="s">
        <v>124</v>
      </c>
      <c r="N26" s="9">
        <v>650.5</v>
      </c>
      <c r="O26" s="9">
        <v>0</v>
      </c>
      <c r="P26" s="12" t="s">
        <v>24</v>
      </c>
      <c r="Q26" s="9">
        <v>0</v>
      </c>
      <c r="R26" s="11">
        <v>0</v>
      </c>
      <c r="S26" s="10">
        <v>650.5</v>
      </c>
      <c r="T26" s="9">
        <v>0</v>
      </c>
      <c r="U26" s="14">
        <v>1</v>
      </c>
      <c r="V26" s="12" t="s">
        <v>166</v>
      </c>
      <c r="W26" s="9"/>
      <c r="X26" s="9"/>
    </row>
    <row r="27" spans="1:24" x14ac:dyDescent="0.35">
      <c r="A27" s="3">
        <v>23</v>
      </c>
      <c r="B27" s="3" t="s">
        <v>101</v>
      </c>
      <c r="C27" s="8">
        <v>43832.583333333299</v>
      </c>
      <c r="D27" s="8">
        <v>43833.583333333299</v>
      </c>
      <c r="E27" s="12" t="s">
        <v>61</v>
      </c>
      <c r="F27" s="12" t="s">
        <v>52</v>
      </c>
      <c r="G27" s="9">
        <v>224</v>
      </c>
      <c r="H27" s="9">
        <v>43602.5</v>
      </c>
      <c r="I27" s="9">
        <v>0</v>
      </c>
      <c r="J27" s="9">
        <v>0</v>
      </c>
      <c r="K27" s="9">
        <v>43826.5</v>
      </c>
      <c r="L27" s="3"/>
      <c r="M27" s="3" t="s">
        <v>24</v>
      </c>
      <c r="N27" s="9">
        <v>0</v>
      </c>
      <c r="O27" s="9">
        <v>43826.5</v>
      </c>
      <c r="P27" s="12" t="s">
        <v>61</v>
      </c>
      <c r="Q27" s="9">
        <v>0</v>
      </c>
      <c r="R27" s="11">
        <v>0</v>
      </c>
      <c r="S27" s="10">
        <v>0</v>
      </c>
      <c r="T27" s="9">
        <v>43826.5</v>
      </c>
      <c r="U27" s="14">
        <v>0</v>
      </c>
      <c r="V27" s="12" t="s">
        <v>170</v>
      </c>
      <c r="W27" s="9"/>
      <c r="X27" s="9"/>
    </row>
    <row r="28" spans="1:24" x14ac:dyDescent="0.35">
      <c r="A28" s="3">
        <v>24</v>
      </c>
      <c r="B28" s="3" t="s">
        <v>103</v>
      </c>
      <c r="C28" s="8">
        <v>43826.416666666701</v>
      </c>
      <c r="D28" s="8">
        <v>43827.416666666701</v>
      </c>
      <c r="E28" s="12" t="s">
        <v>61</v>
      </c>
      <c r="F28" s="12" t="s">
        <v>67</v>
      </c>
      <c r="G28" s="9">
        <v>56</v>
      </c>
      <c r="H28" s="9">
        <v>1577.5</v>
      </c>
      <c r="I28" s="9">
        <v>0</v>
      </c>
      <c r="J28" s="9">
        <v>0</v>
      </c>
      <c r="K28" s="9">
        <v>1633.5</v>
      </c>
      <c r="L28" s="7">
        <v>43812.666666666701</v>
      </c>
      <c r="M28" s="3" t="s">
        <v>61</v>
      </c>
      <c r="N28" s="9">
        <v>1633.5</v>
      </c>
      <c r="O28" s="9">
        <v>0</v>
      </c>
      <c r="P28" s="12" t="s">
        <v>24</v>
      </c>
      <c r="Q28" s="9">
        <v>0</v>
      </c>
      <c r="R28" s="11">
        <v>0</v>
      </c>
      <c r="S28" s="10">
        <v>1633.5</v>
      </c>
      <c r="T28" s="9">
        <v>0</v>
      </c>
      <c r="U28" s="14">
        <v>1</v>
      </c>
      <c r="V28" s="12" t="s">
        <v>166</v>
      </c>
      <c r="W28" s="9"/>
      <c r="X28" s="9"/>
    </row>
    <row r="29" spans="1:24" x14ac:dyDescent="0.35">
      <c r="A29" s="3">
        <v>25</v>
      </c>
      <c r="B29" s="3" t="s">
        <v>106</v>
      </c>
      <c r="C29" s="8">
        <v>43813.416666666701</v>
      </c>
      <c r="D29" s="8">
        <v>43815.416666666701</v>
      </c>
      <c r="E29" s="12" t="s">
        <v>61</v>
      </c>
      <c r="F29" s="12" t="s">
        <v>67</v>
      </c>
      <c r="G29" s="9">
        <v>56</v>
      </c>
      <c r="H29" s="9">
        <v>2524.5</v>
      </c>
      <c r="I29" s="9">
        <v>0</v>
      </c>
      <c r="J29" s="9">
        <v>0</v>
      </c>
      <c r="K29" s="9">
        <v>2580.5</v>
      </c>
      <c r="L29" s="7">
        <v>43812.541666666701</v>
      </c>
      <c r="M29" s="3" t="s">
        <v>61</v>
      </c>
      <c r="N29" s="9">
        <v>2580.5</v>
      </c>
      <c r="O29" s="9">
        <v>0</v>
      </c>
      <c r="P29" s="12" t="s">
        <v>24</v>
      </c>
      <c r="Q29" s="9">
        <v>0</v>
      </c>
      <c r="R29" s="11">
        <v>0</v>
      </c>
      <c r="S29" s="10">
        <v>2580.5</v>
      </c>
      <c r="T29" s="9">
        <v>0</v>
      </c>
      <c r="U29" s="14">
        <v>1</v>
      </c>
      <c r="V29" s="12" t="s">
        <v>166</v>
      </c>
      <c r="W29" s="9"/>
      <c r="X29" s="9"/>
    </row>
    <row r="30" spans="1:24" x14ac:dyDescent="0.35">
      <c r="A30" s="3">
        <v>26</v>
      </c>
      <c r="B30" s="3" t="s">
        <v>108</v>
      </c>
      <c r="C30" s="8">
        <v>43829.583333333299</v>
      </c>
      <c r="D30" s="8">
        <v>43830.583333333299</v>
      </c>
      <c r="E30" s="12" t="s">
        <v>61</v>
      </c>
      <c r="F30" s="12" t="s">
        <v>57</v>
      </c>
      <c r="G30" s="9">
        <v>112</v>
      </c>
      <c r="H30" s="9">
        <v>3442.30004882813</v>
      </c>
      <c r="I30" s="9">
        <v>0</v>
      </c>
      <c r="J30" s="9">
        <v>0</v>
      </c>
      <c r="K30" s="9">
        <v>3554.30004882813</v>
      </c>
      <c r="L30" s="3"/>
      <c r="M30" s="3" t="s">
        <v>24</v>
      </c>
      <c r="N30" s="9">
        <v>0</v>
      </c>
      <c r="O30" s="9">
        <v>3554.30004882813</v>
      </c>
      <c r="P30" s="12" t="s">
        <v>61</v>
      </c>
      <c r="Q30" s="9">
        <v>0</v>
      </c>
      <c r="R30" s="11">
        <v>0</v>
      </c>
      <c r="S30" s="10">
        <v>0</v>
      </c>
      <c r="T30" s="9">
        <v>3554.30004882813</v>
      </c>
      <c r="U30" s="14">
        <v>0</v>
      </c>
      <c r="V30" s="12" t="s">
        <v>170</v>
      </c>
      <c r="W30" s="9"/>
      <c r="X30" s="9"/>
    </row>
    <row r="31" spans="1:24" x14ac:dyDescent="0.35">
      <c r="A31" s="3">
        <v>27</v>
      </c>
      <c r="B31" s="3" t="s">
        <v>110</v>
      </c>
      <c r="C31" s="8">
        <v>43823.416666666701</v>
      </c>
      <c r="D31" s="8">
        <v>43824.416666666701</v>
      </c>
      <c r="E31" s="12" t="s">
        <v>61</v>
      </c>
      <c r="F31" s="12" t="s">
        <v>67</v>
      </c>
      <c r="G31" s="9">
        <v>56</v>
      </c>
      <c r="H31" s="9">
        <v>2972.5</v>
      </c>
      <c r="I31" s="9">
        <v>0</v>
      </c>
      <c r="J31" s="9">
        <v>0</v>
      </c>
      <c r="K31" s="9">
        <v>3028.5</v>
      </c>
      <c r="L31" s="7">
        <v>43810.625</v>
      </c>
      <c r="M31" s="3" t="s">
        <v>167</v>
      </c>
      <c r="N31" s="9">
        <v>3004.5</v>
      </c>
      <c r="O31" s="9">
        <v>0</v>
      </c>
      <c r="P31" s="12" t="s">
        <v>24</v>
      </c>
      <c r="Q31" s="9">
        <v>0</v>
      </c>
      <c r="R31" s="11">
        <v>0</v>
      </c>
      <c r="S31" s="10">
        <v>3004.5</v>
      </c>
      <c r="T31" s="9">
        <v>0</v>
      </c>
      <c r="U31" s="14">
        <v>1</v>
      </c>
      <c r="V31" s="12" t="s">
        <v>166</v>
      </c>
      <c r="W31" s="9"/>
      <c r="X31" s="9"/>
    </row>
    <row r="32" spans="1:24" x14ac:dyDescent="0.35">
      <c r="A32" s="3">
        <v>28</v>
      </c>
      <c r="B32" s="3" t="s">
        <v>113</v>
      </c>
      <c r="C32" s="8">
        <v>43832.583333333299</v>
      </c>
      <c r="D32" s="8">
        <v>43833.583333333299</v>
      </c>
      <c r="E32" s="12" t="s">
        <v>61</v>
      </c>
      <c r="F32" s="12" t="s">
        <v>67</v>
      </c>
      <c r="G32" s="9">
        <v>56</v>
      </c>
      <c r="H32" s="9">
        <v>1586.5</v>
      </c>
      <c r="I32" s="9">
        <v>0</v>
      </c>
      <c r="J32" s="9">
        <v>0</v>
      </c>
      <c r="K32" s="9">
        <v>1642.5</v>
      </c>
      <c r="L32" s="7">
        <v>43810.625</v>
      </c>
      <c r="M32" s="3" t="s">
        <v>185</v>
      </c>
      <c r="N32" s="9">
        <v>1666.5</v>
      </c>
      <c r="O32" s="9">
        <v>0</v>
      </c>
      <c r="P32" s="12" t="s">
        <v>24</v>
      </c>
      <c r="Q32" s="9">
        <v>0</v>
      </c>
      <c r="R32" s="11">
        <v>0</v>
      </c>
      <c r="S32" s="10">
        <v>1666.5</v>
      </c>
      <c r="T32" s="9">
        <v>0</v>
      </c>
      <c r="U32" s="14">
        <v>1</v>
      </c>
      <c r="V32" s="12" t="s">
        <v>166</v>
      </c>
      <c r="W32" s="9"/>
      <c r="X32" s="9"/>
    </row>
    <row r="33" spans="1:24" ht="22" x14ac:dyDescent="0.35">
      <c r="A33" s="3">
        <v>29</v>
      </c>
      <c r="B33" s="3" t="s">
        <v>117</v>
      </c>
      <c r="C33" s="8">
        <v>43833.583333333299</v>
      </c>
      <c r="D33" s="8">
        <v>43833.708333333299</v>
      </c>
      <c r="E33" s="12" t="s">
        <v>29</v>
      </c>
      <c r="F33" s="12" t="s">
        <v>67</v>
      </c>
      <c r="G33" s="9">
        <v>24</v>
      </c>
      <c r="H33" s="9">
        <v>602.5</v>
      </c>
      <c r="I33" s="9">
        <v>0</v>
      </c>
      <c r="J33" s="9">
        <v>0</v>
      </c>
      <c r="K33" s="9">
        <v>626.5</v>
      </c>
      <c r="L33" s="7">
        <v>43812.416666666701</v>
      </c>
      <c r="M33" s="3" t="s">
        <v>177</v>
      </c>
      <c r="N33" s="9">
        <v>618.5</v>
      </c>
      <c r="O33" s="9">
        <v>0</v>
      </c>
      <c r="P33" s="12" t="s">
        <v>24</v>
      </c>
      <c r="Q33" s="9">
        <v>0</v>
      </c>
      <c r="R33" s="11">
        <v>0</v>
      </c>
      <c r="S33" s="10">
        <v>618.5</v>
      </c>
      <c r="T33" s="9">
        <v>0</v>
      </c>
      <c r="U33" s="14">
        <v>1</v>
      </c>
      <c r="V33" s="12" t="s">
        <v>166</v>
      </c>
      <c r="W33" s="9"/>
      <c r="X33" s="9"/>
    </row>
    <row r="34" spans="1:24" x14ac:dyDescent="0.35">
      <c r="A34" s="3">
        <v>30</v>
      </c>
      <c r="B34" s="3" t="s">
        <v>120</v>
      </c>
      <c r="C34" s="8">
        <v>43838.583333333299</v>
      </c>
      <c r="D34" s="8">
        <v>43839.5</v>
      </c>
      <c r="E34" s="12" t="s">
        <v>124</v>
      </c>
      <c r="F34" s="12" t="s">
        <v>67</v>
      </c>
      <c r="G34" s="9">
        <v>48</v>
      </c>
      <c r="H34" s="9">
        <v>602.5</v>
      </c>
      <c r="I34" s="9">
        <v>0</v>
      </c>
      <c r="J34" s="9">
        <v>0</v>
      </c>
      <c r="K34" s="9">
        <v>650.5</v>
      </c>
      <c r="L34" s="3"/>
      <c r="M34" s="3" t="s">
        <v>24</v>
      </c>
      <c r="N34" s="9">
        <v>0</v>
      </c>
      <c r="O34" s="9">
        <v>650.5</v>
      </c>
      <c r="P34" s="12" t="s">
        <v>124</v>
      </c>
      <c r="Q34" s="9">
        <v>0</v>
      </c>
      <c r="R34" s="11">
        <v>0</v>
      </c>
      <c r="S34" s="10">
        <v>0</v>
      </c>
      <c r="T34" s="9">
        <v>650.5</v>
      </c>
      <c r="U34" s="14">
        <v>0</v>
      </c>
      <c r="V34" s="12" t="s">
        <v>170</v>
      </c>
      <c r="W34" s="9"/>
      <c r="X34" s="9"/>
    </row>
    <row r="35" spans="1:24" x14ac:dyDescent="0.35">
      <c r="A35" s="3">
        <v>31</v>
      </c>
      <c r="B35" s="3" t="s">
        <v>125</v>
      </c>
      <c r="C35" s="8">
        <v>43839.5</v>
      </c>
      <c r="D35" s="8">
        <v>43839.5</v>
      </c>
      <c r="E35" s="12" t="s">
        <v>24</v>
      </c>
      <c r="F35" s="12"/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3"/>
      <c r="M35" s="3" t="s">
        <v>24</v>
      </c>
      <c r="N35" s="9">
        <v>0</v>
      </c>
      <c r="O35" s="9">
        <v>0</v>
      </c>
      <c r="P35" s="12" t="s">
        <v>24</v>
      </c>
      <c r="Q35" s="9">
        <v>0</v>
      </c>
      <c r="R35" s="11">
        <v>0</v>
      </c>
      <c r="S35" s="10">
        <v>0</v>
      </c>
      <c r="T35" s="9">
        <v>0</v>
      </c>
      <c r="U35" s="14">
        <v>0</v>
      </c>
      <c r="V35" s="12" t="s">
        <v>170</v>
      </c>
      <c r="W35" s="9"/>
      <c r="X35" s="9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Blad20"/>
  <dimension ref="A1:X35"/>
  <sheetViews>
    <sheetView topLeftCell="C1" workbookViewId="0">
      <selection activeCell="W5" sqref="W5:X35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150</v>
      </c>
      <c r="C1" s="7">
        <v>43825.708333333299</v>
      </c>
      <c r="E1" s="1" t="s">
        <v>151</v>
      </c>
      <c r="F1" s="4" t="s">
        <v>225</v>
      </c>
    </row>
    <row r="3" spans="1:24" x14ac:dyDescent="0.35">
      <c r="A3" s="24" t="s">
        <v>0</v>
      </c>
      <c r="B3" s="24"/>
      <c r="C3" s="24" t="s">
        <v>2</v>
      </c>
      <c r="D3" s="24"/>
      <c r="E3" s="24"/>
      <c r="F3" s="24" t="s">
        <v>3</v>
      </c>
      <c r="G3" s="24"/>
      <c r="H3" s="24" t="s">
        <v>4</v>
      </c>
      <c r="I3" s="24"/>
      <c r="J3" s="24"/>
      <c r="K3" s="24"/>
      <c r="L3" s="24" t="s">
        <v>152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153</v>
      </c>
      <c r="M4" s="1" t="s">
        <v>154</v>
      </c>
      <c r="N4" s="1" t="s">
        <v>155</v>
      </c>
      <c r="O4" s="1" t="s">
        <v>156</v>
      </c>
      <c r="P4" s="1" t="s">
        <v>157</v>
      </c>
      <c r="Q4" s="1" t="s">
        <v>158</v>
      </c>
      <c r="R4" s="1" t="s">
        <v>159</v>
      </c>
      <c r="S4" s="1" t="s">
        <v>160</v>
      </c>
      <c r="T4" s="1" t="s">
        <v>161</v>
      </c>
      <c r="U4" s="1" t="s">
        <v>162</v>
      </c>
      <c r="V4" s="1" t="s">
        <v>152</v>
      </c>
      <c r="W4" s="1" t="s">
        <v>163</v>
      </c>
      <c r="X4" s="1" t="s">
        <v>164</v>
      </c>
    </row>
    <row r="5" spans="1:24" x14ac:dyDescent="0.35">
      <c r="A5" s="2">
        <v>0</v>
      </c>
      <c r="B5" s="3" t="s">
        <v>18</v>
      </c>
      <c r="C5" s="5">
        <v>43808.375</v>
      </c>
      <c r="D5" s="5">
        <v>43839.5</v>
      </c>
      <c r="E5" s="2" t="s">
        <v>20</v>
      </c>
      <c r="F5" s="2"/>
      <c r="G5" s="6"/>
      <c r="H5" s="6">
        <v>118411.30004882799</v>
      </c>
      <c r="I5" s="6"/>
      <c r="J5" s="6"/>
      <c r="K5" s="6">
        <v>126955.30004882799</v>
      </c>
      <c r="L5" s="2"/>
      <c r="M5" s="2" t="s">
        <v>226</v>
      </c>
      <c r="N5" s="6"/>
      <c r="O5" s="6"/>
      <c r="P5" s="2"/>
      <c r="Q5" s="6"/>
      <c r="R5" s="6"/>
      <c r="S5" s="6">
        <v>69657</v>
      </c>
      <c r="T5" s="6"/>
      <c r="U5" s="13">
        <v>0.552086705382964</v>
      </c>
      <c r="V5" s="2"/>
      <c r="W5" s="6"/>
      <c r="X5" s="6"/>
    </row>
    <row r="6" spans="1:24" x14ac:dyDescent="0.35">
      <c r="A6" s="3">
        <v>1</v>
      </c>
      <c r="B6" s="3" t="s">
        <v>21</v>
      </c>
      <c r="C6" s="8">
        <v>43808.375</v>
      </c>
      <c r="D6" s="8">
        <v>43806.708333333299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43808.375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166</v>
      </c>
      <c r="W6" s="9"/>
      <c r="X6" s="9"/>
    </row>
    <row r="7" spans="1:24" ht="22" x14ac:dyDescent="0.35">
      <c r="A7" s="3">
        <v>2</v>
      </c>
      <c r="B7" s="3" t="s">
        <v>25</v>
      </c>
      <c r="C7" s="8">
        <v>43808.375</v>
      </c>
      <c r="D7" s="8">
        <v>43808.5</v>
      </c>
      <c r="E7" s="12" t="s">
        <v>29</v>
      </c>
      <c r="F7" s="12" t="s">
        <v>30</v>
      </c>
      <c r="G7" s="9">
        <v>36</v>
      </c>
      <c r="H7" s="9">
        <v>931.5</v>
      </c>
      <c r="I7" s="9">
        <v>0</v>
      </c>
      <c r="J7" s="9">
        <v>0</v>
      </c>
      <c r="K7" s="9">
        <v>967.5</v>
      </c>
      <c r="L7" s="7">
        <v>43808.375</v>
      </c>
      <c r="M7" s="3" t="s">
        <v>29</v>
      </c>
      <c r="N7" s="9">
        <v>967.5</v>
      </c>
      <c r="O7" s="9">
        <v>0</v>
      </c>
      <c r="P7" s="12" t="s">
        <v>24</v>
      </c>
      <c r="Q7" s="9">
        <v>0</v>
      </c>
      <c r="R7" s="11">
        <v>0</v>
      </c>
      <c r="S7" s="10">
        <v>967.5</v>
      </c>
      <c r="T7" s="9">
        <v>0</v>
      </c>
      <c r="U7" s="14">
        <v>1</v>
      </c>
      <c r="V7" s="12" t="s">
        <v>166</v>
      </c>
      <c r="W7" s="9"/>
      <c r="X7" s="9"/>
    </row>
    <row r="8" spans="1:24" x14ac:dyDescent="0.35">
      <c r="A8" s="3">
        <v>3</v>
      </c>
      <c r="B8" s="3" t="s">
        <v>31</v>
      </c>
      <c r="C8" s="8">
        <v>43808.541666666701</v>
      </c>
      <c r="D8" s="8">
        <v>43813.5</v>
      </c>
      <c r="E8" s="12" t="s">
        <v>35</v>
      </c>
      <c r="F8" s="12" t="s">
        <v>36</v>
      </c>
      <c r="G8" s="9">
        <v>840</v>
      </c>
      <c r="H8" s="9">
        <v>950.5</v>
      </c>
      <c r="I8" s="9">
        <v>0</v>
      </c>
      <c r="J8" s="9">
        <v>0</v>
      </c>
      <c r="K8" s="9">
        <v>1790.5</v>
      </c>
      <c r="L8" s="7">
        <v>43808.541666666701</v>
      </c>
      <c r="M8" s="3" t="s">
        <v>181</v>
      </c>
      <c r="N8" s="9">
        <v>1550.5</v>
      </c>
      <c r="O8" s="9">
        <v>0</v>
      </c>
      <c r="P8" s="12" t="s">
        <v>24</v>
      </c>
      <c r="Q8" s="9">
        <v>0</v>
      </c>
      <c r="R8" s="11">
        <v>0</v>
      </c>
      <c r="S8" s="10">
        <v>1550.5</v>
      </c>
      <c r="T8" s="9">
        <v>0</v>
      </c>
      <c r="U8" s="14">
        <v>1</v>
      </c>
      <c r="V8" s="12" t="s">
        <v>166</v>
      </c>
      <c r="W8" s="9"/>
      <c r="X8" s="9"/>
    </row>
    <row r="9" spans="1:24" x14ac:dyDescent="0.35">
      <c r="A9" s="3">
        <v>4</v>
      </c>
      <c r="B9" s="3" t="s">
        <v>37</v>
      </c>
      <c r="C9" s="8">
        <v>43813.541666666701</v>
      </c>
      <c r="D9" s="8">
        <v>43816.625</v>
      </c>
      <c r="E9" s="12" t="s">
        <v>41</v>
      </c>
      <c r="F9" s="12" t="s">
        <v>42</v>
      </c>
      <c r="G9" s="9">
        <v>640</v>
      </c>
      <c r="H9" s="9">
        <v>8819</v>
      </c>
      <c r="I9" s="9">
        <v>0</v>
      </c>
      <c r="J9" s="9">
        <v>0</v>
      </c>
      <c r="K9" s="9">
        <v>9459</v>
      </c>
      <c r="L9" s="7">
        <v>43812.375</v>
      </c>
      <c r="M9" s="3" t="s">
        <v>185</v>
      </c>
      <c r="N9" s="9">
        <v>9219</v>
      </c>
      <c r="O9" s="9">
        <v>0</v>
      </c>
      <c r="P9" s="12" t="s">
        <v>24</v>
      </c>
      <c r="Q9" s="9">
        <v>0</v>
      </c>
      <c r="R9" s="11">
        <v>0</v>
      </c>
      <c r="S9" s="10">
        <v>9219</v>
      </c>
      <c r="T9" s="9">
        <v>0</v>
      </c>
      <c r="U9" s="14">
        <v>1</v>
      </c>
      <c r="V9" s="12" t="s">
        <v>166</v>
      </c>
      <c r="W9" s="9"/>
      <c r="X9" s="9"/>
    </row>
    <row r="10" spans="1:24" ht="22" x14ac:dyDescent="0.35">
      <c r="A10" s="3">
        <v>5</v>
      </c>
      <c r="B10" s="3" t="s">
        <v>43</v>
      </c>
      <c r="C10" s="8">
        <v>43816.625</v>
      </c>
      <c r="D10" s="8">
        <v>43827.708333333299</v>
      </c>
      <c r="E10" s="12" t="s">
        <v>47</v>
      </c>
      <c r="F10" s="12" t="s">
        <v>42</v>
      </c>
      <c r="G10" s="9">
        <v>2880</v>
      </c>
      <c r="H10" s="9">
        <v>3166.5</v>
      </c>
      <c r="I10" s="9">
        <v>0</v>
      </c>
      <c r="J10" s="9">
        <v>0</v>
      </c>
      <c r="K10" s="9">
        <v>6046.5</v>
      </c>
      <c r="L10" s="7">
        <v>43813.541666666701</v>
      </c>
      <c r="M10" s="3" t="s">
        <v>224</v>
      </c>
      <c r="N10" s="9">
        <v>5806.5</v>
      </c>
      <c r="O10" s="9">
        <v>0</v>
      </c>
      <c r="P10" s="12" t="s">
        <v>24</v>
      </c>
      <c r="Q10" s="9">
        <v>0</v>
      </c>
      <c r="R10" s="11">
        <v>0</v>
      </c>
      <c r="S10" s="10">
        <v>5806.5</v>
      </c>
      <c r="T10" s="9">
        <v>0</v>
      </c>
      <c r="U10" s="14">
        <v>1</v>
      </c>
      <c r="V10" s="12" t="s">
        <v>166</v>
      </c>
      <c r="W10" s="9"/>
      <c r="X10" s="9"/>
    </row>
    <row r="11" spans="1:24" x14ac:dyDescent="0.35">
      <c r="A11" s="3">
        <v>6</v>
      </c>
      <c r="B11" s="3" t="s">
        <v>48</v>
      </c>
      <c r="C11" s="8">
        <v>43830.583333333299</v>
      </c>
      <c r="D11" s="8">
        <v>43832.583333333299</v>
      </c>
      <c r="E11" s="12" t="s">
        <v>51</v>
      </c>
      <c r="F11" s="12" t="s">
        <v>52</v>
      </c>
      <c r="G11" s="9">
        <v>448</v>
      </c>
      <c r="H11" s="9">
        <v>1802.5</v>
      </c>
      <c r="I11" s="9">
        <v>0</v>
      </c>
      <c r="J11" s="9">
        <v>0</v>
      </c>
      <c r="K11" s="9">
        <v>2250.5</v>
      </c>
      <c r="L11" s="7">
        <v>43808.541666666701</v>
      </c>
      <c r="M11" s="3" t="s">
        <v>41</v>
      </c>
      <c r="N11" s="9">
        <v>2314.5</v>
      </c>
      <c r="O11" s="9">
        <v>0</v>
      </c>
      <c r="P11" s="12" t="s">
        <v>24</v>
      </c>
      <c r="Q11" s="9">
        <v>0</v>
      </c>
      <c r="R11" s="11">
        <v>0</v>
      </c>
      <c r="S11" s="10">
        <v>2314.5</v>
      </c>
      <c r="T11" s="9">
        <v>0</v>
      </c>
      <c r="U11" s="14">
        <v>1</v>
      </c>
      <c r="V11" s="12" t="s">
        <v>166</v>
      </c>
      <c r="W11" s="9"/>
      <c r="X11" s="9"/>
    </row>
    <row r="12" spans="1:24" x14ac:dyDescent="0.35">
      <c r="A12" s="3">
        <v>7</v>
      </c>
      <c r="B12" s="3" t="s">
        <v>53</v>
      </c>
      <c r="C12" s="8">
        <v>43815.416666666701</v>
      </c>
      <c r="D12" s="8">
        <v>43822.416666666701</v>
      </c>
      <c r="E12" s="12" t="s">
        <v>56</v>
      </c>
      <c r="F12" s="12" t="s">
        <v>57</v>
      </c>
      <c r="G12" s="9">
        <v>672</v>
      </c>
      <c r="H12" s="9">
        <v>1970.5</v>
      </c>
      <c r="I12" s="9">
        <v>0</v>
      </c>
      <c r="J12" s="9">
        <v>0</v>
      </c>
      <c r="K12" s="9">
        <v>2642.5</v>
      </c>
      <c r="L12" s="7">
        <v>43815.541666666701</v>
      </c>
      <c r="M12" s="3" t="s">
        <v>193</v>
      </c>
      <c r="N12" s="9">
        <v>2866.5</v>
      </c>
      <c r="O12" s="9">
        <v>0</v>
      </c>
      <c r="P12" s="12" t="s">
        <v>24</v>
      </c>
      <c r="Q12" s="9">
        <v>0</v>
      </c>
      <c r="R12" s="11">
        <v>0</v>
      </c>
      <c r="S12" s="10">
        <v>2866.5</v>
      </c>
      <c r="T12" s="9">
        <v>0</v>
      </c>
      <c r="U12" s="14">
        <v>1</v>
      </c>
      <c r="V12" s="12" t="s">
        <v>166</v>
      </c>
      <c r="W12" s="9"/>
      <c r="X12" s="9"/>
    </row>
    <row r="13" spans="1:24" ht="22" x14ac:dyDescent="0.35">
      <c r="A13" s="3">
        <v>8</v>
      </c>
      <c r="B13" s="3" t="s">
        <v>58</v>
      </c>
      <c r="C13" s="8">
        <v>43831.583333333299</v>
      </c>
      <c r="D13" s="8">
        <v>43832.583333333299</v>
      </c>
      <c r="E13" s="12" t="s">
        <v>61</v>
      </c>
      <c r="F13" s="12" t="s">
        <v>57</v>
      </c>
      <c r="G13" s="9">
        <v>112</v>
      </c>
      <c r="H13" s="9">
        <v>602.5</v>
      </c>
      <c r="I13" s="9">
        <v>0</v>
      </c>
      <c r="J13" s="9">
        <v>0</v>
      </c>
      <c r="K13" s="9">
        <v>714.5</v>
      </c>
      <c r="L13" s="7">
        <v>43824.666666666701</v>
      </c>
      <c r="M13" s="3" t="s">
        <v>178</v>
      </c>
      <c r="N13" s="9">
        <v>730.5</v>
      </c>
      <c r="O13" s="9">
        <v>0</v>
      </c>
      <c r="P13" s="12" t="s">
        <v>24</v>
      </c>
      <c r="Q13" s="9">
        <v>0</v>
      </c>
      <c r="R13" s="11">
        <v>0</v>
      </c>
      <c r="S13" s="10">
        <v>730.5</v>
      </c>
      <c r="T13" s="9">
        <v>0</v>
      </c>
      <c r="U13" s="14">
        <v>1</v>
      </c>
      <c r="V13" s="12" t="s">
        <v>166</v>
      </c>
      <c r="W13" s="9"/>
      <c r="X13" s="9"/>
    </row>
    <row r="14" spans="1:24" x14ac:dyDescent="0.35">
      <c r="A14" s="3">
        <v>9</v>
      </c>
      <c r="B14" s="3" t="s">
        <v>62</v>
      </c>
      <c r="C14" s="8">
        <v>43829.583333333299</v>
      </c>
      <c r="D14" s="8">
        <v>43830.583333333299</v>
      </c>
      <c r="E14" s="12" t="s">
        <v>61</v>
      </c>
      <c r="F14" s="12" t="s">
        <v>57</v>
      </c>
      <c r="G14" s="9">
        <v>112</v>
      </c>
      <c r="H14" s="9">
        <v>602.5</v>
      </c>
      <c r="I14" s="9">
        <v>0</v>
      </c>
      <c r="J14" s="9">
        <v>0</v>
      </c>
      <c r="K14" s="9">
        <v>714.5</v>
      </c>
      <c r="L14" s="3"/>
      <c r="M14" s="3" t="s">
        <v>24</v>
      </c>
      <c r="N14" s="9">
        <v>0</v>
      </c>
      <c r="O14" s="9">
        <v>714.5</v>
      </c>
      <c r="P14" s="12" t="s">
        <v>61</v>
      </c>
      <c r="Q14" s="9">
        <v>0</v>
      </c>
      <c r="R14" s="11">
        <v>0</v>
      </c>
      <c r="S14" s="10">
        <v>0</v>
      </c>
      <c r="T14" s="9">
        <v>714.5</v>
      </c>
      <c r="U14" s="14">
        <v>0</v>
      </c>
      <c r="V14" s="12" t="s">
        <v>170</v>
      </c>
      <c r="W14" s="9"/>
      <c r="X14" s="9"/>
    </row>
    <row r="15" spans="1:24" ht="22" x14ac:dyDescent="0.35">
      <c r="A15" s="3">
        <v>10</v>
      </c>
      <c r="B15" s="3" t="s">
        <v>64</v>
      </c>
      <c r="C15" s="8">
        <v>43829.375</v>
      </c>
      <c r="D15" s="8">
        <v>43829.708333333299</v>
      </c>
      <c r="E15" s="12" t="s">
        <v>61</v>
      </c>
      <c r="F15" s="12" t="s">
        <v>67</v>
      </c>
      <c r="G15" s="9">
        <v>56</v>
      </c>
      <c r="H15" s="9">
        <v>602.5</v>
      </c>
      <c r="I15" s="9">
        <v>0</v>
      </c>
      <c r="J15" s="9">
        <v>0</v>
      </c>
      <c r="K15" s="9">
        <v>658.5</v>
      </c>
      <c r="L15" s="7">
        <v>43824.666666666701</v>
      </c>
      <c r="M15" s="3" t="s">
        <v>61</v>
      </c>
      <c r="N15" s="9">
        <v>658.5</v>
      </c>
      <c r="O15" s="9">
        <v>0</v>
      </c>
      <c r="P15" s="12" t="s">
        <v>24</v>
      </c>
      <c r="Q15" s="9">
        <v>0</v>
      </c>
      <c r="R15" s="11">
        <v>0</v>
      </c>
      <c r="S15" s="10">
        <v>658.5</v>
      </c>
      <c r="T15" s="9">
        <v>0</v>
      </c>
      <c r="U15" s="14">
        <v>1</v>
      </c>
      <c r="V15" s="12" t="s">
        <v>166</v>
      </c>
      <c r="W15" s="9"/>
      <c r="X15" s="9"/>
    </row>
    <row r="16" spans="1:24" x14ac:dyDescent="0.35">
      <c r="A16" s="3">
        <v>11</v>
      </c>
      <c r="B16" s="3" t="s">
        <v>68</v>
      </c>
      <c r="C16" s="8">
        <v>43813.416666666701</v>
      </c>
      <c r="D16" s="8">
        <v>43815.416666666701</v>
      </c>
      <c r="E16" s="12" t="s">
        <v>61</v>
      </c>
      <c r="F16" s="12" t="s">
        <v>67</v>
      </c>
      <c r="G16" s="9">
        <v>56</v>
      </c>
      <c r="H16" s="9">
        <v>602.5</v>
      </c>
      <c r="I16" s="9">
        <v>0</v>
      </c>
      <c r="J16" s="9">
        <v>0</v>
      </c>
      <c r="K16" s="9">
        <v>658.5</v>
      </c>
      <c r="L16" s="7">
        <v>43825.666666666701</v>
      </c>
      <c r="M16" s="3" t="s">
        <v>183</v>
      </c>
      <c r="N16" s="9">
        <v>610.5</v>
      </c>
      <c r="O16" s="9">
        <v>64</v>
      </c>
      <c r="P16" s="12" t="s">
        <v>178</v>
      </c>
      <c r="Q16" s="9">
        <v>0</v>
      </c>
      <c r="R16" s="11">
        <v>0</v>
      </c>
      <c r="S16" s="10">
        <v>610.5</v>
      </c>
      <c r="T16" s="9">
        <v>64</v>
      </c>
      <c r="U16" s="14">
        <v>0.111111111938953</v>
      </c>
      <c r="V16" s="12" t="s">
        <v>169</v>
      </c>
      <c r="W16" s="9"/>
      <c r="X16" s="9"/>
    </row>
    <row r="17" spans="1:24" ht="22" x14ac:dyDescent="0.35">
      <c r="A17" s="3">
        <v>13</v>
      </c>
      <c r="B17" s="3" t="s">
        <v>70</v>
      </c>
      <c r="C17" s="8">
        <v>43823.416666666701</v>
      </c>
      <c r="D17" s="8">
        <v>43823.583333333299</v>
      </c>
      <c r="E17" s="12" t="s">
        <v>29</v>
      </c>
      <c r="F17" s="12" t="s">
        <v>67</v>
      </c>
      <c r="G17" s="9">
        <v>24</v>
      </c>
      <c r="H17" s="9">
        <v>602.5</v>
      </c>
      <c r="I17" s="9">
        <v>0</v>
      </c>
      <c r="J17" s="9">
        <v>0</v>
      </c>
      <c r="K17" s="9">
        <v>626.5</v>
      </c>
      <c r="L17" s="7">
        <v>43811.458333333299</v>
      </c>
      <c r="M17" s="3" t="s">
        <v>29</v>
      </c>
      <c r="N17" s="9">
        <v>626.5</v>
      </c>
      <c r="O17" s="9">
        <v>0</v>
      </c>
      <c r="P17" s="12" t="s">
        <v>24</v>
      </c>
      <c r="Q17" s="9">
        <v>0</v>
      </c>
      <c r="R17" s="11">
        <v>0</v>
      </c>
      <c r="S17" s="10">
        <v>626.5</v>
      </c>
      <c r="T17" s="9">
        <v>0</v>
      </c>
      <c r="U17" s="14">
        <v>1</v>
      </c>
      <c r="V17" s="12" t="s">
        <v>166</v>
      </c>
      <c r="W17" s="9"/>
      <c r="X17" s="9"/>
    </row>
    <row r="18" spans="1:24" x14ac:dyDescent="0.35">
      <c r="A18" s="3">
        <v>14</v>
      </c>
      <c r="B18" s="3" t="s">
        <v>74</v>
      </c>
      <c r="C18" s="8">
        <v>43836.583333333299</v>
      </c>
      <c r="D18" s="8">
        <v>43838.583333333299</v>
      </c>
      <c r="E18" s="12" t="s">
        <v>51</v>
      </c>
      <c r="F18" s="12" t="s">
        <v>77</v>
      </c>
      <c r="G18" s="9">
        <v>672</v>
      </c>
      <c r="H18" s="9">
        <v>602.5</v>
      </c>
      <c r="I18" s="9">
        <v>0</v>
      </c>
      <c r="J18" s="9">
        <v>0</v>
      </c>
      <c r="K18" s="9">
        <v>1274.5</v>
      </c>
      <c r="L18" s="3"/>
      <c r="M18" s="3" t="s">
        <v>24</v>
      </c>
      <c r="N18" s="9">
        <v>0</v>
      </c>
      <c r="O18" s="9">
        <v>1274.5</v>
      </c>
      <c r="P18" s="12" t="s">
        <v>51</v>
      </c>
      <c r="Q18" s="9">
        <v>0</v>
      </c>
      <c r="R18" s="11">
        <v>0</v>
      </c>
      <c r="S18" s="10">
        <v>0</v>
      </c>
      <c r="T18" s="9">
        <v>1274.5</v>
      </c>
      <c r="U18" s="14">
        <v>0</v>
      </c>
      <c r="V18" s="12" t="s">
        <v>170</v>
      </c>
      <c r="W18" s="9"/>
      <c r="X18" s="9"/>
    </row>
    <row r="19" spans="1:24" x14ac:dyDescent="0.35">
      <c r="A19" s="3">
        <v>15</v>
      </c>
      <c r="B19" s="3" t="s">
        <v>78</v>
      </c>
      <c r="C19" s="8">
        <v>43829.583333333299</v>
      </c>
      <c r="D19" s="8">
        <v>43830.583333333299</v>
      </c>
      <c r="E19" s="12" t="s">
        <v>61</v>
      </c>
      <c r="F19" s="12" t="s">
        <v>57</v>
      </c>
      <c r="G19" s="9">
        <v>112</v>
      </c>
      <c r="H19" s="9">
        <v>602.5</v>
      </c>
      <c r="I19" s="9">
        <v>0</v>
      </c>
      <c r="J19" s="9">
        <v>0</v>
      </c>
      <c r="K19" s="9">
        <v>714.5</v>
      </c>
      <c r="L19" s="7">
        <v>43824.666666666701</v>
      </c>
      <c r="M19" s="3" t="s">
        <v>178</v>
      </c>
      <c r="N19" s="9">
        <v>730.5</v>
      </c>
      <c r="O19" s="9">
        <v>16</v>
      </c>
      <c r="P19" s="12" t="s">
        <v>183</v>
      </c>
      <c r="Q19" s="9">
        <v>0</v>
      </c>
      <c r="R19" s="11">
        <v>0</v>
      </c>
      <c r="S19" s="10">
        <v>730.5</v>
      </c>
      <c r="T19" s="9">
        <v>16</v>
      </c>
      <c r="U19" s="14">
        <v>0.88888889551162698</v>
      </c>
      <c r="V19" s="12" t="s">
        <v>169</v>
      </c>
      <c r="W19" s="9"/>
      <c r="X19" s="9"/>
    </row>
    <row r="20" spans="1:24" x14ac:dyDescent="0.35">
      <c r="A20" s="3">
        <v>16</v>
      </c>
      <c r="B20" s="3" t="s">
        <v>80</v>
      </c>
      <c r="C20" s="8">
        <v>43827.416666666701</v>
      </c>
      <c r="D20" s="8">
        <v>43827.583333333299</v>
      </c>
      <c r="E20" s="12" t="s">
        <v>29</v>
      </c>
      <c r="F20" s="12" t="s">
        <v>57</v>
      </c>
      <c r="G20" s="9">
        <v>48</v>
      </c>
      <c r="H20" s="9">
        <v>602.5</v>
      </c>
      <c r="I20" s="9">
        <v>0</v>
      </c>
      <c r="J20" s="9">
        <v>0</v>
      </c>
      <c r="K20" s="9">
        <v>650.5</v>
      </c>
      <c r="L20" s="7">
        <v>43813.666666666701</v>
      </c>
      <c r="M20" s="3" t="s">
        <v>167</v>
      </c>
      <c r="N20" s="9">
        <v>666.5</v>
      </c>
      <c r="O20" s="9">
        <v>0</v>
      </c>
      <c r="P20" s="12" t="s">
        <v>24</v>
      </c>
      <c r="Q20" s="9">
        <v>0</v>
      </c>
      <c r="R20" s="11">
        <v>0</v>
      </c>
      <c r="S20" s="10">
        <v>666.5</v>
      </c>
      <c r="T20" s="9">
        <v>0</v>
      </c>
      <c r="U20" s="14">
        <v>1</v>
      </c>
      <c r="V20" s="12" t="s">
        <v>166</v>
      </c>
      <c r="W20" s="9"/>
      <c r="X20" s="9"/>
    </row>
    <row r="21" spans="1:24" x14ac:dyDescent="0.35">
      <c r="A21" s="3">
        <v>17</v>
      </c>
      <c r="B21" s="3" t="s">
        <v>82</v>
      </c>
      <c r="C21" s="8">
        <v>43822.416666666701</v>
      </c>
      <c r="D21" s="8">
        <v>43823.416666666701</v>
      </c>
      <c r="E21" s="12" t="s">
        <v>61</v>
      </c>
      <c r="F21" s="12" t="s">
        <v>85</v>
      </c>
      <c r="G21" s="9">
        <v>140</v>
      </c>
      <c r="H21" s="9">
        <v>3302.5</v>
      </c>
      <c r="I21" s="9">
        <v>0</v>
      </c>
      <c r="J21" s="9">
        <v>0</v>
      </c>
      <c r="K21" s="9">
        <v>3442.5</v>
      </c>
      <c r="L21" s="7">
        <v>43810.625</v>
      </c>
      <c r="M21" s="3" t="s">
        <v>167</v>
      </c>
      <c r="N21" s="9">
        <v>3382.5</v>
      </c>
      <c r="O21" s="9">
        <v>0</v>
      </c>
      <c r="P21" s="12" t="s">
        <v>24</v>
      </c>
      <c r="Q21" s="9">
        <v>0</v>
      </c>
      <c r="R21" s="11">
        <v>0</v>
      </c>
      <c r="S21" s="10">
        <v>3382.5</v>
      </c>
      <c r="T21" s="9">
        <v>0</v>
      </c>
      <c r="U21" s="14">
        <v>1</v>
      </c>
      <c r="V21" s="12" t="s">
        <v>166</v>
      </c>
      <c r="W21" s="9"/>
      <c r="X21" s="9"/>
    </row>
    <row r="22" spans="1:24" x14ac:dyDescent="0.35">
      <c r="A22" s="3">
        <v>18</v>
      </c>
      <c r="B22" s="3" t="s">
        <v>86</v>
      </c>
      <c r="C22" s="8">
        <v>43832.583333333299</v>
      </c>
      <c r="D22" s="8">
        <v>43833.583333333299</v>
      </c>
      <c r="E22" s="12" t="s">
        <v>61</v>
      </c>
      <c r="F22" s="12" t="s">
        <v>57</v>
      </c>
      <c r="G22" s="9">
        <v>112</v>
      </c>
      <c r="H22" s="9">
        <v>602.5</v>
      </c>
      <c r="I22" s="9">
        <v>0</v>
      </c>
      <c r="J22" s="9">
        <v>0</v>
      </c>
      <c r="K22" s="9">
        <v>714.5</v>
      </c>
      <c r="L22" s="7">
        <v>43824.666666666701</v>
      </c>
      <c r="M22" s="3" t="s">
        <v>178</v>
      </c>
      <c r="N22" s="9">
        <v>730.5</v>
      </c>
      <c r="O22" s="9">
        <v>16</v>
      </c>
      <c r="P22" s="12" t="s">
        <v>183</v>
      </c>
      <c r="Q22" s="9">
        <v>0</v>
      </c>
      <c r="R22" s="11">
        <v>0</v>
      </c>
      <c r="S22" s="10">
        <v>730.5</v>
      </c>
      <c r="T22" s="9">
        <v>16</v>
      </c>
      <c r="U22" s="14">
        <v>0.88888889551162698</v>
      </c>
      <c r="V22" s="12" t="s">
        <v>169</v>
      </c>
      <c r="W22" s="9"/>
      <c r="X22" s="9"/>
    </row>
    <row r="23" spans="1:24" ht="22" x14ac:dyDescent="0.35">
      <c r="A23" s="3">
        <v>19</v>
      </c>
      <c r="B23" s="3" t="s">
        <v>88</v>
      </c>
      <c r="C23" s="8">
        <v>43833.583333333299</v>
      </c>
      <c r="D23" s="8">
        <v>43836.583333333299</v>
      </c>
      <c r="E23" s="12" t="s">
        <v>51</v>
      </c>
      <c r="F23" s="12" t="s">
        <v>77</v>
      </c>
      <c r="G23" s="9">
        <v>672</v>
      </c>
      <c r="H23" s="9">
        <v>2252.5</v>
      </c>
      <c r="I23" s="9">
        <v>0</v>
      </c>
      <c r="J23" s="9">
        <v>0</v>
      </c>
      <c r="K23" s="9">
        <v>2924.5</v>
      </c>
      <c r="L23" s="3"/>
      <c r="M23" s="3" t="s">
        <v>24</v>
      </c>
      <c r="N23" s="9">
        <v>0</v>
      </c>
      <c r="O23" s="9">
        <v>2924.5</v>
      </c>
      <c r="P23" s="12" t="s">
        <v>51</v>
      </c>
      <c r="Q23" s="9">
        <v>0</v>
      </c>
      <c r="R23" s="11">
        <v>0</v>
      </c>
      <c r="S23" s="10">
        <v>0</v>
      </c>
      <c r="T23" s="9">
        <v>2924.5</v>
      </c>
      <c r="U23" s="14">
        <v>0</v>
      </c>
      <c r="V23" s="12" t="s">
        <v>170</v>
      </c>
      <c r="W23" s="9"/>
      <c r="X23" s="9"/>
    </row>
    <row r="24" spans="1:24" x14ac:dyDescent="0.35">
      <c r="A24" s="3">
        <v>20</v>
      </c>
      <c r="B24" s="3" t="s">
        <v>91</v>
      </c>
      <c r="C24" s="8">
        <v>43824.416666666701</v>
      </c>
      <c r="D24" s="8">
        <v>43825.416666666701</v>
      </c>
      <c r="E24" s="12" t="s">
        <v>61</v>
      </c>
      <c r="F24" s="12" t="s">
        <v>67</v>
      </c>
      <c r="G24" s="9">
        <v>56</v>
      </c>
      <c r="H24" s="9">
        <v>28602.5</v>
      </c>
      <c r="I24" s="9">
        <v>0</v>
      </c>
      <c r="J24" s="9">
        <v>0</v>
      </c>
      <c r="K24" s="9">
        <v>28658.5</v>
      </c>
      <c r="L24" s="7">
        <v>43811.458333333299</v>
      </c>
      <c r="M24" s="3" t="s">
        <v>174</v>
      </c>
      <c r="N24" s="9">
        <v>28642.5</v>
      </c>
      <c r="O24" s="9">
        <v>0</v>
      </c>
      <c r="P24" s="12" t="s">
        <v>24</v>
      </c>
      <c r="Q24" s="9">
        <v>0</v>
      </c>
      <c r="R24" s="11">
        <v>0</v>
      </c>
      <c r="S24" s="10">
        <v>28642.5</v>
      </c>
      <c r="T24" s="9">
        <v>0</v>
      </c>
      <c r="U24" s="14">
        <v>1</v>
      </c>
      <c r="V24" s="12" t="s">
        <v>166</v>
      </c>
      <c r="W24" s="9"/>
      <c r="X24" s="9"/>
    </row>
    <row r="25" spans="1:24" ht="22" x14ac:dyDescent="0.35">
      <c r="A25" s="3">
        <v>21</v>
      </c>
      <c r="B25" s="3" t="s">
        <v>95</v>
      </c>
      <c r="C25" s="8">
        <v>43830.583333333299</v>
      </c>
      <c r="D25" s="8">
        <v>43831.583333333299</v>
      </c>
      <c r="E25" s="12" t="s">
        <v>61</v>
      </c>
      <c r="F25" s="12" t="s">
        <v>36</v>
      </c>
      <c r="G25" s="9">
        <v>168</v>
      </c>
      <c r="H25" s="9">
        <v>3677.5</v>
      </c>
      <c r="I25" s="9">
        <v>0</v>
      </c>
      <c r="J25" s="9">
        <v>0</v>
      </c>
      <c r="K25" s="9">
        <v>3845.5</v>
      </c>
      <c r="L25" s="3"/>
      <c r="M25" s="3" t="s">
        <v>24</v>
      </c>
      <c r="N25" s="9">
        <v>0</v>
      </c>
      <c r="O25" s="9">
        <v>3845.5</v>
      </c>
      <c r="P25" s="12" t="s">
        <v>61</v>
      </c>
      <c r="Q25" s="9">
        <v>0</v>
      </c>
      <c r="R25" s="11">
        <v>0</v>
      </c>
      <c r="S25" s="10">
        <v>0</v>
      </c>
      <c r="T25" s="9">
        <v>3845.5</v>
      </c>
      <c r="U25" s="14">
        <v>0</v>
      </c>
      <c r="V25" s="12" t="s">
        <v>170</v>
      </c>
      <c r="W25" s="9"/>
      <c r="X25" s="9"/>
    </row>
    <row r="26" spans="1:24" x14ac:dyDescent="0.35">
      <c r="A26" s="3">
        <v>22</v>
      </c>
      <c r="B26" s="3" t="s">
        <v>98</v>
      </c>
      <c r="C26" s="8">
        <v>43825.416666666701</v>
      </c>
      <c r="D26" s="8">
        <v>43826.416666666701</v>
      </c>
      <c r="E26" s="12" t="s">
        <v>61</v>
      </c>
      <c r="F26" s="12" t="s">
        <v>67</v>
      </c>
      <c r="G26" s="9">
        <v>56</v>
      </c>
      <c r="H26" s="9">
        <v>602.5</v>
      </c>
      <c r="I26" s="9">
        <v>0</v>
      </c>
      <c r="J26" s="9">
        <v>0</v>
      </c>
      <c r="K26" s="9">
        <v>658.5</v>
      </c>
      <c r="L26" s="7">
        <v>43812.375</v>
      </c>
      <c r="M26" s="3" t="s">
        <v>124</v>
      </c>
      <c r="N26" s="9">
        <v>650.5</v>
      </c>
      <c r="O26" s="9">
        <v>0</v>
      </c>
      <c r="P26" s="12" t="s">
        <v>24</v>
      </c>
      <c r="Q26" s="9">
        <v>0</v>
      </c>
      <c r="R26" s="11">
        <v>0</v>
      </c>
      <c r="S26" s="10">
        <v>650.5</v>
      </c>
      <c r="T26" s="9">
        <v>0</v>
      </c>
      <c r="U26" s="14">
        <v>1</v>
      </c>
      <c r="V26" s="12" t="s">
        <v>166</v>
      </c>
      <c r="W26" s="9"/>
      <c r="X26" s="9"/>
    </row>
    <row r="27" spans="1:24" x14ac:dyDescent="0.35">
      <c r="A27" s="3">
        <v>23</v>
      </c>
      <c r="B27" s="3" t="s">
        <v>101</v>
      </c>
      <c r="C27" s="8">
        <v>43832.583333333299</v>
      </c>
      <c r="D27" s="8">
        <v>43833.583333333299</v>
      </c>
      <c r="E27" s="12" t="s">
        <v>61</v>
      </c>
      <c r="F27" s="12" t="s">
        <v>52</v>
      </c>
      <c r="G27" s="9">
        <v>224</v>
      </c>
      <c r="H27" s="9">
        <v>43602.5</v>
      </c>
      <c r="I27" s="9">
        <v>0</v>
      </c>
      <c r="J27" s="9">
        <v>0</v>
      </c>
      <c r="K27" s="9">
        <v>43826.5</v>
      </c>
      <c r="L27" s="3"/>
      <c r="M27" s="3" t="s">
        <v>24</v>
      </c>
      <c r="N27" s="9">
        <v>0</v>
      </c>
      <c r="O27" s="9">
        <v>43826.5</v>
      </c>
      <c r="P27" s="12" t="s">
        <v>61</v>
      </c>
      <c r="Q27" s="9">
        <v>0</v>
      </c>
      <c r="R27" s="11">
        <v>0</v>
      </c>
      <c r="S27" s="10">
        <v>0</v>
      </c>
      <c r="T27" s="9">
        <v>43826.5</v>
      </c>
      <c r="U27" s="14">
        <v>0</v>
      </c>
      <c r="V27" s="12" t="s">
        <v>170</v>
      </c>
      <c r="W27" s="9"/>
      <c r="X27" s="9"/>
    </row>
    <row r="28" spans="1:24" x14ac:dyDescent="0.35">
      <c r="A28" s="3">
        <v>24</v>
      </c>
      <c r="B28" s="3" t="s">
        <v>103</v>
      </c>
      <c r="C28" s="8">
        <v>43826.416666666701</v>
      </c>
      <c r="D28" s="8">
        <v>43827.416666666701</v>
      </c>
      <c r="E28" s="12" t="s">
        <v>61</v>
      </c>
      <c r="F28" s="12" t="s">
        <v>67</v>
      </c>
      <c r="G28" s="9">
        <v>56</v>
      </c>
      <c r="H28" s="9">
        <v>1577.5</v>
      </c>
      <c r="I28" s="9">
        <v>0</v>
      </c>
      <c r="J28" s="9">
        <v>0</v>
      </c>
      <c r="K28" s="9">
        <v>1633.5</v>
      </c>
      <c r="L28" s="7">
        <v>43812.666666666701</v>
      </c>
      <c r="M28" s="3" t="s">
        <v>61</v>
      </c>
      <c r="N28" s="9">
        <v>1633.5</v>
      </c>
      <c r="O28" s="9">
        <v>0</v>
      </c>
      <c r="P28" s="12" t="s">
        <v>24</v>
      </c>
      <c r="Q28" s="9">
        <v>0</v>
      </c>
      <c r="R28" s="11">
        <v>0</v>
      </c>
      <c r="S28" s="10">
        <v>1633.5</v>
      </c>
      <c r="T28" s="9">
        <v>0</v>
      </c>
      <c r="U28" s="14">
        <v>1</v>
      </c>
      <c r="V28" s="12" t="s">
        <v>166</v>
      </c>
      <c r="W28" s="9"/>
      <c r="X28" s="9"/>
    </row>
    <row r="29" spans="1:24" x14ac:dyDescent="0.35">
      <c r="A29" s="3">
        <v>25</v>
      </c>
      <c r="B29" s="3" t="s">
        <v>106</v>
      </c>
      <c r="C29" s="8">
        <v>43813.416666666701</v>
      </c>
      <c r="D29" s="8">
        <v>43815.416666666701</v>
      </c>
      <c r="E29" s="12" t="s">
        <v>61</v>
      </c>
      <c r="F29" s="12" t="s">
        <v>67</v>
      </c>
      <c r="G29" s="9">
        <v>56</v>
      </c>
      <c r="H29" s="9">
        <v>2524.5</v>
      </c>
      <c r="I29" s="9">
        <v>0</v>
      </c>
      <c r="J29" s="9">
        <v>0</v>
      </c>
      <c r="K29" s="9">
        <v>2580.5</v>
      </c>
      <c r="L29" s="7">
        <v>43812.541666666701</v>
      </c>
      <c r="M29" s="3" t="s">
        <v>61</v>
      </c>
      <c r="N29" s="9">
        <v>2580.5</v>
      </c>
      <c r="O29" s="9">
        <v>0</v>
      </c>
      <c r="P29" s="12" t="s">
        <v>24</v>
      </c>
      <c r="Q29" s="9">
        <v>0</v>
      </c>
      <c r="R29" s="11">
        <v>0</v>
      </c>
      <c r="S29" s="10">
        <v>2580.5</v>
      </c>
      <c r="T29" s="9">
        <v>0</v>
      </c>
      <c r="U29" s="14">
        <v>1</v>
      </c>
      <c r="V29" s="12" t="s">
        <v>166</v>
      </c>
      <c r="W29" s="9"/>
      <c r="X29" s="9"/>
    </row>
    <row r="30" spans="1:24" x14ac:dyDescent="0.35">
      <c r="A30" s="3">
        <v>26</v>
      </c>
      <c r="B30" s="3" t="s">
        <v>108</v>
      </c>
      <c r="C30" s="8">
        <v>43829.583333333299</v>
      </c>
      <c r="D30" s="8">
        <v>43830.583333333299</v>
      </c>
      <c r="E30" s="12" t="s">
        <v>61</v>
      </c>
      <c r="F30" s="12" t="s">
        <v>57</v>
      </c>
      <c r="G30" s="9">
        <v>112</v>
      </c>
      <c r="H30" s="9">
        <v>3442.30004882813</v>
      </c>
      <c r="I30" s="9">
        <v>0</v>
      </c>
      <c r="J30" s="9">
        <v>0</v>
      </c>
      <c r="K30" s="9">
        <v>3554.30004882813</v>
      </c>
      <c r="L30" s="3"/>
      <c r="M30" s="3" t="s">
        <v>24</v>
      </c>
      <c r="N30" s="9">
        <v>0</v>
      </c>
      <c r="O30" s="9">
        <v>3554.30004882813</v>
      </c>
      <c r="P30" s="12" t="s">
        <v>61</v>
      </c>
      <c r="Q30" s="9">
        <v>0</v>
      </c>
      <c r="R30" s="11">
        <v>0</v>
      </c>
      <c r="S30" s="10">
        <v>0</v>
      </c>
      <c r="T30" s="9">
        <v>3554.30004882813</v>
      </c>
      <c r="U30" s="14">
        <v>0</v>
      </c>
      <c r="V30" s="12" t="s">
        <v>170</v>
      </c>
      <c r="W30" s="9"/>
      <c r="X30" s="9"/>
    </row>
    <row r="31" spans="1:24" x14ac:dyDescent="0.35">
      <c r="A31" s="3">
        <v>27</v>
      </c>
      <c r="B31" s="3" t="s">
        <v>110</v>
      </c>
      <c r="C31" s="8">
        <v>43823.416666666701</v>
      </c>
      <c r="D31" s="8">
        <v>43824.416666666701</v>
      </c>
      <c r="E31" s="12" t="s">
        <v>61</v>
      </c>
      <c r="F31" s="12" t="s">
        <v>67</v>
      </c>
      <c r="G31" s="9">
        <v>56</v>
      </c>
      <c r="H31" s="9">
        <v>2972.5</v>
      </c>
      <c r="I31" s="9">
        <v>0</v>
      </c>
      <c r="J31" s="9">
        <v>0</v>
      </c>
      <c r="K31" s="9">
        <v>3028.5</v>
      </c>
      <c r="L31" s="7">
        <v>43810.625</v>
      </c>
      <c r="M31" s="3" t="s">
        <v>167</v>
      </c>
      <c r="N31" s="9">
        <v>3004.5</v>
      </c>
      <c r="O31" s="9">
        <v>0</v>
      </c>
      <c r="P31" s="12" t="s">
        <v>24</v>
      </c>
      <c r="Q31" s="9">
        <v>0</v>
      </c>
      <c r="R31" s="11">
        <v>0</v>
      </c>
      <c r="S31" s="10">
        <v>3004.5</v>
      </c>
      <c r="T31" s="9">
        <v>0</v>
      </c>
      <c r="U31" s="14">
        <v>1</v>
      </c>
      <c r="V31" s="12" t="s">
        <v>166</v>
      </c>
      <c r="W31" s="9"/>
      <c r="X31" s="9"/>
    </row>
    <row r="32" spans="1:24" x14ac:dyDescent="0.35">
      <c r="A32" s="3">
        <v>28</v>
      </c>
      <c r="B32" s="3" t="s">
        <v>113</v>
      </c>
      <c r="C32" s="8">
        <v>43832.583333333299</v>
      </c>
      <c r="D32" s="8">
        <v>43833.583333333299</v>
      </c>
      <c r="E32" s="12" t="s">
        <v>61</v>
      </c>
      <c r="F32" s="12" t="s">
        <v>67</v>
      </c>
      <c r="G32" s="9">
        <v>56</v>
      </c>
      <c r="H32" s="9">
        <v>1586.5</v>
      </c>
      <c r="I32" s="9">
        <v>0</v>
      </c>
      <c r="J32" s="9">
        <v>0</v>
      </c>
      <c r="K32" s="9">
        <v>1642.5</v>
      </c>
      <c r="L32" s="7">
        <v>43810.625</v>
      </c>
      <c r="M32" s="3" t="s">
        <v>185</v>
      </c>
      <c r="N32" s="9">
        <v>1666.5</v>
      </c>
      <c r="O32" s="9">
        <v>0</v>
      </c>
      <c r="P32" s="12" t="s">
        <v>24</v>
      </c>
      <c r="Q32" s="9">
        <v>0</v>
      </c>
      <c r="R32" s="11">
        <v>0</v>
      </c>
      <c r="S32" s="10">
        <v>1666.5</v>
      </c>
      <c r="T32" s="9">
        <v>0</v>
      </c>
      <c r="U32" s="14">
        <v>1</v>
      </c>
      <c r="V32" s="12" t="s">
        <v>166</v>
      </c>
      <c r="W32" s="9"/>
      <c r="X32" s="9"/>
    </row>
    <row r="33" spans="1:24" ht="22" x14ac:dyDescent="0.35">
      <c r="A33" s="3">
        <v>29</v>
      </c>
      <c r="B33" s="3" t="s">
        <v>117</v>
      </c>
      <c r="C33" s="8">
        <v>43833.583333333299</v>
      </c>
      <c r="D33" s="8">
        <v>43833.708333333299</v>
      </c>
      <c r="E33" s="12" t="s">
        <v>29</v>
      </c>
      <c r="F33" s="12" t="s">
        <v>67</v>
      </c>
      <c r="G33" s="9">
        <v>24</v>
      </c>
      <c r="H33" s="9">
        <v>602.5</v>
      </c>
      <c r="I33" s="9">
        <v>0</v>
      </c>
      <c r="J33" s="9">
        <v>0</v>
      </c>
      <c r="K33" s="9">
        <v>626.5</v>
      </c>
      <c r="L33" s="7">
        <v>43812.416666666701</v>
      </c>
      <c r="M33" s="3" t="s">
        <v>177</v>
      </c>
      <c r="N33" s="9">
        <v>618.5</v>
      </c>
      <c r="O33" s="9">
        <v>0</v>
      </c>
      <c r="P33" s="12" t="s">
        <v>24</v>
      </c>
      <c r="Q33" s="9">
        <v>0</v>
      </c>
      <c r="R33" s="11">
        <v>0</v>
      </c>
      <c r="S33" s="10">
        <v>618.5</v>
      </c>
      <c r="T33" s="9">
        <v>0</v>
      </c>
      <c r="U33" s="14">
        <v>1</v>
      </c>
      <c r="V33" s="12" t="s">
        <v>166</v>
      </c>
      <c r="W33" s="9"/>
      <c r="X33" s="9"/>
    </row>
    <row r="34" spans="1:24" x14ac:dyDescent="0.35">
      <c r="A34" s="3">
        <v>30</v>
      </c>
      <c r="B34" s="3" t="s">
        <v>120</v>
      </c>
      <c r="C34" s="8">
        <v>43838.583333333299</v>
      </c>
      <c r="D34" s="8">
        <v>43839.5</v>
      </c>
      <c r="E34" s="12" t="s">
        <v>124</v>
      </c>
      <c r="F34" s="12" t="s">
        <v>67</v>
      </c>
      <c r="G34" s="9">
        <v>48</v>
      </c>
      <c r="H34" s="9">
        <v>602.5</v>
      </c>
      <c r="I34" s="9">
        <v>0</v>
      </c>
      <c r="J34" s="9">
        <v>0</v>
      </c>
      <c r="K34" s="9">
        <v>650.5</v>
      </c>
      <c r="L34" s="3"/>
      <c r="M34" s="3" t="s">
        <v>24</v>
      </c>
      <c r="N34" s="9">
        <v>0</v>
      </c>
      <c r="O34" s="9">
        <v>650.5</v>
      </c>
      <c r="P34" s="12" t="s">
        <v>124</v>
      </c>
      <c r="Q34" s="9">
        <v>0</v>
      </c>
      <c r="R34" s="11">
        <v>0</v>
      </c>
      <c r="S34" s="10">
        <v>0</v>
      </c>
      <c r="T34" s="9">
        <v>650.5</v>
      </c>
      <c r="U34" s="14">
        <v>0</v>
      </c>
      <c r="V34" s="12" t="s">
        <v>170</v>
      </c>
      <c r="W34" s="9"/>
      <c r="X34" s="9"/>
    </row>
    <row r="35" spans="1:24" x14ac:dyDescent="0.35">
      <c r="A35" s="3">
        <v>31</v>
      </c>
      <c r="B35" s="3" t="s">
        <v>125</v>
      </c>
      <c r="C35" s="8">
        <v>43839.5</v>
      </c>
      <c r="D35" s="8">
        <v>43839.5</v>
      </c>
      <c r="E35" s="12" t="s">
        <v>24</v>
      </c>
      <c r="F35" s="12"/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3"/>
      <c r="M35" s="3" t="s">
        <v>24</v>
      </c>
      <c r="N35" s="9">
        <v>0</v>
      </c>
      <c r="O35" s="9">
        <v>0</v>
      </c>
      <c r="P35" s="12" t="s">
        <v>24</v>
      </c>
      <c r="Q35" s="9">
        <v>0</v>
      </c>
      <c r="R35" s="11">
        <v>0</v>
      </c>
      <c r="S35" s="10">
        <v>0</v>
      </c>
      <c r="T35" s="9">
        <v>0</v>
      </c>
      <c r="U35" s="14">
        <v>0</v>
      </c>
      <c r="V35" s="12" t="s">
        <v>170</v>
      </c>
      <c r="W35" s="9"/>
      <c r="X35" s="9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Blad21"/>
  <dimension ref="A1:X35"/>
  <sheetViews>
    <sheetView topLeftCell="C1" workbookViewId="0">
      <selection activeCell="W5" sqref="W5:X35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150</v>
      </c>
      <c r="C1" s="7">
        <v>43826.708333333299</v>
      </c>
      <c r="E1" s="1" t="s">
        <v>151</v>
      </c>
      <c r="F1" s="4" t="s">
        <v>227</v>
      </c>
    </row>
    <row r="3" spans="1:24" x14ac:dyDescent="0.35">
      <c r="A3" s="24" t="s">
        <v>0</v>
      </c>
      <c r="B3" s="24"/>
      <c r="C3" s="24" t="s">
        <v>2</v>
      </c>
      <c r="D3" s="24"/>
      <c r="E3" s="24"/>
      <c r="F3" s="24" t="s">
        <v>3</v>
      </c>
      <c r="G3" s="24"/>
      <c r="H3" s="24" t="s">
        <v>4</v>
      </c>
      <c r="I3" s="24"/>
      <c r="J3" s="24"/>
      <c r="K3" s="24"/>
      <c r="L3" s="24" t="s">
        <v>152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153</v>
      </c>
      <c r="M4" s="1" t="s">
        <v>154</v>
      </c>
      <c r="N4" s="1" t="s">
        <v>155</v>
      </c>
      <c r="O4" s="1" t="s">
        <v>156</v>
      </c>
      <c r="P4" s="1" t="s">
        <v>157</v>
      </c>
      <c r="Q4" s="1" t="s">
        <v>158</v>
      </c>
      <c r="R4" s="1" t="s">
        <v>159</v>
      </c>
      <c r="S4" s="1" t="s">
        <v>160</v>
      </c>
      <c r="T4" s="1" t="s">
        <v>161</v>
      </c>
      <c r="U4" s="1" t="s">
        <v>162</v>
      </c>
      <c r="V4" s="1" t="s">
        <v>152</v>
      </c>
      <c r="W4" s="1" t="s">
        <v>163</v>
      </c>
      <c r="X4" s="1" t="s">
        <v>164</v>
      </c>
    </row>
    <row r="5" spans="1:24" x14ac:dyDescent="0.35">
      <c r="A5" s="2">
        <v>0</v>
      </c>
      <c r="B5" s="3" t="s">
        <v>18</v>
      </c>
      <c r="C5" s="5">
        <v>43808.375</v>
      </c>
      <c r="D5" s="5">
        <v>43839.5</v>
      </c>
      <c r="E5" s="2" t="s">
        <v>20</v>
      </c>
      <c r="F5" s="2"/>
      <c r="G5" s="6"/>
      <c r="H5" s="6">
        <v>118411.30004882799</v>
      </c>
      <c r="I5" s="6"/>
      <c r="J5" s="6"/>
      <c r="K5" s="6">
        <v>126955.30004882799</v>
      </c>
      <c r="L5" s="2"/>
      <c r="M5" s="2" t="s">
        <v>228</v>
      </c>
      <c r="N5" s="6"/>
      <c r="O5" s="6"/>
      <c r="P5" s="2"/>
      <c r="Q5" s="6"/>
      <c r="R5" s="6"/>
      <c r="S5" s="6">
        <v>72285.5</v>
      </c>
      <c r="T5" s="6"/>
      <c r="U5" s="13">
        <v>0.57433819423139298</v>
      </c>
      <c r="V5" s="2"/>
      <c r="W5" s="6"/>
      <c r="X5" s="6"/>
    </row>
    <row r="6" spans="1:24" x14ac:dyDescent="0.35">
      <c r="A6" s="3">
        <v>1</v>
      </c>
      <c r="B6" s="3" t="s">
        <v>21</v>
      </c>
      <c r="C6" s="8">
        <v>43808.375</v>
      </c>
      <c r="D6" s="8">
        <v>43806.708333333299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43808.375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166</v>
      </c>
      <c r="W6" s="9"/>
      <c r="X6" s="9"/>
    </row>
    <row r="7" spans="1:24" ht="22" x14ac:dyDescent="0.35">
      <c r="A7" s="3">
        <v>2</v>
      </c>
      <c r="B7" s="3" t="s">
        <v>25</v>
      </c>
      <c r="C7" s="8">
        <v>43808.375</v>
      </c>
      <c r="D7" s="8">
        <v>43808.5</v>
      </c>
      <c r="E7" s="12" t="s">
        <v>29</v>
      </c>
      <c r="F7" s="12" t="s">
        <v>30</v>
      </c>
      <c r="G7" s="9">
        <v>36</v>
      </c>
      <c r="H7" s="9">
        <v>931.5</v>
      </c>
      <c r="I7" s="9">
        <v>0</v>
      </c>
      <c r="J7" s="9">
        <v>0</v>
      </c>
      <c r="K7" s="9">
        <v>967.5</v>
      </c>
      <c r="L7" s="7">
        <v>43808.375</v>
      </c>
      <c r="M7" s="3" t="s">
        <v>29</v>
      </c>
      <c r="N7" s="9">
        <v>967.5</v>
      </c>
      <c r="O7" s="9">
        <v>0</v>
      </c>
      <c r="P7" s="12" t="s">
        <v>24</v>
      </c>
      <c r="Q7" s="9">
        <v>0</v>
      </c>
      <c r="R7" s="11">
        <v>0</v>
      </c>
      <c r="S7" s="10">
        <v>967.5</v>
      </c>
      <c r="T7" s="9">
        <v>0</v>
      </c>
      <c r="U7" s="14">
        <v>1</v>
      </c>
      <c r="V7" s="12" t="s">
        <v>166</v>
      </c>
      <c r="W7" s="9"/>
      <c r="X7" s="9"/>
    </row>
    <row r="8" spans="1:24" x14ac:dyDescent="0.35">
      <c r="A8" s="3">
        <v>3</v>
      </c>
      <c r="B8" s="3" t="s">
        <v>31</v>
      </c>
      <c r="C8" s="8">
        <v>43808.541666666701</v>
      </c>
      <c r="D8" s="8">
        <v>43813.5</v>
      </c>
      <c r="E8" s="12" t="s">
        <v>35</v>
      </c>
      <c r="F8" s="12" t="s">
        <v>36</v>
      </c>
      <c r="G8" s="9">
        <v>840</v>
      </c>
      <c r="H8" s="9">
        <v>950.5</v>
      </c>
      <c r="I8" s="9">
        <v>0</v>
      </c>
      <c r="J8" s="9">
        <v>0</v>
      </c>
      <c r="K8" s="9">
        <v>1790.5</v>
      </c>
      <c r="L8" s="7">
        <v>43808.541666666701</v>
      </c>
      <c r="M8" s="3" t="s">
        <v>181</v>
      </c>
      <c r="N8" s="9">
        <v>1550.5</v>
      </c>
      <c r="O8" s="9">
        <v>0</v>
      </c>
      <c r="P8" s="12" t="s">
        <v>24</v>
      </c>
      <c r="Q8" s="9">
        <v>0</v>
      </c>
      <c r="R8" s="11">
        <v>0</v>
      </c>
      <c r="S8" s="10">
        <v>1550.5</v>
      </c>
      <c r="T8" s="9">
        <v>0</v>
      </c>
      <c r="U8" s="14">
        <v>1</v>
      </c>
      <c r="V8" s="12" t="s">
        <v>166</v>
      </c>
      <c r="W8" s="9"/>
      <c r="X8" s="9"/>
    </row>
    <row r="9" spans="1:24" x14ac:dyDescent="0.35">
      <c r="A9" s="3">
        <v>4</v>
      </c>
      <c r="B9" s="3" t="s">
        <v>37</v>
      </c>
      <c r="C9" s="8">
        <v>43813.541666666701</v>
      </c>
      <c r="D9" s="8">
        <v>43816.625</v>
      </c>
      <c r="E9" s="12" t="s">
        <v>41</v>
      </c>
      <c r="F9" s="12" t="s">
        <v>42</v>
      </c>
      <c r="G9" s="9">
        <v>640</v>
      </c>
      <c r="H9" s="9">
        <v>8819</v>
      </c>
      <c r="I9" s="9">
        <v>0</v>
      </c>
      <c r="J9" s="9">
        <v>0</v>
      </c>
      <c r="K9" s="9">
        <v>9459</v>
      </c>
      <c r="L9" s="7">
        <v>43812.375</v>
      </c>
      <c r="M9" s="3" t="s">
        <v>185</v>
      </c>
      <c r="N9" s="9">
        <v>9219</v>
      </c>
      <c r="O9" s="9">
        <v>0</v>
      </c>
      <c r="P9" s="12" t="s">
        <v>24</v>
      </c>
      <c r="Q9" s="9">
        <v>0</v>
      </c>
      <c r="R9" s="11">
        <v>0</v>
      </c>
      <c r="S9" s="10">
        <v>9219</v>
      </c>
      <c r="T9" s="9">
        <v>0</v>
      </c>
      <c r="U9" s="14">
        <v>1</v>
      </c>
      <c r="V9" s="12" t="s">
        <v>166</v>
      </c>
      <c r="W9" s="9"/>
      <c r="X9" s="9"/>
    </row>
    <row r="10" spans="1:24" ht="22" x14ac:dyDescent="0.35">
      <c r="A10" s="3">
        <v>5</v>
      </c>
      <c r="B10" s="3" t="s">
        <v>43</v>
      </c>
      <c r="C10" s="8">
        <v>43816.625</v>
      </c>
      <c r="D10" s="8">
        <v>43827.708333333299</v>
      </c>
      <c r="E10" s="12" t="s">
        <v>47</v>
      </c>
      <c r="F10" s="12" t="s">
        <v>42</v>
      </c>
      <c r="G10" s="9">
        <v>2880</v>
      </c>
      <c r="H10" s="9">
        <v>3166.5</v>
      </c>
      <c r="I10" s="9">
        <v>0</v>
      </c>
      <c r="J10" s="9">
        <v>0</v>
      </c>
      <c r="K10" s="9">
        <v>6046.5</v>
      </c>
      <c r="L10" s="7">
        <v>43813.541666666701</v>
      </c>
      <c r="M10" s="3" t="s">
        <v>224</v>
      </c>
      <c r="N10" s="9">
        <v>5806.5</v>
      </c>
      <c r="O10" s="9">
        <v>0</v>
      </c>
      <c r="P10" s="12" t="s">
        <v>24</v>
      </c>
      <c r="Q10" s="9">
        <v>0</v>
      </c>
      <c r="R10" s="11">
        <v>0</v>
      </c>
      <c r="S10" s="10">
        <v>5806.5</v>
      </c>
      <c r="T10" s="9">
        <v>0</v>
      </c>
      <c r="U10" s="14">
        <v>1</v>
      </c>
      <c r="V10" s="12" t="s">
        <v>166</v>
      </c>
      <c r="W10" s="9"/>
      <c r="X10" s="9"/>
    </row>
    <row r="11" spans="1:24" x14ac:dyDescent="0.35">
      <c r="A11" s="3">
        <v>6</v>
      </c>
      <c r="B11" s="3" t="s">
        <v>48</v>
      </c>
      <c r="C11" s="8">
        <v>43830.583333333299</v>
      </c>
      <c r="D11" s="8">
        <v>43832.583333333299</v>
      </c>
      <c r="E11" s="12" t="s">
        <v>51</v>
      </c>
      <c r="F11" s="12" t="s">
        <v>52</v>
      </c>
      <c r="G11" s="9">
        <v>448</v>
      </c>
      <c r="H11" s="9">
        <v>1802.5</v>
      </c>
      <c r="I11" s="9">
        <v>0</v>
      </c>
      <c r="J11" s="9">
        <v>0</v>
      </c>
      <c r="K11" s="9">
        <v>2250.5</v>
      </c>
      <c r="L11" s="7">
        <v>43808.541666666701</v>
      </c>
      <c r="M11" s="3" t="s">
        <v>41</v>
      </c>
      <c r="N11" s="9">
        <v>2314.5</v>
      </c>
      <c r="O11" s="9">
        <v>0</v>
      </c>
      <c r="P11" s="12" t="s">
        <v>24</v>
      </c>
      <c r="Q11" s="9">
        <v>0</v>
      </c>
      <c r="R11" s="11">
        <v>0</v>
      </c>
      <c r="S11" s="10">
        <v>2314.5</v>
      </c>
      <c r="T11" s="9">
        <v>0</v>
      </c>
      <c r="U11" s="14">
        <v>1</v>
      </c>
      <c r="V11" s="12" t="s">
        <v>166</v>
      </c>
      <c r="W11" s="9"/>
      <c r="X11" s="9"/>
    </row>
    <row r="12" spans="1:24" x14ac:dyDescent="0.35">
      <c r="A12" s="3">
        <v>7</v>
      </c>
      <c r="B12" s="3" t="s">
        <v>53</v>
      </c>
      <c r="C12" s="8">
        <v>43815.416666666701</v>
      </c>
      <c r="D12" s="8">
        <v>43822.416666666701</v>
      </c>
      <c r="E12" s="12" t="s">
        <v>56</v>
      </c>
      <c r="F12" s="12" t="s">
        <v>57</v>
      </c>
      <c r="G12" s="9">
        <v>672</v>
      </c>
      <c r="H12" s="9">
        <v>1970.5</v>
      </c>
      <c r="I12" s="9">
        <v>0</v>
      </c>
      <c r="J12" s="9">
        <v>0</v>
      </c>
      <c r="K12" s="9">
        <v>2642.5</v>
      </c>
      <c r="L12" s="7">
        <v>43815.541666666701</v>
      </c>
      <c r="M12" s="3" t="s">
        <v>193</v>
      </c>
      <c r="N12" s="9">
        <v>2866.5</v>
      </c>
      <c r="O12" s="9">
        <v>0</v>
      </c>
      <c r="P12" s="12" t="s">
        <v>24</v>
      </c>
      <c r="Q12" s="9">
        <v>0</v>
      </c>
      <c r="R12" s="11">
        <v>0</v>
      </c>
      <c r="S12" s="10">
        <v>2866.5</v>
      </c>
      <c r="T12" s="9">
        <v>0</v>
      </c>
      <c r="U12" s="14">
        <v>1</v>
      </c>
      <c r="V12" s="12" t="s">
        <v>166</v>
      </c>
      <c r="W12" s="9"/>
      <c r="X12" s="9"/>
    </row>
    <row r="13" spans="1:24" ht="22" x14ac:dyDescent="0.35">
      <c r="A13" s="3">
        <v>8</v>
      </c>
      <c r="B13" s="3" t="s">
        <v>58</v>
      </c>
      <c r="C13" s="8">
        <v>43831.583333333299</v>
      </c>
      <c r="D13" s="8">
        <v>43832.583333333299</v>
      </c>
      <c r="E13" s="12" t="s">
        <v>61</v>
      </c>
      <c r="F13" s="12" t="s">
        <v>57</v>
      </c>
      <c r="G13" s="9">
        <v>112</v>
      </c>
      <c r="H13" s="9">
        <v>602.5</v>
      </c>
      <c r="I13" s="9">
        <v>0</v>
      </c>
      <c r="J13" s="9">
        <v>0</v>
      </c>
      <c r="K13" s="9">
        <v>714.5</v>
      </c>
      <c r="L13" s="7">
        <v>43824.666666666701</v>
      </c>
      <c r="M13" s="3" t="s">
        <v>178</v>
      </c>
      <c r="N13" s="9">
        <v>730.5</v>
      </c>
      <c r="O13" s="9">
        <v>0</v>
      </c>
      <c r="P13" s="12" t="s">
        <v>24</v>
      </c>
      <c r="Q13" s="9">
        <v>0</v>
      </c>
      <c r="R13" s="11">
        <v>0</v>
      </c>
      <c r="S13" s="10">
        <v>730.5</v>
      </c>
      <c r="T13" s="9">
        <v>0</v>
      </c>
      <c r="U13" s="14">
        <v>1</v>
      </c>
      <c r="V13" s="12" t="s">
        <v>166</v>
      </c>
      <c r="W13" s="9"/>
      <c r="X13" s="9"/>
    </row>
    <row r="14" spans="1:24" x14ac:dyDescent="0.35">
      <c r="A14" s="3">
        <v>9</v>
      </c>
      <c r="B14" s="3" t="s">
        <v>62</v>
      </c>
      <c r="C14" s="8">
        <v>43829.583333333299</v>
      </c>
      <c r="D14" s="8">
        <v>43830.583333333299</v>
      </c>
      <c r="E14" s="12" t="s">
        <v>61</v>
      </c>
      <c r="F14" s="12" t="s">
        <v>57</v>
      </c>
      <c r="G14" s="9">
        <v>112</v>
      </c>
      <c r="H14" s="9">
        <v>602.5</v>
      </c>
      <c r="I14" s="9">
        <v>0</v>
      </c>
      <c r="J14" s="9">
        <v>0</v>
      </c>
      <c r="K14" s="9">
        <v>714.5</v>
      </c>
      <c r="L14" s="3"/>
      <c r="M14" s="3" t="s">
        <v>24</v>
      </c>
      <c r="N14" s="9">
        <v>0</v>
      </c>
      <c r="O14" s="9">
        <v>714.5</v>
      </c>
      <c r="P14" s="12" t="s">
        <v>61</v>
      </c>
      <c r="Q14" s="9">
        <v>0</v>
      </c>
      <c r="R14" s="11">
        <v>0</v>
      </c>
      <c r="S14" s="10">
        <v>0</v>
      </c>
      <c r="T14" s="9">
        <v>714.5</v>
      </c>
      <c r="U14" s="14">
        <v>0</v>
      </c>
      <c r="V14" s="12" t="s">
        <v>170</v>
      </c>
      <c r="W14" s="9"/>
      <c r="X14" s="9"/>
    </row>
    <row r="15" spans="1:24" ht="22" x14ac:dyDescent="0.35">
      <c r="A15" s="3">
        <v>10</v>
      </c>
      <c r="B15" s="3" t="s">
        <v>64</v>
      </c>
      <c r="C15" s="8">
        <v>43829.375</v>
      </c>
      <c r="D15" s="8">
        <v>43829.708333333299</v>
      </c>
      <c r="E15" s="12" t="s">
        <v>61</v>
      </c>
      <c r="F15" s="12" t="s">
        <v>67</v>
      </c>
      <c r="G15" s="9">
        <v>56</v>
      </c>
      <c r="H15" s="9">
        <v>602.5</v>
      </c>
      <c r="I15" s="9">
        <v>0</v>
      </c>
      <c r="J15" s="9">
        <v>0</v>
      </c>
      <c r="K15" s="9">
        <v>658.5</v>
      </c>
      <c r="L15" s="7">
        <v>43824.666666666701</v>
      </c>
      <c r="M15" s="3" t="s">
        <v>61</v>
      </c>
      <c r="N15" s="9">
        <v>658.5</v>
      </c>
      <c r="O15" s="9">
        <v>0</v>
      </c>
      <c r="P15" s="12" t="s">
        <v>24</v>
      </c>
      <c r="Q15" s="9">
        <v>0</v>
      </c>
      <c r="R15" s="11">
        <v>0</v>
      </c>
      <c r="S15" s="10">
        <v>658.5</v>
      </c>
      <c r="T15" s="9">
        <v>0</v>
      </c>
      <c r="U15" s="14">
        <v>1</v>
      </c>
      <c r="V15" s="12" t="s">
        <v>166</v>
      </c>
      <c r="W15" s="9"/>
      <c r="X15" s="9"/>
    </row>
    <row r="16" spans="1:24" x14ac:dyDescent="0.35">
      <c r="A16" s="3">
        <v>11</v>
      </c>
      <c r="B16" s="3" t="s">
        <v>68</v>
      </c>
      <c r="C16" s="8">
        <v>43813.416666666701</v>
      </c>
      <c r="D16" s="8">
        <v>43815.416666666701</v>
      </c>
      <c r="E16" s="12" t="s">
        <v>61</v>
      </c>
      <c r="F16" s="12" t="s">
        <v>67</v>
      </c>
      <c r="G16" s="9">
        <v>56</v>
      </c>
      <c r="H16" s="9">
        <v>602.5</v>
      </c>
      <c r="I16" s="9">
        <v>0</v>
      </c>
      <c r="J16" s="9">
        <v>0</v>
      </c>
      <c r="K16" s="9">
        <v>658.5</v>
      </c>
      <c r="L16" s="7">
        <v>43825.666666666701</v>
      </c>
      <c r="M16" s="3" t="s">
        <v>178</v>
      </c>
      <c r="N16" s="9">
        <v>666.5</v>
      </c>
      <c r="O16" s="9">
        <v>8</v>
      </c>
      <c r="P16" s="12" t="s">
        <v>183</v>
      </c>
      <c r="Q16" s="9">
        <v>0</v>
      </c>
      <c r="R16" s="11">
        <v>0</v>
      </c>
      <c r="S16" s="10">
        <v>666.5</v>
      </c>
      <c r="T16" s="9">
        <v>8</v>
      </c>
      <c r="U16" s="14">
        <v>0.88888889551162698</v>
      </c>
      <c r="V16" s="12" t="s">
        <v>169</v>
      </c>
      <c r="W16" s="9"/>
      <c r="X16" s="9"/>
    </row>
    <row r="17" spans="1:24" ht="22" x14ac:dyDescent="0.35">
      <c r="A17" s="3">
        <v>13</v>
      </c>
      <c r="B17" s="3" t="s">
        <v>70</v>
      </c>
      <c r="C17" s="8">
        <v>43823.416666666701</v>
      </c>
      <c r="D17" s="8">
        <v>43823.583333333299</v>
      </c>
      <c r="E17" s="12" t="s">
        <v>29</v>
      </c>
      <c r="F17" s="12" t="s">
        <v>67</v>
      </c>
      <c r="G17" s="9">
        <v>24</v>
      </c>
      <c r="H17" s="9">
        <v>602.5</v>
      </c>
      <c r="I17" s="9">
        <v>0</v>
      </c>
      <c r="J17" s="9">
        <v>0</v>
      </c>
      <c r="K17" s="9">
        <v>626.5</v>
      </c>
      <c r="L17" s="7">
        <v>43811.458333333299</v>
      </c>
      <c r="M17" s="3" t="s">
        <v>29</v>
      </c>
      <c r="N17" s="9">
        <v>626.5</v>
      </c>
      <c r="O17" s="9">
        <v>0</v>
      </c>
      <c r="P17" s="12" t="s">
        <v>24</v>
      </c>
      <c r="Q17" s="9">
        <v>0</v>
      </c>
      <c r="R17" s="11">
        <v>0</v>
      </c>
      <c r="S17" s="10">
        <v>626.5</v>
      </c>
      <c r="T17" s="9">
        <v>0</v>
      </c>
      <c r="U17" s="14">
        <v>1</v>
      </c>
      <c r="V17" s="12" t="s">
        <v>166</v>
      </c>
      <c r="W17" s="9"/>
      <c r="X17" s="9"/>
    </row>
    <row r="18" spans="1:24" x14ac:dyDescent="0.35">
      <c r="A18" s="3">
        <v>14</v>
      </c>
      <c r="B18" s="3" t="s">
        <v>74</v>
      </c>
      <c r="C18" s="8">
        <v>43836.583333333299</v>
      </c>
      <c r="D18" s="8">
        <v>43838.583333333299</v>
      </c>
      <c r="E18" s="12" t="s">
        <v>51</v>
      </c>
      <c r="F18" s="12" t="s">
        <v>77</v>
      </c>
      <c r="G18" s="9">
        <v>672</v>
      </c>
      <c r="H18" s="9">
        <v>602.5</v>
      </c>
      <c r="I18" s="9">
        <v>0</v>
      </c>
      <c r="J18" s="9">
        <v>0</v>
      </c>
      <c r="K18" s="9">
        <v>1274.5</v>
      </c>
      <c r="L18" s="3"/>
      <c r="M18" s="3" t="s">
        <v>24</v>
      </c>
      <c r="N18" s="9">
        <v>0</v>
      </c>
      <c r="O18" s="9">
        <v>1274.5</v>
      </c>
      <c r="P18" s="12" t="s">
        <v>51</v>
      </c>
      <c r="Q18" s="9">
        <v>0</v>
      </c>
      <c r="R18" s="11">
        <v>0</v>
      </c>
      <c r="S18" s="10">
        <v>0</v>
      </c>
      <c r="T18" s="9">
        <v>1274.5</v>
      </c>
      <c r="U18" s="14">
        <v>0</v>
      </c>
      <c r="V18" s="12" t="s">
        <v>170</v>
      </c>
      <c r="W18" s="9"/>
      <c r="X18" s="9"/>
    </row>
    <row r="19" spans="1:24" x14ac:dyDescent="0.35">
      <c r="A19" s="3">
        <v>15</v>
      </c>
      <c r="B19" s="3" t="s">
        <v>78</v>
      </c>
      <c r="C19" s="8">
        <v>43829.583333333299</v>
      </c>
      <c r="D19" s="8">
        <v>43830.583333333299</v>
      </c>
      <c r="E19" s="12" t="s">
        <v>61</v>
      </c>
      <c r="F19" s="12" t="s">
        <v>57</v>
      </c>
      <c r="G19" s="9">
        <v>112</v>
      </c>
      <c r="H19" s="9">
        <v>602.5</v>
      </c>
      <c r="I19" s="9">
        <v>0</v>
      </c>
      <c r="J19" s="9">
        <v>0</v>
      </c>
      <c r="K19" s="9">
        <v>714.5</v>
      </c>
      <c r="L19" s="7">
        <v>43824.666666666701</v>
      </c>
      <c r="M19" s="3" t="s">
        <v>182</v>
      </c>
      <c r="N19" s="9">
        <v>746.5</v>
      </c>
      <c r="O19" s="9">
        <v>0</v>
      </c>
      <c r="P19" s="12" t="s">
        <v>24</v>
      </c>
      <c r="Q19" s="9">
        <v>0</v>
      </c>
      <c r="R19" s="11">
        <v>0</v>
      </c>
      <c r="S19" s="10">
        <v>746.5</v>
      </c>
      <c r="T19" s="9">
        <v>0</v>
      </c>
      <c r="U19" s="14">
        <v>1</v>
      </c>
      <c r="V19" s="12" t="s">
        <v>166</v>
      </c>
      <c r="W19" s="9"/>
      <c r="X19" s="9"/>
    </row>
    <row r="20" spans="1:24" x14ac:dyDescent="0.35">
      <c r="A20" s="3">
        <v>16</v>
      </c>
      <c r="B20" s="3" t="s">
        <v>80</v>
      </c>
      <c r="C20" s="8">
        <v>43827.416666666701</v>
      </c>
      <c r="D20" s="8">
        <v>43827.583333333299</v>
      </c>
      <c r="E20" s="12" t="s">
        <v>29</v>
      </c>
      <c r="F20" s="12" t="s">
        <v>57</v>
      </c>
      <c r="G20" s="9">
        <v>48</v>
      </c>
      <c r="H20" s="9">
        <v>602.5</v>
      </c>
      <c r="I20" s="9">
        <v>0</v>
      </c>
      <c r="J20" s="9">
        <v>0</v>
      </c>
      <c r="K20" s="9">
        <v>650.5</v>
      </c>
      <c r="L20" s="7">
        <v>43813.666666666701</v>
      </c>
      <c r="M20" s="3" t="s">
        <v>167</v>
      </c>
      <c r="N20" s="9">
        <v>666.5</v>
      </c>
      <c r="O20" s="9">
        <v>0</v>
      </c>
      <c r="P20" s="12" t="s">
        <v>24</v>
      </c>
      <c r="Q20" s="9">
        <v>0</v>
      </c>
      <c r="R20" s="11">
        <v>0</v>
      </c>
      <c r="S20" s="10">
        <v>666.5</v>
      </c>
      <c r="T20" s="9">
        <v>0</v>
      </c>
      <c r="U20" s="14">
        <v>1</v>
      </c>
      <c r="V20" s="12" t="s">
        <v>166</v>
      </c>
      <c r="W20" s="9"/>
      <c r="X20" s="9"/>
    </row>
    <row r="21" spans="1:24" x14ac:dyDescent="0.35">
      <c r="A21" s="3">
        <v>17</v>
      </c>
      <c r="B21" s="3" t="s">
        <v>82</v>
      </c>
      <c r="C21" s="8">
        <v>43822.416666666701</v>
      </c>
      <c r="D21" s="8">
        <v>43823.416666666701</v>
      </c>
      <c r="E21" s="12" t="s">
        <v>61</v>
      </c>
      <c r="F21" s="12" t="s">
        <v>85</v>
      </c>
      <c r="G21" s="9">
        <v>140</v>
      </c>
      <c r="H21" s="9">
        <v>3302.5</v>
      </c>
      <c r="I21" s="9">
        <v>0</v>
      </c>
      <c r="J21" s="9">
        <v>0</v>
      </c>
      <c r="K21" s="9">
        <v>3442.5</v>
      </c>
      <c r="L21" s="7">
        <v>43810.625</v>
      </c>
      <c r="M21" s="3" t="s">
        <v>167</v>
      </c>
      <c r="N21" s="9">
        <v>3382.5</v>
      </c>
      <c r="O21" s="9">
        <v>0</v>
      </c>
      <c r="P21" s="12" t="s">
        <v>24</v>
      </c>
      <c r="Q21" s="9">
        <v>0</v>
      </c>
      <c r="R21" s="11">
        <v>0</v>
      </c>
      <c r="S21" s="10">
        <v>3382.5</v>
      </c>
      <c r="T21" s="9">
        <v>0</v>
      </c>
      <c r="U21" s="14">
        <v>1</v>
      </c>
      <c r="V21" s="12" t="s">
        <v>166</v>
      </c>
      <c r="W21" s="9"/>
      <c r="X21" s="9"/>
    </row>
    <row r="22" spans="1:24" x14ac:dyDescent="0.35">
      <c r="A22" s="3">
        <v>18</v>
      </c>
      <c r="B22" s="3" t="s">
        <v>86</v>
      </c>
      <c r="C22" s="8">
        <v>43832.583333333299</v>
      </c>
      <c r="D22" s="8">
        <v>43833.583333333299</v>
      </c>
      <c r="E22" s="12" t="s">
        <v>61</v>
      </c>
      <c r="F22" s="12" t="s">
        <v>57</v>
      </c>
      <c r="G22" s="9">
        <v>112</v>
      </c>
      <c r="H22" s="9">
        <v>602.5</v>
      </c>
      <c r="I22" s="9">
        <v>0</v>
      </c>
      <c r="J22" s="9">
        <v>0</v>
      </c>
      <c r="K22" s="9">
        <v>714.5</v>
      </c>
      <c r="L22" s="7">
        <v>43824.666666666701</v>
      </c>
      <c r="M22" s="3" t="s">
        <v>182</v>
      </c>
      <c r="N22" s="9">
        <v>746.5</v>
      </c>
      <c r="O22" s="9">
        <v>0</v>
      </c>
      <c r="P22" s="12" t="s">
        <v>24</v>
      </c>
      <c r="Q22" s="9">
        <v>0</v>
      </c>
      <c r="R22" s="11">
        <v>0</v>
      </c>
      <c r="S22" s="10">
        <v>746.5</v>
      </c>
      <c r="T22" s="9">
        <v>0</v>
      </c>
      <c r="U22" s="14">
        <v>1</v>
      </c>
      <c r="V22" s="12" t="s">
        <v>166</v>
      </c>
      <c r="W22" s="9"/>
      <c r="X22" s="9"/>
    </row>
    <row r="23" spans="1:24" ht="22" x14ac:dyDescent="0.35">
      <c r="A23" s="3">
        <v>19</v>
      </c>
      <c r="B23" s="3" t="s">
        <v>88</v>
      </c>
      <c r="C23" s="8">
        <v>43833.583333333299</v>
      </c>
      <c r="D23" s="8">
        <v>43836.583333333299</v>
      </c>
      <c r="E23" s="12" t="s">
        <v>51</v>
      </c>
      <c r="F23" s="12" t="s">
        <v>77</v>
      </c>
      <c r="G23" s="9">
        <v>672</v>
      </c>
      <c r="H23" s="9">
        <v>2252.5</v>
      </c>
      <c r="I23" s="9">
        <v>0</v>
      </c>
      <c r="J23" s="9">
        <v>0</v>
      </c>
      <c r="K23" s="9">
        <v>2924.5</v>
      </c>
      <c r="L23" s="7">
        <v>43826.416666666701</v>
      </c>
      <c r="M23" s="3" t="s">
        <v>124</v>
      </c>
      <c r="N23" s="9">
        <v>2540.5</v>
      </c>
      <c r="O23" s="9">
        <v>96</v>
      </c>
      <c r="P23" s="12" t="s">
        <v>177</v>
      </c>
      <c r="Q23" s="9">
        <v>0</v>
      </c>
      <c r="R23" s="11">
        <v>0</v>
      </c>
      <c r="S23" s="10">
        <v>2540.5</v>
      </c>
      <c r="T23" s="9">
        <v>96</v>
      </c>
      <c r="U23" s="14">
        <v>0.75</v>
      </c>
      <c r="V23" s="12" t="s">
        <v>169</v>
      </c>
      <c r="W23" s="9"/>
      <c r="X23" s="9"/>
    </row>
    <row r="24" spans="1:24" x14ac:dyDescent="0.35">
      <c r="A24" s="3">
        <v>20</v>
      </c>
      <c r="B24" s="3" t="s">
        <v>91</v>
      </c>
      <c r="C24" s="8">
        <v>43824.416666666701</v>
      </c>
      <c r="D24" s="8">
        <v>43825.416666666701</v>
      </c>
      <c r="E24" s="12" t="s">
        <v>61</v>
      </c>
      <c r="F24" s="12" t="s">
        <v>67</v>
      </c>
      <c r="G24" s="9">
        <v>56</v>
      </c>
      <c r="H24" s="9">
        <v>28602.5</v>
      </c>
      <c r="I24" s="9">
        <v>0</v>
      </c>
      <c r="J24" s="9">
        <v>0</v>
      </c>
      <c r="K24" s="9">
        <v>28658.5</v>
      </c>
      <c r="L24" s="7">
        <v>43811.458333333299</v>
      </c>
      <c r="M24" s="3" t="s">
        <v>174</v>
      </c>
      <c r="N24" s="9">
        <v>28642.5</v>
      </c>
      <c r="O24" s="9">
        <v>0</v>
      </c>
      <c r="P24" s="12" t="s">
        <v>24</v>
      </c>
      <c r="Q24" s="9">
        <v>0</v>
      </c>
      <c r="R24" s="11">
        <v>0</v>
      </c>
      <c r="S24" s="10">
        <v>28642.5</v>
      </c>
      <c r="T24" s="9">
        <v>0</v>
      </c>
      <c r="U24" s="14">
        <v>1</v>
      </c>
      <c r="V24" s="12" t="s">
        <v>166</v>
      </c>
      <c r="W24" s="9"/>
      <c r="X24" s="9"/>
    </row>
    <row r="25" spans="1:24" ht="22" x14ac:dyDescent="0.35">
      <c r="A25" s="3">
        <v>21</v>
      </c>
      <c r="B25" s="3" t="s">
        <v>95</v>
      </c>
      <c r="C25" s="8">
        <v>43830.583333333299</v>
      </c>
      <c r="D25" s="8">
        <v>43831.583333333299</v>
      </c>
      <c r="E25" s="12" t="s">
        <v>61</v>
      </c>
      <c r="F25" s="12" t="s">
        <v>36</v>
      </c>
      <c r="G25" s="9">
        <v>168</v>
      </c>
      <c r="H25" s="9">
        <v>3677.5</v>
      </c>
      <c r="I25" s="9">
        <v>0</v>
      </c>
      <c r="J25" s="9">
        <v>0</v>
      </c>
      <c r="K25" s="9">
        <v>3845.5</v>
      </c>
      <c r="L25" s="3"/>
      <c r="M25" s="3" t="s">
        <v>24</v>
      </c>
      <c r="N25" s="9">
        <v>0</v>
      </c>
      <c r="O25" s="9">
        <v>3845.5</v>
      </c>
      <c r="P25" s="12" t="s">
        <v>61</v>
      </c>
      <c r="Q25" s="9">
        <v>0</v>
      </c>
      <c r="R25" s="11">
        <v>0</v>
      </c>
      <c r="S25" s="10">
        <v>0</v>
      </c>
      <c r="T25" s="9">
        <v>3845.5</v>
      </c>
      <c r="U25" s="14">
        <v>0</v>
      </c>
      <c r="V25" s="12" t="s">
        <v>170</v>
      </c>
      <c r="W25" s="9"/>
      <c r="X25" s="9"/>
    </row>
    <row r="26" spans="1:24" x14ac:dyDescent="0.35">
      <c r="A26" s="3">
        <v>22</v>
      </c>
      <c r="B26" s="3" t="s">
        <v>98</v>
      </c>
      <c r="C26" s="8">
        <v>43825.416666666701</v>
      </c>
      <c r="D26" s="8">
        <v>43826.416666666701</v>
      </c>
      <c r="E26" s="12" t="s">
        <v>61</v>
      </c>
      <c r="F26" s="12" t="s">
        <v>67</v>
      </c>
      <c r="G26" s="9">
        <v>56</v>
      </c>
      <c r="H26" s="9">
        <v>602.5</v>
      </c>
      <c r="I26" s="9">
        <v>0</v>
      </c>
      <c r="J26" s="9">
        <v>0</v>
      </c>
      <c r="K26" s="9">
        <v>658.5</v>
      </c>
      <c r="L26" s="7">
        <v>43812.375</v>
      </c>
      <c r="M26" s="3" t="s">
        <v>124</v>
      </c>
      <c r="N26" s="9">
        <v>650.5</v>
      </c>
      <c r="O26" s="9">
        <v>0</v>
      </c>
      <c r="P26" s="12" t="s">
        <v>24</v>
      </c>
      <c r="Q26" s="9">
        <v>0</v>
      </c>
      <c r="R26" s="11">
        <v>0</v>
      </c>
      <c r="S26" s="10">
        <v>650.5</v>
      </c>
      <c r="T26" s="9">
        <v>0</v>
      </c>
      <c r="U26" s="14">
        <v>1</v>
      </c>
      <c r="V26" s="12" t="s">
        <v>166</v>
      </c>
      <c r="W26" s="9"/>
      <c r="X26" s="9"/>
    </row>
    <row r="27" spans="1:24" x14ac:dyDescent="0.35">
      <c r="A27" s="3">
        <v>23</v>
      </c>
      <c r="B27" s="3" t="s">
        <v>101</v>
      </c>
      <c r="C27" s="8">
        <v>43832.583333333299</v>
      </c>
      <c r="D27" s="8">
        <v>43833.583333333299</v>
      </c>
      <c r="E27" s="12" t="s">
        <v>61</v>
      </c>
      <c r="F27" s="12" t="s">
        <v>52</v>
      </c>
      <c r="G27" s="9">
        <v>224</v>
      </c>
      <c r="H27" s="9">
        <v>43602.5</v>
      </c>
      <c r="I27" s="9">
        <v>0</v>
      </c>
      <c r="J27" s="9">
        <v>0</v>
      </c>
      <c r="K27" s="9">
        <v>43826.5</v>
      </c>
      <c r="L27" s="3"/>
      <c r="M27" s="3" t="s">
        <v>24</v>
      </c>
      <c r="N27" s="9">
        <v>0</v>
      </c>
      <c r="O27" s="9">
        <v>43826.5</v>
      </c>
      <c r="P27" s="12" t="s">
        <v>61</v>
      </c>
      <c r="Q27" s="9">
        <v>0</v>
      </c>
      <c r="R27" s="11">
        <v>0</v>
      </c>
      <c r="S27" s="10">
        <v>0</v>
      </c>
      <c r="T27" s="9">
        <v>43826.5</v>
      </c>
      <c r="U27" s="14">
        <v>0</v>
      </c>
      <c r="V27" s="12" t="s">
        <v>170</v>
      </c>
      <c r="W27" s="9"/>
      <c r="X27" s="9"/>
    </row>
    <row r="28" spans="1:24" x14ac:dyDescent="0.35">
      <c r="A28" s="3">
        <v>24</v>
      </c>
      <c r="B28" s="3" t="s">
        <v>103</v>
      </c>
      <c r="C28" s="8">
        <v>43826.416666666701</v>
      </c>
      <c r="D28" s="8">
        <v>43827.416666666701</v>
      </c>
      <c r="E28" s="12" t="s">
        <v>61</v>
      </c>
      <c r="F28" s="12" t="s">
        <v>67</v>
      </c>
      <c r="G28" s="9">
        <v>56</v>
      </c>
      <c r="H28" s="9">
        <v>1577.5</v>
      </c>
      <c r="I28" s="9">
        <v>0</v>
      </c>
      <c r="J28" s="9">
        <v>0</v>
      </c>
      <c r="K28" s="9">
        <v>1633.5</v>
      </c>
      <c r="L28" s="7">
        <v>43812.666666666701</v>
      </c>
      <c r="M28" s="3" t="s">
        <v>61</v>
      </c>
      <c r="N28" s="9">
        <v>1633.5</v>
      </c>
      <c r="O28" s="9">
        <v>0</v>
      </c>
      <c r="P28" s="12" t="s">
        <v>24</v>
      </c>
      <c r="Q28" s="9">
        <v>0</v>
      </c>
      <c r="R28" s="11">
        <v>0</v>
      </c>
      <c r="S28" s="10">
        <v>1633.5</v>
      </c>
      <c r="T28" s="9">
        <v>0</v>
      </c>
      <c r="U28" s="14">
        <v>1</v>
      </c>
      <c r="V28" s="12" t="s">
        <v>166</v>
      </c>
      <c r="W28" s="9"/>
      <c r="X28" s="9"/>
    </row>
    <row r="29" spans="1:24" x14ac:dyDescent="0.35">
      <c r="A29" s="3">
        <v>25</v>
      </c>
      <c r="B29" s="3" t="s">
        <v>106</v>
      </c>
      <c r="C29" s="8">
        <v>43813.416666666701</v>
      </c>
      <c r="D29" s="8">
        <v>43815.416666666701</v>
      </c>
      <c r="E29" s="12" t="s">
        <v>61</v>
      </c>
      <c r="F29" s="12" t="s">
        <v>67</v>
      </c>
      <c r="G29" s="9">
        <v>56</v>
      </c>
      <c r="H29" s="9">
        <v>2524.5</v>
      </c>
      <c r="I29" s="9">
        <v>0</v>
      </c>
      <c r="J29" s="9">
        <v>0</v>
      </c>
      <c r="K29" s="9">
        <v>2580.5</v>
      </c>
      <c r="L29" s="7">
        <v>43812.541666666701</v>
      </c>
      <c r="M29" s="3" t="s">
        <v>61</v>
      </c>
      <c r="N29" s="9">
        <v>2580.5</v>
      </c>
      <c r="O29" s="9">
        <v>0</v>
      </c>
      <c r="P29" s="12" t="s">
        <v>24</v>
      </c>
      <c r="Q29" s="9">
        <v>0</v>
      </c>
      <c r="R29" s="11">
        <v>0</v>
      </c>
      <c r="S29" s="10">
        <v>2580.5</v>
      </c>
      <c r="T29" s="9">
        <v>0</v>
      </c>
      <c r="U29" s="14">
        <v>1</v>
      </c>
      <c r="V29" s="12" t="s">
        <v>166</v>
      </c>
      <c r="W29" s="9"/>
      <c r="X29" s="9"/>
    </row>
    <row r="30" spans="1:24" x14ac:dyDescent="0.35">
      <c r="A30" s="3">
        <v>26</v>
      </c>
      <c r="B30" s="3" t="s">
        <v>108</v>
      </c>
      <c r="C30" s="8">
        <v>43829.583333333299</v>
      </c>
      <c r="D30" s="8">
        <v>43830.583333333299</v>
      </c>
      <c r="E30" s="12" t="s">
        <v>61</v>
      </c>
      <c r="F30" s="12" t="s">
        <v>57</v>
      </c>
      <c r="G30" s="9">
        <v>112</v>
      </c>
      <c r="H30" s="9">
        <v>3442.30004882813</v>
      </c>
      <c r="I30" s="9">
        <v>0</v>
      </c>
      <c r="J30" s="9">
        <v>0</v>
      </c>
      <c r="K30" s="9">
        <v>3554.30004882813</v>
      </c>
      <c r="L30" s="3"/>
      <c r="M30" s="3" t="s">
        <v>24</v>
      </c>
      <c r="N30" s="9">
        <v>0</v>
      </c>
      <c r="O30" s="9">
        <v>3554.30004882813</v>
      </c>
      <c r="P30" s="12" t="s">
        <v>61</v>
      </c>
      <c r="Q30" s="9">
        <v>0</v>
      </c>
      <c r="R30" s="11">
        <v>0</v>
      </c>
      <c r="S30" s="10">
        <v>0</v>
      </c>
      <c r="T30" s="9">
        <v>3554.30004882813</v>
      </c>
      <c r="U30" s="14">
        <v>0</v>
      </c>
      <c r="V30" s="12" t="s">
        <v>170</v>
      </c>
      <c r="W30" s="9"/>
      <c r="X30" s="9"/>
    </row>
    <row r="31" spans="1:24" x14ac:dyDescent="0.35">
      <c r="A31" s="3">
        <v>27</v>
      </c>
      <c r="B31" s="3" t="s">
        <v>110</v>
      </c>
      <c r="C31" s="8">
        <v>43823.416666666701</v>
      </c>
      <c r="D31" s="8">
        <v>43824.416666666701</v>
      </c>
      <c r="E31" s="12" t="s">
        <v>61</v>
      </c>
      <c r="F31" s="12" t="s">
        <v>67</v>
      </c>
      <c r="G31" s="9">
        <v>56</v>
      </c>
      <c r="H31" s="9">
        <v>2972.5</v>
      </c>
      <c r="I31" s="9">
        <v>0</v>
      </c>
      <c r="J31" s="9">
        <v>0</v>
      </c>
      <c r="K31" s="9">
        <v>3028.5</v>
      </c>
      <c r="L31" s="7">
        <v>43810.625</v>
      </c>
      <c r="M31" s="3" t="s">
        <v>167</v>
      </c>
      <c r="N31" s="9">
        <v>3004.5</v>
      </c>
      <c r="O31" s="9">
        <v>0</v>
      </c>
      <c r="P31" s="12" t="s">
        <v>24</v>
      </c>
      <c r="Q31" s="9">
        <v>0</v>
      </c>
      <c r="R31" s="11">
        <v>0</v>
      </c>
      <c r="S31" s="10">
        <v>3004.5</v>
      </c>
      <c r="T31" s="9">
        <v>0</v>
      </c>
      <c r="U31" s="14">
        <v>1</v>
      </c>
      <c r="V31" s="12" t="s">
        <v>166</v>
      </c>
      <c r="W31" s="9"/>
      <c r="X31" s="9"/>
    </row>
    <row r="32" spans="1:24" x14ac:dyDescent="0.35">
      <c r="A32" s="3">
        <v>28</v>
      </c>
      <c r="B32" s="3" t="s">
        <v>113</v>
      </c>
      <c r="C32" s="8">
        <v>43832.583333333299</v>
      </c>
      <c r="D32" s="8">
        <v>43833.583333333299</v>
      </c>
      <c r="E32" s="12" t="s">
        <v>61</v>
      </c>
      <c r="F32" s="12" t="s">
        <v>67</v>
      </c>
      <c r="G32" s="9">
        <v>56</v>
      </c>
      <c r="H32" s="9">
        <v>1586.5</v>
      </c>
      <c r="I32" s="9">
        <v>0</v>
      </c>
      <c r="J32" s="9">
        <v>0</v>
      </c>
      <c r="K32" s="9">
        <v>1642.5</v>
      </c>
      <c r="L32" s="7">
        <v>43810.625</v>
      </c>
      <c r="M32" s="3" t="s">
        <v>185</v>
      </c>
      <c r="N32" s="9">
        <v>1666.5</v>
      </c>
      <c r="O32" s="9">
        <v>0</v>
      </c>
      <c r="P32" s="12" t="s">
        <v>24</v>
      </c>
      <c r="Q32" s="9">
        <v>0</v>
      </c>
      <c r="R32" s="11">
        <v>0</v>
      </c>
      <c r="S32" s="10">
        <v>1666.5</v>
      </c>
      <c r="T32" s="9">
        <v>0</v>
      </c>
      <c r="U32" s="14">
        <v>1</v>
      </c>
      <c r="V32" s="12" t="s">
        <v>166</v>
      </c>
      <c r="W32" s="9"/>
      <c r="X32" s="9"/>
    </row>
    <row r="33" spans="1:24" ht="22" x14ac:dyDescent="0.35">
      <c r="A33" s="3">
        <v>29</v>
      </c>
      <c r="B33" s="3" t="s">
        <v>117</v>
      </c>
      <c r="C33" s="8">
        <v>43833.583333333299</v>
      </c>
      <c r="D33" s="8">
        <v>43833.708333333299</v>
      </c>
      <c r="E33" s="12" t="s">
        <v>29</v>
      </c>
      <c r="F33" s="12" t="s">
        <v>67</v>
      </c>
      <c r="G33" s="9">
        <v>24</v>
      </c>
      <c r="H33" s="9">
        <v>602.5</v>
      </c>
      <c r="I33" s="9">
        <v>0</v>
      </c>
      <c r="J33" s="9">
        <v>0</v>
      </c>
      <c r="K33" s="9">
        <v>626.5</v>
      </c>
      <c r="L33" s="7">
        <v>43812.416666666701</v>
      </c>
      <c r="M33" s="3" t="s">
        <v>177</v>
      </c>
      <c r="N33" s="9">
        <v>618.5</v>
      </c>
      <c r="O33" s="9">
        <v>0</v>
      </c>
      <c r="P33" s="12" t="s">
        <v>24</v>
      </c>
      <c r="Q33" s="9">
        <v>0</v>
      </c>
      <c r="R33" s="11">
        <v>0</v>
      </c>
      <c r="S33" s="10">
        <v>618.5</v>
      </c>
      <c r="T33" s="9">
        <v>0</v>
      </c>
      <c r="U33" s="14">
        <v>1</v>
      </c>
      <c r="V33" s="12" t="s">
        <v>166</v>
      </c>
      <c r="W33" s="9"/>
      <c r="X33" s="9"/>
    </row>
    <row r="34" spans="1:24" x14ac:dyDescent="0.35">
      <c r="A34" s="3">
        <v>30</v>
      </c>
      <c r="B34" s="3" t="s">
        <v>120</v>
      </c>
      <c r="C34" s="8">
        <v>43838.583333333299</v>
      </c>
      <c r="D34" s="8">
        <v>43839.5</v>
      </c>
      <c r="E34" s="12" t="s">
        <v>124</v>
      </c>
      <c r="F34" s="12" t="s">
        <v>67</v>
      </c>
      <c r="G34" s="9">
        <v>48</v>
      </c>
      <c r="H34" s="9">
        <v>602.5</v>
      </c>
      <c r="I34" s="9">
        <v>0</v>
      </c>
      <c r="J34" s="9">
        <v>0</v>
      </c>
      <c r="K34" s="9">
        <v>650.5</v>
      </c>
      <c r="L34" s="3"/>
      <c r="M34" s="3" t="s">
        <v>24</v>
      </c>
      <c r="N34" s="9">
        <v>0</v>
      </c>
      <c r="O34" s="9">
        <v>650.5</v>
      </c>
      <c r="P34" s="12" t="s">
        <v>124</v>
      </c>
      <c r="Q34" s="9">
        <v>0</v>
      </c>
      <c r="R34" s="11">
        <v>0</v>
      </c>
      <c r="S34" s="10">
        <v>0</v>
      </c>
      <c r="T34" s="9">
        <v>650.5</v>
      </c>
      <c r="U34" s="14">
        <v>0</v>
      </c>
      <c r="V34" s="12" t="s">
        <v>170</v>
      </c>
      <c r="W34" s="9"/>
      <c r="X34" s="9"/>
    </row>
    <row r="35" spans="1:24" x14ac:dyDescent="0.35">
      <c r="A35" s="3">
        <v>31</v>
      </c>
      <c r="B35" s="3" t="s">
        <v>125</v>
      </c>
      <c r="C35" s="8">
        <v>43839.5</v>
      </c>
      <c r="D35" s="8">
        <v>43839.5</v>
      </c>
      <c r="E35" s="12" t="s">
        <v>24</v>
      </c>
      <c r="F35" s="12"/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3"/>
      <c r="M35" s="3" t="s">
        <v>24</v>
      </c>
      <c r="N35" s="9">
        <v>0</v>
      </c>
      <c r="O35" s="9">
        <v>0</v>
      </c>
      <c r="P35" s="12" t="s">
        <v>24</v>
      </c>
      <c r="Q35" s="9">
        <v>0</v>
      </c>
      <c r="R35" s="11">
        <v>0</v>
      </c>
      <c r="S35" s="10">
        <v>0</v>
      </c>
      <c r="T35" s="9">
        <v>0</v>
      </c>
      <c r="U35" s="14">
        <v>0</v>
      </c>
      <c r="V35" s="12" t="s">
        <v>170</v>
      </c>
      <c r="W35" s="9"/>
      <c r="X35" s="9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Blad22"/>
  <dimension ref="A1:X35"/>
  <sheetViews>
    <sheetView topLeftCell="C1" workbookViewId="0">
      <selection activeCell="W5" sqref="W5:X35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150</v>
      </c>
      <c r="C1" s="7">
        <v>43827.708333333299</v>
      </c>
      <c r="E1" s="1" t="s">
        <v>151</v>
      </c>
      <c r="F1" s="4" t="s">
        <v>229</v>
      </c>
    </row>
    <row r="3" spans="1:24" x14ac:dyDescent="0.35">
      <c r="A3" s="24" t="s">
        <v>0</v>
      </c>
      <c r="B3" s="24"/>
      <c r="C3" s="24" t="s">
        <v>2</v>
      </c>
      <c r="D3" s="24"/>
      <c r="E3" s="24"/>
      <c r="F3" s="24" t="s">
        <v>3</v>
      </c>
      <c r="G3" s="24"/>
      <c r="H3" s="24" t="s">
        <v>4</v>
      </c>
      <c r="I3" s="24"/>
      <c r="J3" s="24"/>
      <c r="K3" s="24"/>
      <c r="L3" s="24" t="s">
        <v>152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153</v>
      </c>
      <c r="M4" s="1" t="s">
        <v>154</v>
      </c>
      <c r="N4" s="1" t="s">
        <v>155</v>
      </c>
      <c r="O4" s="1" t="s">
        <v>156</v>
      </c>
      <c r="P4" s="1" t="s">
        <v>157</v>
      </c>
      <c r="Q4" s="1" t="s">
        <v>158</v>
      </c>
      <c r="R4" s="1" t="s">
        <v>159</v>
      </c>
      <c r="S4" s="1" t="s">
        <v>160</v>
      </c>
      <c r="T4" s="1" t="s">
        <v>161</v>
      </c>
      <c r="U4" s="1" t="s">
        <v>162</v>
      </c>
      <c r="V4" s="1" t="s">
        <v>152</v>
      </c>
      <c r="W4" s="1" t="s">
        <v>163</v>
      </c>
      <c r="X4" s="1" t="s">
        <v>164</v>
      </c>
    </row>
    <row r="5" spans="1:24" x14ac:dyDescent="0.35">
      <c r="A5" s="2">
        <v>0</v>
      </c>
      <c r="B5" s="3" t="s">
        <v>18</v>
      </c>
      <c r="C5" s="5">
        <v>43808.375</v>
      </c>
      <c r="D5" s="5">
        <v>43839.5</v>
      </c>
      <c r="E5" s="2" t="s">
        <v>20</v>
      </c>
      <c r="F5" s="2"/>
      <c r="G5" s="6"/>
      <c r="H5" s="6">
        <v>118411.30004882799</v>
      </c>
      <c r="I5" s="6"/>
      <c r="J5" s="6"/>
      <c r="K5" s="6">
        <v>126955.30004882799</v>
      </c>
      <c r="L5" s="2"/>
      <c r="M5" s="2" t="s">
        <v>230</v>
      </c>
      <c r="N5" s="6"/>
      <c r="O5" s="6"/>
      <c r="P5" s="2"/>
      <c r="Q5" s="6"/>
      <c r="R5" s="6"/>
      <c r="S5" s="6">
        <v>80391.800048828096</v>
      </c>
      <c r="T5" s="6"/>
      <c r="U5" s="13">
        <v>0.63900548734321705</v>
      </c>
      <c r="V5" s="2"/>
      <c r="W5" s="6"/>
      <c r="X5" s="6"/>
    </row>
    <row r="6" spans="1:24" x14ac:dyDescent="0.35">
      <c r="A6" s="3">
        <v>1</v>
      </c>
      <c r="B6" s="3" t="s">
        <v>21</v>
      </c>
      <c r="C6" s="8">
        <v>43808.375</v>
      </c>
      <c r="D6" s="8">
        <v>43806.708333333299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43808.375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166</v>
      </c>
      <c r="W6" s="9"/>
      <c r="X6" s="9"/>
    </row>
    <row r="7" spans="1:24" ht="22" x14ac:dyDescent="0.35">
      <c r="A7" s="3">
        <v>2</v>
      </c>
      <c r="B7" s="3" t="s">
        <v>25</v>
      </c>
      <c r="C7" s="8">
        <v>43808.375</v>
      </c>
      <c r="D7" s="8">
        <v>43808.5</v>
      </c>
      <c r="E7" s="12" t="s">
        <v>29</v>
      </c>
      <c r="F7" s="12" t="s">
        <v>30</v>
      </c>
      <c r="G7" s="9">
        <v>36</v>
      </c>
      <c r="H7" s="9">
        <v>931.5</v>
      </c>
      <c r="I7" s="9">
        <v>0</v>
      </c>
      <c r="J7" s="9">
        <v>0</v>
      </c>
      <c r="K7" s="9">
        <v>967.5</v>
      </c>
      <c r="L7" s="7">
        <v>43808.375</v>
      </c>
      <c r="M7" s="3" t="s">
        <v>29</v>
      </c>
      <c r="N7" s="9">
        <v>967.5</v>
      </c>
      <c r="O7" s="9">
        <v>0</v>
      </c>
      <c r="P7" s="12" t="s">
        <v>24</v>
      </c>
      <c r="Q7" s="9">
        <v>0</v>
      </c>
      <c r="R7" s="11">
        <v>0</v>
      </c>
      <c r="S7" s="10">
        <v>967.5</v>
      </c>
      <c r="T7" s="9">
        <v>0</v>
      </c>
      <c r="U7" s="14">
        <v>1</v>
      </c>
      <c r="V7" s="12" t="s">
        <v>166</v>
      </c>
      <c r="W7" s="9"/>
      <c r="X7" s="9"/>
    </row>
    <row r="8" spans="1:24" x14ac:dyDescent="0.35">
      <c r="A8" s="3">
        <v>3</v>
      </c>
      <c r="B8" s="3" t="s">
        <v>31</v>
      </c>
      <c r="C8" s="8">
        <v>43808.541666666701</v>
      </c>
      <c r="D8" s="8">
        <v>43813.5</v>
      </c>
      <c r="E8" s="12" t="s">
        <v>35</v>
      </c>
      <c r="F8" s="12" t="s">
        <v>36</v>
      </c>
      <c r="G8" s="9">
        <v>840</v>
      </c>
      <c r="H8" s="9">
        <v>950.5</v>
      </c>
      <c r="I8" s="9">
        <v>0</v>
      </c>
      <c r="J8" s="9">
        <v>0</v>
      </c>
      <c r="K8" s="9">
        <v>1790.5</v>
      </c>
      <c r="L8" s="7">
        <v>43808.541666666701</v>
      </c>
      <c r="M8" s="3" t="s">
        <v>181</v>
      </c>
      <c r="N8" s="9">
        <v>1550.5</v>
      </c>
      <c r="O8" s="9">
        <v>0</v>
      </c>
      <c r="P8" s="12" t="s">
        <v>24</v>
      </c>
      <c r="Q8" s="9">
        <v>0</v>
      </c>
      <c r="R8" s="11">
        <v>0</v>
      </c>
      <c r="S8" s="10">
        <v>1550.5</v>
      </c>
      <c r="T8" s="9">
        <v>0</v>
      </c>
      <c r="U8" s="14">
        <v>1</v>
      </c>
      <c r="V8" s="12" t="s">
        <v>166</v>
      </c>
      <c r="W8" s="9"/>
      <c r="X8" s="9"/>
    </row>
    <row r="9" spans="1:24" x14ac:dyDescent="0.35">
      <c r="A9" s="3">
        <v>4</v>
      </c>
      <c r="B9" s="3" t="s">
        <v>37</v>
      </c>
      <c r="C9" s="8">
        <v>43813.541666666701</v>
      </c>
      <c r="D9" s="8">
        <v>43816.625</v>
      </c>
      <c r="E9" s="12" t="s">
        <v>41</v>
      </c>
      <c r="F9" s="12" t="s">
        <v>42</v>
      </c>
      <c r="G9" s="9">
        <v>640</v>
      </c>
      <c r="H9" s="9">
        <v>8819</v>
      </c>
      <c r="I9" s="9">
        <v>0</v>
      </c>
      <c r="J9" s="9">
        <v>0</v>
      </c>
      <c r="K9" s="9">
        <v>9459</v>
      </c>
      <c r="L9" s="7">
        <v>43812.375</v>
      </c>
      <c r="M9" s="3" t="s">
        <v>185</v>
      </c>
      <c r="N9" s="9">
        <v>9219</v>
      </c>
      <c r="O9" s="9">
        <v>0</v>
      </c>
      <c r="P9" s="12" t="s">
        <v>24</v>
      </c>
      <c r="Q9" s="9">
        <v>0</v>
      </c>
      <c r="R9" s="11">
        <v>0</v>
      </c>
      <c r="S9" s="10">
        <v>9219</v>
      </c>
      <c r="T9" s="9">
        <v>0</v>
      </c>
      <c r="U9" s="14">
        <v>1</v>
      </c>
      <c r="V9" s="12" t="s">
        <v>166</v>
      </c>
      <c r="W9" s="9"/>
      <c r="X9" s="9"/>
    </row>
    <row r="10" spans="1:24" ht="22" x14ac:dyDescent="0.35">
      <c r="A10" s="3">
        <v>5</v>
      </c>
      <c r="B10" s="3" t="s">
        <v>43</v>
      </c>
      <c r="C10" s="8">
        <v>43816.625</v>
      </c>
      <c r="D10" s="8">
        <v>43827.708333333299</v>
      </c>
      <c r="E10" s="12" t="s">
        <v>47</v>
      </c>
      <c r="F10" s="12" t="s">
        <v>42</v>
      </c>
      <c r="G10" s="9">
        <v>2880</v>
      </c>
      <c r="H10" s="9">
        <v>3166.5</v>
      </c>
      <c r="I10" s="9">
        <v>0</v>
      </c>
      <c r="J10" s="9">
        <v>0</v>
      </c>
      <c r="K10" s="9">
        <v>6046.5</v>
      </c>
      <c r="L10" s="7">
        <v>43813.541666666701</v>
      </c>
      <c r="M10" s="3" t="s">
        <v>224</v>
      </c>
      <c r="N10" s="9">
        <v>5806.5</v>
      </c>
      <c r="O10" s="9">
        <v>0</v>
      </c>
      <c r="P10" s="12" t="s">
        <v>24</v>
      </c>
      <c r="Q10" s="9">
        <v>0</v>
      </c>
      <c r="R10" s="11">
        <v>0</v>
      </c>
      <c r="S10" s="10">
        <v>5806.5</v>
      </c>
      <c r="T10" s="9">
        <v>0</v>
      </c>
      <c r="U10" s="14">
        <v>1</v>
      </c>
      <c r="V10" s="12" t="s">
        <v>166</v>
      </c>
      <c r="W10" s="9"/>
      <c r="X10" s="9"/>
    </row>
    <row r="11" spans="1:24" x14ac:dyDescent="0.35">
      <c r="A11" s="3">
        <v>6</v>
      </c>
      <c r="B11" s="3" t="s">
        <v>48</v>
      </c>
      <c r="C11" s="8">
        <v>43830.583333333299</v>
      </c>
      <c r="D11" s="8">
        <v>43832.583333333299</v>
      </c>
      <c r="E11" s="12" t="s">
        <v>51</v>
      </c>
      <c r="F11" s="12" t="s">
        <v>52</v>
      </c>
      <c r="G11" s="9">
        <v>448</v>
      </c>
      <c r="H11" s="9">
        <v>1802.5</v>
      </c>
      <c r="I11" s="9">
        <v>0</v>
      </c>
      <c r="J11" s="9">
        <v>0</v>
      </c>
      <c r="K11" s="9">
        <v>2250.5</v>
      </c>
      <c r="L11" s="7">
        <v>43808.541666666701</v>
      </c>
      <c r="M11" s="3" t="s">
        <v>41</v>
      </c>
      <c r="N11" s="9">
        <v>2314.5</v>
      </c>
      <c r="O11" s="9">
        <v>0</v>
      </c>
      <c r="P11" s="12" t="s">
        <v>24</v>
      </c>
      <c r="Q11" s="9">
        <v>0</v>
      </c>
      <c r="R11" s="11">
        <v>0</v>
      </c>
      <c r="S11" s="10">
        <v>2314.5</v>
      </c>
      <c r="T11" s="9">
        <v>0</v>
      </c>
      <c r="U11" s="14">
        <v>1</v>
      </c>
      <c r="V11" s="12" t="s">
        <v>166</v>
      </c>
      <c r="W11" s="9"/>
      <c r="X11" s="9"/>
    </row>
    <row r="12" spans="1:24" x14ac:dyDescent="0.35">
      <c r="A12" s="3">
        <v>7</v>
      </c>
      <c r="B12" s="3" t="s">
        <v>53</v>
      </c>
      <c r="C12" s="8">
        <v>43815.416666666701</v>
      </c>
      <c r="D12" s="8">
        <v>43822.416666666701</v>
      </c>
      <c r="E12" s="12" t="s">
        <v>56</v>
      </c>
      <c r="F12" s="12" t="s">
        <v>57</v>
      </c>
      <c r="G12" s="9">
        <v>672</v>
      </c>
      <c r="H12" s="9">
        <v>1970.5</v>
      </c>
      <c r="I12" s="9">
        <v>0</v>
      </c>
      <c r="J12" s="9">
        <v>0</v>
      </c>
      <c r="K12" s="9">
        <v>2642.5</v>
      </c>
      <c r="L12" s="7">
        <v>43815.541666666701</v>
      </c>
      <c r="M12" s="3" t="s">
        <v>193</v>
      </c>
      <c r="N12" s="9">
        <v>2866.5</v>
      </c>
      <c r="O12" s="9">
        <v>0</v>
      </c>
      <c r="P12" s="12" t="s">
        <v>24</v>
      </c>
      <c r="Q12" s="9">
        <v>0</v>
      </c>
      <c r="R12" s="11">
        <v>0</v>
      </c>
      <c r="S12" s="10">
        <v>2866.5</v>
      </c>
      <c r="T12" s="9">
        <v>0</v>
      </c>
      <c r="U12" s="14">
        <v>1</v>
      </c>
      <c r="V12" s="12" t="s">
        <v>166</v>
      </c>
      <c r="W12" s="9"/>
      <c r="X12" s="9"/>
    </row>
    <row r="13" spans="1:24" ht="22" x14ac:dyDescent="0.35">
      <c r="A13" s="3">
        <v>8</v>
      </c>
      <c r="B13" s="3" t="s">
        <v>58</v>
      </c>
      <c r="C13" s="8">
        <v>43831.583333333299</v>
      </c>
      <c r="D13" s="8">
        <v>43832.583333333299</v>
      </c>
      <c r="E13" s="12" t="s">
        <v>61</v>
      </c>
      <c r="F13" s="12" t="s">
        <v>57</v>
      </c>
      <c r="G13" s="9">
        <v>112</v>
      </c>
      <c r="H13" s="9">
        <v>602.5</v>
      </c>
      <c r="I13" s="9">
        <v>0</v>
      </c>
      <c r="J13" s="9">
        <v>0</v>
      </c>
      <c r="K13" s="9">
        <v>714.5</v>
      </c>
      <c r="L13" s="7">
        <v>43824.666666666701</v>
      </c>
      <c r="M13" s="3" t="s">
        <v>178</v>
      </c>
      <c r="N13" s="9">
        <v>730.5</v>
      </c>
      <c r="O13" s="9">
        <v>0</v>
      </c>
      <c r="P13" s="12" t="s">
        <v>24</v>
      </c>
      <c r="Q13" s="9">
        <v>0</v>
      </c>
      <c r="R13" s="11">
        <v>0</v>
      </c>
      <c r="S13" s="10">
        <v>730.5</v>
      </c>
      <c r="T13" s="9">
        <v>0</v>
      </c>
      <c r="U13" s="14">
        <v>1</v>
      </c>
      <c r="V13" s="12" t="s">
        <v>166</v>
      </c>
      <c r="W13" s="9"/>
      <c r="X13" s="9"/>
    </row>
    <row r="14" spans="1:24" x14ac:dyDescent="0.35">
      <c r="A14" s="3">
        <v>9</v>
      </c>
      <c r="B14" s="3" t="s">
        <v>62</v>
      </c>
      <c r="C14" s="8">
        <v>43829.583333333299</v>
      </c>
      <c r="D14" s="8">
        <v>43830.583333333299</v>
      </c>
      <c r="E14" s="12" t="s">
        <v>61</v>
      </c>
      <c r="F14" s="12" t="s">
        <v>57</v>
      </c>
      <c r="G14" s="9">
        <v>112</v>
      </c>
      <c r="H14" s="9">
        <v>602.5</v>
      </c>
      <c r="I14" s="9">
        <v>0</v>
      </c>
      <c r="J14" s="9">
        <v>0</v>
      </c>
      <c r="K14" s="9">
        <v>714.5</v>
      </c>
      <c r="L14" s="7">
        <v>43827.458333333299</v>
      </c>
      <c r="M14" s="3" t="s">
        <v>174</v>
      </c>
      <c r="N14" s="9">
        <v>682.5</v>
      </c>
      <c r="O14" s="9">
        <v>32</v>
      </c>
      <c r="P14" s="12" t="s">
        <v>177</v>
      </c>
      <c r="Q14" s="9">
        <v>0</v>
      </c>
      <c r="R14" s="11">
        <v>0</v>
      </c>
      <c r="S14" s="10">
        <v>682.5</v>
      </c>
      <c r="T14" s="9">
        <v>32</v>
      </c>
      <c r="U14" s="14">
        <v>0.71428573131561302</v>
      </c>
      <c r="V14" s="12" t="s">
        <v>169</v>
      </c>
      <c r="W14" s="9"/>
      <c r="X14" s="9"/>
    </row>
    <row r="15" spans="1:24" ht="22" x14ac:dyDescent="0.35">
      <c r="A15" s="3">
        <v>10</v>
      </c>
      <c r="B15" s="3" t="s">
        <v>64</v>
      </c>
      <c r="C15" s="8">
        <v>43829.375</v>
      </c>
      <c r="D15" s="8">
        <v>43829.708333333299</v>
      </c>
      <c r="E15" s="12" t="s">
        <v>61</v>
      </c>
      <c r="F15" s="12" t="s">
        <v>67</v>
      </c>
      <c r="G15" s="9">
        <v>56</v>
      </c>
      <c r="H15" s="9">
        <v>602.5</v>
      </c>
      <c r="I15" s="9">
        <v>0</v>
      </c>
      <c r="J15" s="9">
        <v>0</v>
      </c>
      <c r="K15" s="9">
        <v>658.5</v>
      </c>
      <c r="L15" s="7">
        <v>43824.666666666701</v>
      </c>
      <c r="M15" s="3" t="s">
        <v>61</v>
      </c>
      <c r="N15" s="9">
        <v>658.5</v>
      </c>
      <c r="O15" s="9">
        <v>0</v>
      </c>
      <c r="P15" s="12" t="s">
        <v>24</v>
      </c>
      <c r="Q15" s="9">
        <v>0</v>
      </c>
      <c r="R15" s="11">
        <v>0</v>
      </c>
      <c r="S15" s="10">
        <v>658.5</v>
      </c>
      <c r="T15" s="9">
        <v>0</v>
      </c>
      <c r="U15" s="14">
        <v>1</v>
      </c>
      <c r="V15" s="12" t="s">
        <v>166</v>
      </c>
      <c r="W15" s="9"/>
      <c r="X15" s="9"/>
    </row>
    <row r="16" spans="1:24" x14ac:dyDescent="0.35">
      <c r="A16" s="3">
        <v>11</v>
      </c>
      <c r="B16" s="3" t="s">
        <v>68</v>
      </c>
      <c r="C16" s="8">
        <v>43813.416666666701</v>
      </c>
      <c r="D16" s="8">
        <v>43815.416666666701</v>
      </c>
      <c r="E16" s="12" t="s">
        <v>61</v>
      </c>
      <c r="F16" s="12" t="s">
        <v>67</v>
      </c>
      <c r="G16" s="9">
        <v>56</v>
      </c>
      <c r="H16" s="9">
        <v>602.5</v>
      </c>
      <c r="I16" s="9">
        <v>0</v>
      </c>
      <c r="J16" s="9">
        <v>0</v>
      </c>
      <c r="K16" s="9">
        <v>658.5</v>
      </c>
      <c r="L16" s="7">
        <v>43825.666666666701</v>
      </c>
      <c r="M16" s="3" t="s">
        <v>182</v>
      </c>
      <c r="N16" s="9">
        <v>674.5</v>
      </c>
      <c r="O16" s="9">
        <v>0</v>
      </c>
      <c r="P16" s="12" t="s">
        <v>24</v>
      </c>
      <c r="Q16" s="9">
        <v>0</v>
      </c>
      <c r="R16" s="11">
        <v>0</v>
      </c>
      <c r="S16" s="10">
        <v>674.5</v>
      </c>
      <c r="T16" s="9">
        <v>0</v>
      </c>
      <c r="U16" s="14">
        <v>1</v>
      </c>
      <c r="V16" s="12" t="s">
        <v>166</v>
      </c>
      <c r="W16" s="9"/>
      <c r="X16" s="9"/>
    </row>
    <row r="17" spans="1:24" ht="22" x14ac:dyDescent="0.35">
      <c r="A17" s="3">
        <v>13</v>
      </c>
      <c r="B17" s="3" t="s">
        <v>70</v>
      </c>
      <c r="C17" s="8">
        <v>43823.416666666701</v>
      </c>
      <c r="D17" s="8">
        <v>43823.583333333299</v>
      </c>
      <c r="E17" s="12" t="s">
        <v>29</v>
      </c>
      <c r="F17" s="12" t="s">
        <v>67</v>
      </c>
      <c r="G17" s="9">
        <v>24</v>
      </c>
      <c r="H17" s="9">
        <v>602.5</v>
      </c>
      <c r="I17" s="9">
        <v>0</v>
      </c>
      <c r="J17" s="9">
        <v>0</v>
      </c>
      <c r="K17" s="9">
        <v>626.5</v>
      </c>
      <c r="L17" s="7">
        <v>43811.458333333299</v>
      </c>
      <c r="M17" s="3" t="s">
        <v>29</v>
      </c>
      <c r="N17" s="9">
        <v>626.5</v>
      </c>
      <c r="O17" s="9">
        <v>0</v>
      </c>
      <c r="P17" s="12" t="s">
        <v>24</v>
      </c>
      <c r="Q17" s="9">
        <v>0</v>
      </c>
      <c r="R17" s="11">
        <v>0</v>
      </c>
      <c r="S17" s="10">
        <v>626.5</v>
      </c>
      <c r="T17" s="9">
        <v>0</v>
      </c>
      <c r="U17" s="14">
        <v>1</v>
      </c>
      <c r="V17" s="12" t="s">
        <v>166</v>
      </c>
      <c r="W17" s="9"/>
      <c r="X17" s="9"/>
    </row>
    <row r="18" spans="1:24" x14ac:dyDescent="0.35">
      <c r="A18" s="3">
        <v>14</v>
      </c>
      <c r="B18" s="3" t="s">
        <v>74</v>
      </c>
      <c r="C18" s="8">
        <v>43836.583333333299</v>
      </c>
      <c r="D18" s="8">
        <v>43838.583333333299</v>
      </c>
      <c r="E18" s="12" t="s">
        <v>51</v>
      </c>
      <c r="F18" s="12" t="s">
        <v>77</v>
      </c>
      <c r="G18" s="9">
        <v>672</v>
      </c>
      <c r="H18" s="9">
        <v>602.5</v>
      </c>
      <c r="I18" s="9">
        <v>0</v>
      </c>
      <c r="J18" s="9">
        <v>0</v>
      </c>
      <c r="K18" s="9">
        <v>1274.5</v>
      </c>
      <c r="L18" s="3"/>
      <c r="M18" s="3" t="s">
        <v>24</v>
      </c>
      <c r="N18" s="9">
        <v>0</v>
      </c>
      <c r="O18" s="9">
        <v>1274.5</v>
      </c>
      <c r="P18" s="12" t="s">
        <v>51</v>
      </c>
      <c r="Q18" s="9">
        <v>0</v>
      </c>
      <c r="R18" s="11">
        <v>0</v>
      </c>
      <c r="S18" s="10">
        <v>0</v>
      </c>
      <c r="T18" s="9">
        <v>1274.5</v>
      </c>
      <c r="U18" s="14">
        <v>0</v>
      </c>
      <c r="V18" s="12" t="s">
        <v>170</v>
      </c>
      <c r="W18" s="9"/>
      <c r="X18" s="9"/>
    </row>
    <row r="19" spans="1:24" x14ac:dyDescent="0.35">
      <c r="A19" s="3">
        <v>15</v>
      </c>
      <c r="B19" s="3" t="s">
        <v>78</v>
      </c>
      <c r="C19" s="8">
        <v>43829.583333333299</v>
      </c>
      <c r="D19" s="8">
        <v>43830.583333333299</v>
      </c>
      <c r="E19" s="12" t="s">
        <v>61</v>
      </c>
      <c r="F19" s="12" t="s">
        <v>57</v>
      </c>
      <c r="G19" s="9">
        <v>112</v>
      </c>
      <c r="H19" s="9">
        <v>602.5</v>
      </c>
      <c r="I19" s="9">
        <v>0</v>
      </c>
      <c r="J19" s="9">
        <v>0</v>
      </c>
      <c r="K19" s="9">
        <v>714.5</v>
      </c>
      <c r="L19" s="7">
        <v>43824.666666666701</v>
      </c>
      <c r="M19" s="3" t="s">
        <v>182</v>
      </c>
      <c r="N19" s="9">
        <v>746.5</v>
      </c>
      <c r="O19" s="9">
        <v>0</v>
      </c>
      <c r="P19" s="12" t="s">
        <v>24</v>
      </c>
      <c r="Q19" s="9">
        <v>0</v>
      </c>
      <c r="R19" s="11">
        <v>0</v>
      </c>
      <c r="S19" s="10">
        <v>746.5</v>
      </c>
      <c r="T19" s="9">
        <v>0</v>
      </c>
      <c r="U19" s="14">
        <v>1</v>
      </c>
      <c r="V19" s="12" t="s">
        <v>166</v>
      </c>
      <c r="W19" s="9"/>
      <c r="X19" s="9"/>
    </row>
    <row r="20" spans="1:24" x14ac:dyDescent="0.35">
      <c r="A20" s="3">
        <v>16</v>
      </c>
      <c r="B20" s="3" t="s">
        <v>80</v>
      </c>
      <c r="C20" s="8">
        <v>43827.416666666701</v>
      </c>
      <c r="D20" s="8">
        <v>43827.583333333299</v>
      </c>
      <c r="E20" s="12" t="s">
        <v>29</v>
      </c>
      <c r="F20" s="12" t="s">
        <v>57</v>
      </c>
      <c r="G20" s="9">
        <v>48</v>
      </c>
      <c r="H20" s="9">
        <v>602.5</v>
      </c>
      <c r="I20" s="9">
        <v>0</v>
      </c>
      <c r="J20" s="9">
        <v>0</v>
      </c>
      <c r="K20" s="9">
        <v>650.5</v>
      </c>
      <c r="L20" s="7">
        <v>43813.666666666701</v>
      </c>
      <c r="M20" s="3" t="s">
        <v>167</v>
      </c>
      <c r="N20" s="9">
        <v>666.5</v>
      </c>
      <c r="O20" s="9">
        <v>0</v>
      </c>
      <c r="P20" s="12" t="s">
        <v>24</v>
      </c>
      <c r="Q20" s="9">
        <v>0</v>
      </c>
      <c r="R20" s="11">
        <v>0</v>
      </c>
      <c r="S20" s="10">
        <v>666.5</v>
      </c>
      <c r="T20" s="9">
        <v>0</v>
      </c>
      <c r="U20" s="14">
        <v>1</v>
      </c>
      <c r="V20" s="12" t="s">
        <v>166</v>
      </c>
      <c r="W20" s="9"/>
      <c r="X20" s="9"/>
    </row>
    <row r="21" spans="1:24" x14ac:dyDescent="0.35">
      <c r="A21" s="3">
        <v>17</v>
      </c>
      <c r="B21" s="3" t="s">
        <v>82</v>
      </c>
      <c r="C21" s="8">
        <v>43822.416666666701</v>
      </c>
      <c r="D21" s="8">
        <v>43823.416666666701</v>
      </c>
      <c r="E21" s="12" t="s">
        <v>61</v>
      </c>
      <c r="F21" s="12" t="s">
        <v>85</v>
      </c>
      <c r="G21" s="9">
        <v>140</v>
      </c>
      <c r="H21" s="9">
        <v>3302.5</v>
      </c>
      <c r="I21" s="9">
        <v>0</v>
      </c>
      <c r="J21" s="9">
        <v>0</v>
      </c>
      <c r="K21" s="9">
        <v>3442.5</v>
      </c>
      <c r="L21" s="7">
        <v>43810.625</v>
      </c>
      <c r="M21" s="3" t="s">
        <v>167</v>
      </c>
      <c r="N21" s="9">
        <v>3382.5</v>
      </c>
      <c r="O21" s="9">
        <v>0</v>
      </c>
      <c r="P21" s="12" t="s">
        <v>24</v>
      </c>
      <c r="Q21" s="9">
        <v>0</v>
      </c>
      <c r="R21" s="11">
        <v>0</v>
      </c>
      <c r="S21" s="10">
        <v>3382.5</v>
      </c>
      <c r="T21" s="9">
        <v>0</v>
      </c>
      <c r="U21" s="14">
        <v>1</v>
      </c>
      <c r="V21" s="12" t="s">
        <v>166</v>
      </c>
      <c r="W21" s="9"/>
      <c r="X21" s="9"/>
    </row>
    <row r="22" spans="1:24" x14ac:dyDescent="0.35">
      <c r="A22" s="3">
        <v>18</v>
      </c>
      <c r="B22" s="3" t="s">
        <v>86</v>
      </c>
      <c r="C22" s="8">
        <v>43832.583333333299</v>
      </c>
      <c r="D22" s="8">
        <v>43833.583333333299</v>
      </c>
      <c r="E22" s="12" t="s">
        <v>61</v>
      </c>
      <c r="F22" s="12" t="s">
        <v>57</v>
      </c>
      <c r="G22" s="9">
        <v>112</v>
      </c>
      <c r="H22" s="9">
        <v>602.5</v>
      </c>
      <c r="I22" s="9">
        <v>0</v>
      </c>
      <c r="J22" s="9">
        <v>0</v>
      </c>
      <c r="K22" s="9">
        <v>714.5</v>
      </c>
      <c r="L22" s="7">
        <v>43824.666666666701</v>
      </c>
      <c r="M22" s="3" t="s">
        <v>182</v>
      </c>
      <c r="N22" s="9">
        <v>746.5</v>
      </c>
      <c r="O22" s="9">
        <v>0</v>
      </c>
      <c r="P22" s="12" t="s">
        <v>24</v>
      </c>
      <c r="Q22" s="9">
        <v>0</v>
      </c>
      <c r="R22" s="11">
        <v>0</v>
      </c>
      <c r="S22" s="10">
        <v>746.5</v>
      </c>
      <c r="T22" s="9">
        <v>0</v>
      </c>
      <c r="U22" s="14">
        <v>1</v>
      </c>
      <c r="V22" s="12" t="s">
        <v>166</v>
      </c>
      <c r="W22" s="9"/>
      <c r="X22" s="9"/>
    </row>
    <row r="23" spans="1:24" ht="22" x14ac:dyDescent="0.35">
      <c r="A23" s="3">
        <v>19</v>
      </c>
      <c r="B23" s="3" t="s">
        <v>88</v>
      </c>
      <c r="C23" s="8">
        <v>43833.583333333299</v>
      </c>
      <c r="D23" s="8">
        <v>43836.583333333299</v>
      </c>
      <c r="E23" s="12" t="s">
        <v>51</v>
      </c>
      <c r="F23" s="12" t="s">
        <v>77</v>
      </c>
      <c r="G23" s="9">
        <v>672</v>
      </c>
      <c r="H23" s="9">
        <v>2252.5</v>
      </c>
      <c r="I23" s="9">
        <v>0</v>
      </c>
      <c r="J23" s="9">
        <v>0</v>
      </c>
      <c r="K23" s="9">
        <v>2924.5</v>
      </c>
      <c r="L23" s="7">
        <v>43826.416666666701</v>
      </c>
      <c r="M23" s="3" t="s">
        <v>178</v>
      </c>
      <c r="N23" s="9">
        <v>2636.5</v>
      </c>
      <c r="O23" s="9">
        <v>0</v>
      </c>
      <c r="P23" s="12" t="s">
        <v>24</v>
      </c>
      <c r="Q23" s="9">
        <v>0</v>
      </c>
      <c r="R23" s="11">
        <v>0</v>
      </c>
      <c r="S23" s="10">
        <v>2636.5</v>
      </c>
      <c r="T23" s="9">
        <v>0</v>
      </c>
      <c r="U23" s="14">
        <v>1</v>
      </c>
      <c r="V23" s="12" t="s">
        <v>166</v>
      </c>
      <c r="W23" s="9"/>
      <c r="X23" s="9"/>
    </row>
    <row r="24" spans="1:24" x14ac:dyDescent="0.35">
      <c r="A24" s="3">
        <v>20</v>
      </c>
      <c r="B24" s="3" t="s">
        <v>91</v>
      </c>
      <c r="C24" s="8">
        <v>43824.416666666701</v>
      </c>
      <c r="D24" s="8">
        <v>43825.416666666701</v>
      </c>
      <c r="E24" s="12" t="s">
        <v>61</v>
      </c>
      <c r="F24" s="12" t="s">
        <v>67</v>
      </c>
      <c r="G24" s="9">
        <v>56</v>
      </c>
      <c r="H24" s="9">
        <v>28602.5</v>
      </c>
      <c r="I24" s="9">
        <v>0</v>
      </c>
      <c r="J24" s="9">
        <v>0</v>
      </c>
      <c r="K24" s="9">
        <v>28658.5</v>
      </c>
      <c r="L24" s="7">
        <v>43811.458333333299</v>
      </c>
      <c r="M24" s="3" t="s">
        <v>174</v>
      </c>
      <c r="N24" s="9">
        <v>28642.5</v>
      </c>
      <c r="O24" s="9">
        <v>0</v>
      </c>
      <c r="P24" s="12" t="s">
        <v>24</v>
      </c>
      <c r="Q24" s="9">
        <v>0</v>
      </c>
      <c r="R24" s="11">
        <v>0</v>
      </c>
      <c r="S24" s="10">
        <v>28642.5</v>
      </c>
      <c r="T24" s="9">
        <v>0</v>
      </c>
      <c r="U24" s="14">
        <v>1</v>
      </c>
      <c r="V24" s="12" t="s">
        <v>166</v>
      </c>
      <c r="W24" s="9"/>
      <c r="X24" s="9"/>
    </row>
    <row r="25" spans="1:24" ht="22" x14ac:dyDescent="0.35">
      <c r="A25" s="3">
        <v>21</v>
      </c>
      <c r="B25" s="3" t="s">
        <v>95</v>
      </c>
      <c r="C25" s="8">
        <v>43830.583333333299</v>
      </c>
      <c r="D25" s="8">
        <v>43831.583333333299</v>
      </c>
      <c r="E25" s="12" t="s">
        <v>61</v>
      </c>
      <c r="F25" s="12" t="s">
        <v>36</v>
      </c>
      <c r="G25" s="9">
        <v>168</v>
      </c>
      <c r="H25" s="9">
        <v>3677.5</v>
      </c>
      <c r="I25" s="9">
        <v>0</v>
      </c>
      <c r="J25" s="9">
        <v>0</v>
      </c>
      <c r="K25" s="9">
        <v>3845.5</v>
      </c>
      <c r="L25" s="7">
        <v>43827.458333333299</v>
      </c>
      <c r="M25" s="3" t="s">
        <v>174</v>
      </c>
      <c r="N25" s="9">
        <v>3797.5</v>
      </c>
      <c r="O25" s="9">
        <v>24</v>
      </c>
      <c r="P25" s="12" t="s">
        <v>183</v>
      </c>
      <c r="Q25" s="9">
        <v>0</v>
      </c>
      <c r="R25" s="11">
        <v>0</v>
      </c>
      <c r="S25" s="10">
        <v>3797.5</v>
      </c>
      <c r="T25" s="9">
        <v>24</v>
      </c>
      <c r="U25" s="14">
        <v>0.83333331346511796</v>
      </c>
      <c r="V25" s="12" t="s">
        <v>169</v>
      </c>
      <c r="W25" s="9"/>
      <c r="X25" s="9"/>
    </row>
    <row r="26" spans="1:24" x14ac:dyDescent="0.35">
      <c r="A26" s="3">
        <v>22</v>
      </c>
      <c r="B26" s="3" t="s">
        <v>98</v>
      </c>
      <c r="C26" s="8">
        <v>43825.416666666701</v>
      </c>
      <c r="D26" s="8">
        <v>43826.416666666701</v>
      </c>
      <c r="E26" s="12" t="s">
        <v>61</v>
      </c>
      <c r="F26" s="12" t="s">
        <v>67</v>
      </c>
      <c r="G26" s="9">
        <v>56</v>
      </c>
      <c r="H26" s="9">
        <v>602.5</v>
      </c>
      <c r="I26" s="9">
        <v>0</v>
      </c>
      <c r="J26" s="9">
        <v>0</v>
      </c>
      <c r="K26" s="9">
        <v>658.5</v>
      </c>
      <c r="L26" s="7">
        <v>43812.375</v>
      </c>
      <c r="M26" s="3" t="s">
        <v>124</v>
      </c>
      <c r="N26" s="9">
        <v>650.5</v>
      </c>
      <c r="O26" s="9">
        <v>0</v>
      </c>
      <c r="P26" s="12" t="s">
        <v>24</v>
      </c>
      <c r="Q26" s="9">
        <v>0</v>
      </c>
      <c r="R26" s="11">
        <v>0</v>
      </c>
      <c r="S26" s="10">
        <v>650.5</v>
      </c>
      <c r="T26" s="9">
        <v>0</v>
      </c>
      <c r="U26" s="14">
        <v>1</v>
      </c>
      <c r="V26" s="12" t="s">
        <v>166</v>
      </c>
      <c r="W26" s="9"/>
      <c r="X26" s="9"/>
    </row>
    <row r="27" spans="1:24" x14ac:dyDescent="0.35">
      <c r="A27" s="3">
        <v>23</v>
      </c>
      <c r="B27" s="3" t="s">
        <v>101</v>
      </c>
      <c r="C27" s="8">
        <v>43832.583333333299</v>
      </c>
      <c r="D27" s="8">
        <v>43833.583333333299</v>
      </c>
      <c r="E27" s="12" t="s">
        <v>61</v>
      </c>
      <c r="F27" s="12" t="s">
        <v>52</v>
      </c>
      <c r="G27" s="9">
        <v>224</v>
      </c>
      <c r="H27" s="9">
        <v>43602.5</v>
      </c>
      <c r="I27" s="9">
        <v>0</v>
      </c>
      <c r="J27" s="9">
        <v>0</v>
      </c>
      <c r="K27" s="9">
        <v>43826.5</v>
      </c>
      <c r="L27" s="3"/>
      <c r="M27" s="3" t="s">
        <v>24</v>
      </c>
      <c r="N27" s="9">
        <v>0</v>
      </c>
      <c r="O27" s="9">
        <v>43826.5</v>
      </c>
      <c r="P27" s="12" t="s">
        <v>61</v>
      </c>
      <c r="Q27" s="9">
        <v>0</v>
      </c>
      <c r="R27" s="11">
        <v>0</v>
      </c>
      <c r="S27" s="10">
        <v>0</v>
      </c>
      <c r="T27" s="9">
        <v>43826.5</v>
      </c>
      <c r="U27" s="14">
        <v>0</v>
      </c>
      <c r="V27" s="12" t="s">
        <v>170</v>
      </c>
      <c r="W27" s="9"/>
      <c r="X27" s="9"/>
    </row>
    <row r="28" spans="1:24" x14ac:dyDescent="0.35">
      <c r="A28" s="3">
        <v>24</v>
      </c>
      <c r="B28" s="3" t="s">
        <v>103</v>
      </c>
      <c r="C28" s="8">
        <v>43826.416666666701</v>
      </c>
      <c r="D28" s="8">
        <v>43827.416666666701</v>
      </c>
      <c r="E28" s="12" t="s">
        <v>61</v>
      </c>
      <c r="F28" s="12" t="s">
        <v>67</v>
      </c>
      <c r="G28" s="9">
        <v>56</v>
      </c>
      <c r="H28" s="9">
        <v>1577.5</v>
      </c>
      <c r="I28" s="9">
        <v>0</v>
      </c>
      <c r="J28" s="9">
        <v>0</v>
      </c>
      <c r="K28" s="9">
        <v>1633.5</v>
      </c>
      <c r="L28" s="7">
        <v>43812.666666666701</v>
      </c>
      <c r="M28" s="3" t="s">
        <v>61</v>
      </c>
      <c r="N28" s="9">
        <v>1633.5</v>
      </c>
      <c r="O28" s="9">
        <v>0</v>
      </c>
      <c r="P28" s="12" t="s">
        <v>24</v>
      </c>
      <c r="Q28" s="9">
        <v>0</v>
      </c>
      <c r="R28" s="11">
        <v>0</v>
      </c>
      <c r="S28" s="10">
        <v>1633.5</v>
      </c>
      <c r="T28" s="9">
        <v>0</v>
      </c>
      <c r="U28" s="14">
        <v>1</v>
      </c>
      <c r="V28" s="12" t="s">
        <v>166</v>
      </c>
      <c r="W28" s="9"/>
      <c r="X28" s="9"/>
    </row>
    <row r="29" spans="1:24" x14ac:dyDescent="0.35">
      <c r="A29" s="3">
        <v>25</v>
      </c>
      <c r="B29" s="3" t="s">
        <v>106</v>
      </c>
      <c r="C29" s="8">
        <v>43813.416666666701</v>
      </c>
      <c r="D29" s="8">
        <v>43815.416666666701</v>
      </c>
      <c r="E29" s="12" t="s">
        <v>61</v>
      </c>
      <c r="F29" s="12" t="s">
        <v>67</v>
      </c>
      <c r="G29" s="9">
        <v>56</v>
      </c>
      <c r="H29" s="9">
        <v>2524.5</v>
      </c>
      <c r="I29" s="9">
        <v>0</v>
      </c>
      <c r="J29" s="9">
        <v>0</v>
      </c>
      <c r="K29" s="9">
        <v>2580.5</v>
      </c>
      <c r="L29" s="7">
        <v>43812.541666666701</v>
      </c>
      <c r="M29" s="3" t="s">
        <v>61</v>
      </c>
      <c r="N29" s="9">
        <v>2580.5</v>
      </c>
      <c r="O29" s="9">
        <v>0</v>
      </c>
      <c r="P29" s="12" t="s">
        <v>24</v>
      </c>
      <c r="Q29" s="9">
        <v>0</v>
      </c>
      <c r="R29" s="11">
        <v>0</v>
      </c>
      <c r="S29" s="10">
        <v>2580.5</v>
      </c>
      <c r="T29" s="9">
        <v>0</v>
      </c>
      <c r="U29" s="14">
        <v>1</v>
      </c>
      <c r="V29" s="12" t="s">
        <v>166</v>
      </c>
      <c r="W29" s="9"/>
      <c r="X29" s="9"/>
    </row>
    <row r="30" spans="1:24" x14ac:dyDescent="0.35">
      <c r="A30" s="3">
        <v>26</v>
      </c>
      <c r="B30" s="3" t="s">
        <v>108</v>
      </c>
      <c r="C30" s="8">
        <v>43829.583333333299</v>
      </c>
      <c r="D30" s="8">
        <v>43830.583333333299</v>
      </c>
      <c r="E30" s="12" t="s">
        <v>61</v>
      </c>
      <c r="F30" s="12" t="s">
        <v>57</v>
      </c>
      <c r="G30" s="9">
        <v>112</v>
      </c>
      <c r="H30" s="9">
        <v>3442.30004882813</v>
      </c>
      <c r="I30" s="9">
        <v>0</v>
      </c>
      <c r="J30" s="9">
        <v>0</v>
      </c>
      <c r="K30" s="9">
        <v>3554.30004882813</v>
      </c>
      <c r="L30" s="7">
        <v>43827.458333333299</v>
      </c>
      <c r="M30" s="3" t="s">
        <v>174</v>
      </c>
      <c r="N30" s="9">
        <v>3522.30004882813</v>
      </c>
      <c r="O30" s="9">
        <v>16</v>
      </c>
      <c r="P30" s="12" t="s">
        <v>183</v>
      </c>
      <c r="Q30" s="9">
        <v>0</v>
      </c>
      <c r="R30" s="11">
        <v>0</v>
      </c>
      <c r="S30" s="10">
        <v>3522.30004882813</v>
      </c>
      <c r="T30" s="9">
        <v>16</v>
      </c>
      <c r="U30" s="14">
        <v>0.83333331346511796</v>
      </c>
      <c r="V30" s="12" t="s">
        <v>169</v>
      </c>
      <c r="W30" s="9"/>
      <c r="X30" s="9"/>
    </row>
    <row r="31" spans="1:24" x14ac:dyDescent="0.35">
      <c r="A31" s="3">
        <v>27</v>
      </c>
      <c r="B31" s="3" t="s">
        <v>110</v>
      </c>
      <c r="C31" s="8">
        <v>43823.416666666701</v>
      </c>
      <c r="D31" s="8">
        <v>43824.416666666701</v>
      </c>
      <c r="E31" s="12" t="s">
        <v>61</v>
      </c>
      <c r="F31" s="12" t="s">
        <v>67</v>
      </c>
      <c r="G31" s="9">
        <v>56</v>
      </c>
      <c r="H31" s="9">
        <v>2972.5</v>
      </c>
      <c r="I31" s="9">
        <v>0</v>
      </c>
      <c r="J31" s="9">
        <v>0</v>
      </c>
      <c r="K31" s="9">
        <v>3028.5</v>
      </c>
      <c r="L31" s="7">
        <v>43810.625</v>
      </c>
      <c r="M31" s="3" t="s">
        <v>167</v>
      </c>
      <c r="N31" s="9">
        <v>3004.5</v>
      </c>
      <c r="O31" s="9">
        <v>0</v>
      </c>
      <c r="P31" s="12" t="s">
        <v>24</v>
      </c>
      <c r="Q31" s="9">
        <v>0</v>
      </c>
      <c r="R31" s="11">
        <v>0</v>
      </c>
      <c r="S31" s="10">
        <v>3004.5</v>
      </c>
      <c r="T31" s="9">
        <v>0</v>
      </c>
      <c r="U31" s="14">
        <v>1</v>
      </c>
      <c r="V31" s="12" t="s">
        <v>166</v>
      </c>
      <c r="W31" s="9"/>
      <c r="X31" s="9"/>
    </row>
    <row r="32" spans="1:24" x14ac:dyDescent="0.35">
      <c r="A32" s="3">
        <v>28</v>
      </c>
      <c r="B32" s="3" t="s">
        <v>113</v>
      </c>
      <c r="C32" s="8">
        <v>43832.583333333299</v>
      </c>
      <c r="D32" s="8">
        <v>43833.583333333299</v>
      </c>
      <c r="E32" s="12" t="s">
        <v>61</v>
      </c>
      <c r="F32" s="12" t="s">
        <v>67</v>
      </c>
      <c r="G32" s="9">
        <v>56</v>
      </c>
      <c r="H32" s="9">
        <v>1586.5</v>
      </c>
      <c r="I32" s="9">
        <v>0</v>
      </c>
      <c r="J32" s="9">
        <v>0</v>
      </c>
      <c r="K32" s="9">
        <v>1642.5</v>
      </c>
      <c r="L32" s="7">
        <v>43810.625</v>
      </c>
      <c r="M32" s="3" t="s">
        <v>185</v>
      </c>
      <c r="N32" s="9">
        <v>1666.5</v>
      </c>
      <c r="O32" s="9">
        <v>0</v>
      </c>
      <c r="P32" s="12" t="s">
        <v>24</v>
      </c>
      <c r="Q32" s="9">
        <v>0</v>
      </c>
      <c r="R32" s="11">
        <v>0</v>
      </c>
      <c r="S32" s="10">
        <v>1666.5</v>
      </c>
      <c r="T32" s="9">
        <v>0</v>
      </c>
      <c r="U32" s="14">
        <v>1</v>
      </c>
      <c r="V32" s="12" t="s">
        <v>166</v>
      </c>
      <c r="W32" s="9"/>
      <c r="X32" s="9"/>
    </row>
    <row r="33" spans="1:24" ht="22" x14ac:dyDescent="0.35">
      <c r="A33" s="3">
        <v>29</v>
      </c>
      <c r="B33" s="3" t="s">
        <v>117</v>
      </c>
      <c r="C33" s="8">
        <v>43833.583333333299</v>
      </c>
      <c r="D33" s="8">
        <v>43833.708333333299</v>
      </c>
      <c r="E33" s="12" t="s">
        <v>29</v>
      </c>
      <c r="F33" s="12" t="s">
        <v>67</v>
      </c>
      <c r="G33" s="9">
        <v>24</v>
      </c>
      <c r="H33" s="9">
        <v>602.5</v>
      </c>
      <c r="I33" s="9">
        <v>0</v>
      </c>
      <c r="J33" s="9">
        <v>0</v>
      </c>
      <c r="K33" s="9">
        <v>626.5</v>
      </c>
      <c r="L33" s="7">
        <v>43812.416666666701</v>
      </c>
      <c r="M33" s="3" t="s">
        <v>177</v>
      </c>
      <c r="N33" s="9">
        <v>618.5</v>
      </c>
      <c r="O33" s="9">
        <v>0</v>
      </c>
      <c r="P33" s="12" t="s">
        <v>24</v>
      </c>
      <c r="Q33" s="9">
        <v>0</v>
      </c>
      <c r="R33" s="11">
        <v>0</v>
      </c>
      <c r="S33" s="10">
        <v>618.5</v>
      </c>
      <c r="T33" s="9">
        <v>0</v>
      </c>
      <c r="U33" s="14">
        <v>1</v>
      </c>
      <c r="V33" s="12" t="s">
        <v>166</v>
      </c>
      <c r="W33" s="9"/>
      <c r="X33" s="9"/>
    </row>
    <row r="34" spans="1:24" x14ac:dyDescent="0.35">
      <c r="A34" s="3">
        <v>30</v>
      </c>
      <c r="B34" s="3" t="s">
        <v>120</v>
      </c>
      <c r="C34" s="8">
        <v>43838.583333333299</v>
      </c>
      <c r="D34" s="8">
        <v>43839.5</v>
      </c>
      <c r="E34" s="12" t="s">
        <v>124</v>
      </c>
      <c r="F34" s="12" t="s">
        <v>67</v>
      </c>
      <c r="G34" s="9">
        <v>48</v>
      </c>
      <c r="H34" s="9">
        <v>602.5</v>
      </c>
      <c r="I34" s="9">
        <v>0</v>
      </c>
      <c r="J34" s="9">
        <v>0</v>
      </c>
      <c r="K34" s="9">
        <v>650.5</v>
      </c>
      <c r="L34" s="3"/>
      <c r="M34" s="3" t="s">
        <v>24</v>
      </c>
      <c r="N34" s="9">
        <v>0</v>
      </c>
      <c r="O34" s="9">
        <v>650.5</v>
      </c>
      <c r="P34" s="12" t="s">
        <v>124</v>
      </c>
      <c r="Q34" s="9">
        <v>0</v>
      </c>
      <c r="R34" s="11">
        <v>0</v>
      </c>
      <c r="S34" s="10">
        <v>0</v>
      </c>
      <c r="T34" s="9">
        <v>650.5</v>
      </c>
      <c r="U34" s="14">
        <v>0</v>
      </c>
      <c r="V34" s="12" t="s">
        <v>170</v>
      </c>
      <c r="W34" s="9"/>
      <c r="X34" s="9"/>
    </row>
    <row r="35" spans="1:24" x14ac:dyDescent="0.35">
      <c r="A35" s="3">
        <v>31</v>
      </c>
      <c r="B35" s="3" t="s">
        <v>125</v>
      </c>
      <c r="C35" s="8">
        <v>43839.5</v>
      </c>
      <c r="D35" s="8">
        <v>43839.5</v>
      </c>
      <c r="E35" s="12" t="s">
        <v>24</v>
      </c>
      <c r="F35" s="12"/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3"/>
      <c r="M35" s="3" t="s">
        <v>24</v>
      </c>
      <c r="N35" s="9">
        <v>0</v>
      </c>
      <c r="O35" s="9">
        <v>0</v>
      </c>
      <c r="P35" s="12" t="s">
        <v>24</v>
      </c>
      <c r="Q35" s="9">
        <v>0</v>
      </c>
      <c r="R35" s="11">
        <v>0</v>
      </c>
      <c r="S35" s="10">
        <v>0</v>
      </c>
      <c r="T35" s="9">
        <v>0</v>
      </c>
      <c r="U35" s="14">
        <v>0</v>
      </c>
      <c r="V35" s="12" t="s">
        <v>170</v>
      </c>
      <c r="W35" s="9"/>
      <c r="X35" s="9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Blad23"/>
  <dimension ref="A1:X35"/>
  <sheetViews>
    <sheetView topLeftCell="C1" workbookViewId="0">
      <selection activeCell="W5" sqref="W5:X35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150</v>
      </c>
      <c r="C1" s="7">
        <v>43829.708333333299</v>
      </c>
      <c r="E1" s="1" t="s">
        <v>151</v>
      </c>
      <c r="F1" s="4" t="s">
        <v>231</v>
      </c>
    </row>
    <row r="3" spans="1:24" x14ac:dyDescent="0.35">
      <c r="A3" s="24" t="s">
        <v>0</v>
      </c>
      <c r="B3" s="24"/>
      <c r="C3" s="24" t="s">
        <v>2</v>
      </c>
      <c r="D3" s="24"/>
      <c r="E3" s="24"/>
      <c r="F3" s="24" t="s">
        <v>3</v>
      </c>
      <c r="G3" s="24"/>
      <c r="H3" s="24" t="s">
        <v>4</v>
      </c>
      <c r="I3" s="24"/>
      <c r="J3" s="24"/>
      <c r="K3" s="24"/>
      <c r="L3" s="24" t="s">
        <v>152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153</v>
      </c>
      <c r="M4" s="1" t="s">
        <v>154</v>
      </c>
      <c r="N4" s="1" t="s">
        <v>155</v>
      </c>
      <c r="O4" s="1" t="s">
        <v>156</v>
      </c>
      <c r="P4" s="1" t="s">
        <v>157</v>
      </c>
      <c r="Q4" s="1" t="s">
        <v>158</v>
      </c>
      <c r="R4" s="1" t="s">
        <v>159</v>
      </c>
      <c r="S4" s="1" t="s">
        <v>160</v>
      </c>
      <c r="T4" s="1" t="s">
        <v>161</v>
      </c>
      <c r="U4" s="1" t="s">
        <v>162</v>
      </c>
      <c r="V4" s="1" t="s">
        <v>152</v>
      </c>
      <c r="W4" s="1" t="s">
        <v>163</v>
      </c>
      <c r="X4" s="1" t="s">
        <v>164</v>
      </c>
    </row>
    <row r="5" spans="1:24" x14ac:dyDescent="0.35">
      <c r="A5" s="2">
        <v>0</v>
      </c>
      <c r="B5" s="3" t="s">
        <v>18</v>
      </c>
      <c r="C5" s="5">
        <v>43808.375</v>
      </c>
      <c r="D5" s="5">
        <v>43839.5</v>
      </c>
      <c r="E5" s="2" t="s">
        <v>20</v>
      </c>
      <c r="F5" s="2"/>
      <c r="G5" s="6"/>
      <c r="H5" s="6">
        <v>118411.30004882799</v>
      </c>
      <c r="I5" s="6"/>
      <c r="J5" s="6"/>
      <c r="K5" s="6">
        <v>126955.30004882799</v>
      </c>
      <c r="L5" s="2"/>
      <c r="M5" s="2" t="s">
        <v>232</v>
      </c>
      <c r="N5" s="6"/>
      <c r="O5" s="6"/>
      <c r="P5" s="2"/>
      <c r="Q5" s="6"/>
      <c r="R5" s="6"/>
      <c r="S5" s="6">
        <v>124258.30004882799</v>
      </c>
      <c r="T5" s="6"/>
      <c r="U5" s="13">
        <v>0.98439608272172896</v>
      </c>
      <c r="V5" s="2"/>
      <c r="W5" s="6"/>
      <c r="X5" s="6"/>
    </row>
    <row r="6" spans="1:24" x14ac:dyDescent="0.35">
      <c r="A6" s="3">
        <v>1</v>
      </c>
      <c r="B6" s="3" t="s">
        <v>21</v>
      </c>
      <c r="C6" s="8">
        <v>43808.375</v>
      </c>
      <c r="D6" s="8">
        <v>43806.708333333299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43808.375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166</v>
      </c>
      <c r="W6" s="9"/>
      <c r="X6" s="9"/>
    </row>
    <row r="7" spans="1:24" ht="22" x14ac:dyDescent="0.35">
      <c r="A7" s="3">
        <v>2</v>
      </c>
      <c r="B7" s="3" t="s">
        <v>25</v>
      </c>
      <c r="C7" s="8">
        <v>43808.375</v>
      </c>
      <c r="D7" s="8">
        <v>43808.5</v>
      </c>
      <c r="E7" s="12" t="s">
        <v>29</v>
      </c>
      <c r="F7" s="12" t="s">
        <v>30</v>
      </c>
      <c r="G7" s="9">
        <v>36</v>
      </c>
      <c r="H7" s="9">
        <v>931.5</v>
      </c>
      <c r="I7" s="9">
        <v>0</v>
      </c>
      <c r="J7" s="9">
        <v>0</v>
      </c>
      <c r="K7" s="9">
        <v>967.5</v>
      </c>
      <c r="L7" s="7">
        <v>43808.375</v>
      </c>
      <c r="M7" s="3" t="s">
        <v>29</v>
      </c>
      <c r="N7" s="9">
        <v>967.5</v>
      </c>
      <c r="O7" s="9">
        <v>0</v>
      </c>
      <c r="P7" s="12" t="s">
        <v>24</v>
      </c>
      <c r="Q7" s="9">
        <v>0</v>
      </c>
      <c r="R7" s="11">
        <v>0</v>
      </c>
      <c r="S7" s="10">
        <v>967.5</v>
      </c>
      <c r="T7" s="9">
        <v>0</v>
      </c>
      <c r="U7" s="14">
        <v>1</v>
      </c>
      <c r="V7" s="12" t="s">
        <v>166</v>
      </c>
      <c r="W7" s="9"/>
      <c r="X7" s="9"/>
    </row>
    <row r="8" spans="1:24" x14ac:dyDescent="0.35">
      <c r="A8" s="3">
        <v>3</v>
      </c>
      <c r="B8" s="3" t="s">
        <v>31</v>
      </c>
      <c r="C8" s="8">
        <v>43808.541666666701</v>
      </c>
      <c r="D8" s="8">
        <v>43813.5</v>
      </c>
      <c r="E8" s="12" t="s">
        <v>35</v>
      </c>
      <c r="F8" s="12" t="s">
        <v>36</v>
      </c>
      <c r="G8" s="9">
        <v>840</v>
      </c>
      <c r="H8" s="9">
        <v>950.5</v>
      </c>
      <c r="I8" s="9">
        <v>0</v>
      </c>
      <c r="J8" s="9">
        <v>0</v>
      </c>
      <c r="K8" s="9">
        <v>1790.5</v>
      </c>
      <c r="L8" s="7">
        <v>43808.541666666701</v>
      </c>
      <c r="M8" s="3" t="s">
        <v>181</v>
      </c>
      <c r="N8" s="9">
        <v>1550.5</v>
      </c>
      <c r="O8" s="9">
        <v>0</v>
      </c>
      <c r="P8" s="12" t="s">
        <v>24</v>
      </c>
      <c r="Q8" s="9">
        <v>0</v>
      </c>
      <c r="R8" s="11">
        <v>0</v>
      </c>
      <c r="S8" s="10">
        <v>1550.5</v>
      </c>
      <c r="T8" s="9">
        <v>0</v>
      </c>
      <c r="U8" s="14">
        <v>1</v>
      </c>
      <c r="V8" s="12" t="s">
        <v>166</v>
      </c>
      <c r="W8" s="9"/>
      <c r="X8" s="9"/>
    </row>
    <row r="9" spans="1:24" x14ac:dyDescent="0.35">
      <c r="A9" s="3">
        <v>4</v>
      </c>
      <c r="B9" s="3" t="s">
        <v>37</v>
      </c>
      <c r="C9" s="8">
        <v>43813.541666666701</v>
      </c>
      <c r="D9" s="8">
        <v>43816.625</v>
      </c>
      <c r="E9" s="12" t="s">
        <v>41</v>
      </c>
      <c r="F9" s="12" t="s">
        <v>42</v>
      </c>
      <c r="G9" s="9">
        <v>640</v>
      </c>
      <c r="H9" s="9">
        <v>8819</v>
      </c>
      <c r="I9" s="9">
        <v>0</v>
      </c>
      <c r="J9" s="9">
        <v>0</v>
      </c>
      <c r="K9" s="9">
        <v>9459</v>
      </c>
      <c r="L9" s="7">
        <v>43812.375</v>
      </c>
      <c r="M9" s="3" t="s">
        <v>185</v>
      </c>
      <c r="N9" s="9">
        <v>9219</v>
      </c>
      <c r="O9" s="9">
        <v>0</v>
      </c>
      <c r="P9" s="12" t="s">
        <v>24</v>
      </c>
      <c r="Q9" s="9">
        <v>0</v>
      </c>
      <c r="R9" s="11">
        <v>0</v>
      </c>
      <c r="S9" s="10">
        <v>9219</v>
      </c>
      <c r="T9" s="9">
        <v>0</v>
      </c>
      <c r="U9" s="14">
        <v>1</v>
      </c>
      <c r="V9" s="12" t="s">
        <v>166</v>
      </c>
      <c r="W9" s="9"/>
      <c r="X9" s="9"/>
    </row>
    <row r="10" spans="1:24" ht="22" x14ac:dyDescent="0.35">
      <c r="A10" s="3">
        <v>5</v>
      </c>
      <c r="B10" s="3" t="s">
        <v>43</v>
      </c>
      <c r="C10" s="8">
        <v>43816.625</v>
      </c>
      <c r="D10" s="8">
        <v>43827.708333333299</v>
      </c>
      <c r="E10" s="12" t="s">
        <v>47</v>
      </c>
      <c r="F10" s="12" t="s">
        <v>42</v>
      </c>
      <c r="G10" s="9">
        <v>2880</v>
      </c>
      <c r="H10" s="9">
        <v>3166.5</v>
      </c>
      <c r="I10" s="9">
        <v>0</v>
      </c>
      <c r="J10" s="9">
        <v>0</v>
      </c>
      <c r="K10" s="9">
        <v>6046.5</v>
      </c>
      <c r="L10" s="7">
        <v>43813.541666666701</v>
      </c>
      <c r="M10" s="3" t="s">
        <v>224</v>
      </c>
      <c r="N10" s="9">
        <v>5806.5</v>
      </c>
      <c r="O10" s="9">
        <v>0</v>
      </c>
      <c r="P10" s="12" t="s">
        <v>24</v>
      </c>
      <c r="Q10" s="9">
        <v>0</v>
      </c>
      <c r="R10" s="11">
        <v>0</v>
      </c>
      <c r="S10" s="10">
        <v>5806.5</v>
      </c>
      <c r="T10" s="9">
        <v>0</v>
      </c>
      <c r="U10" s="14">
        <v>1</v>
      </c>
      <c r="V10" s="12" t="s">
        <v>166</v>
      </c>
      <c r="W10" s="9"/>
      <c r="X10" s="9"/>
    </row>
    <row r="11" spans="1:24" x14ac:dyDescent="0.35">
      <c r="A11" s="3">
        <v>6</v>
      </c>
      <c r="B11" s="3" t="s">
        <v>48</v>
      </c>
      <c r="C11" s="8">
        <v>43830.583333333299</v>
      </c>
      <c r="D11" s="8">
        <v>43832.583333333299</v>
      </c>
      <c r="E11" s="12" t="s">
        <v>51</v>
      </c>
      <c r="F11" s="12" t="s">
        <v>52</v>
      </c>
      <c r="G11" s="9">
        <v>448</v>
      </c>
      <c r="H11" s="9">
        <v>1802.5</v>
      </c>
      <c r="I11" s="9">
        <v>0</v>
      </c>
      <c r="J11" s="9">
        <v>0</v>
      </c>
      <c r="K11" s="9">
        <v>2250.5</v>
      </c>
      <c r="L11" s="7">
        <v>43808.541666666701</v>
      </c>
      <c r="M11" s="3" t="s">
        <v>41</v>
      </c>
      <c r="N11" s="9">
        <v>2314.5</v>
      </c>
      <c r="O11" s="9">
        <v>0</v>
      </c>
      <c r="P11" s="12" t="s">
        <v>24</v>
      </c>
      <c r="Q11" s="9">
        <v>0</v>
      </c>
      <c r="R11" s="11">
        <v>0</v>
      </c>
      <c r="S11" s="10">
        <v>2314.5</v>
      </c>
      <c r="T11" s="9">
        <v>0</v>
      </c>
      <c r="U11" s="14">
        <v>1</v>
      </c>
      <c r="V11" s="12" t="s">
        <v>166</v>
      </c>
      <c r="W11" s="9"/>
      <c r="X11" s="9"/>
    </row>
    <row r="12" spans="1:24" x14ac:dyDescent="0.35">
      <c r="A12" s="3">
        <v>7</v>
      </c>
      <c r="B12" s="3" t="s">
        <v>53</v>
      </c>
      <c r="C12" s="8">
        <v>43815.416666666701</v>
      </c>
      <c r="D12" s="8">
        <v>43822.416666666701</v>
      </c>
      <c r="E12" s="12" t="s">
        <v>56</v>
      </c>
      <c r="F12" s="12" t="s">
        <v>57</v>
      </c>
      <c r="G12" s="9">
        <v>672</v>
      </c>
      <c r="H12" s="9">
        <v>1970.5</v>
      </c>
      <c r="I12" s="9">
        <v>0</v>
      </c>
      <c r="J12" s="9">
        <v>0</v>
      </c>
      <c r="K12" s="9">
        <v>2642.5</v>
      </c>
      <c r="L12" s="7">
        <v>43815.541666666701</v>
      </c>
      <c r="M12" s="3" t="s">
        <v>193</v>
      </c>
      <c r="N12" s="9">
        <v>2866.5</v>
      </c>
      <c r="O12" s="9">
        <v>0</v>
      </c>
      <c r="P12" s="12" t="s">
        <v>24</v>
      </c>
      <c r="Q12" s="9">
        <v>0</v>
      </c>
      <c r="R12" s="11">
        <v>0</v>
      </c>
      <c r="S12" s="10">
        <v>2866.5</v>
      </c>
      <c r="T12" s="9">
        <v>0</v>
      </c>
      <c r="U12" s="14">
        <v>1</v>
      </c>
      <c r="V12" s="12" t="s">
        <v>166</v>
      </c>
      <c r="W12" s="9"/>
      <c r="X12" s="9"/>
    </row>
    <row r="13" spans="1:24" ht="22" x14ac:dyDescent="0.35">
      <c r="A13" s="3">
        <v>8</v>
      </c>
      <c r="B13" s="3" t="s">
        <v>58</v>
      </c>
      <c r="C13" s="8">
        <v>43831.583333333299</v>
      </c>
      <c r="D13" s="8">
        <v>43832.583333333299</v>
      </c>
      <c r="E13" s="12" t="s">
        <v>61</v>
      </c>
      <c r="F13" s="12" t="s">
        <v>57</v>
      </c>
      <c r="G13" s="9">
        <v>112</v>
      </c>
      <c r="H13" s="9">
        <v>602.5</v>
      </c>
      <c r="I13" s="9">
        <v>0</v>
      </c>
      <c r="J13" s="9">
        <v>0</v>
      </c>
      <c r="K13" s="9">
        <v>714.5</v>
      </c>
      <c r="L13" s="7">
        <v>43824.666666666701</v>
      </c>
      <c r="M13" s="3" t="s">
        <v>178</v>
      </c>
      <c r="N13" s="9">
        <v>730.5</v>
      </c>
      <c r="O13" s="9">
        <v>0</v>
      </c>
      <c r="P13" s="12" t="s">
        <v>24</v>
      </c>
      <c r="Q13" s="9">
        <v>0</v>
      </c>
      <c r="R13" s="11">
        <v>0</v>
      </c>
      <c r="S13" s="10">
        <v>730.5</v>
      </c>
      <c r="T13" s="9">
        <v>0</v>
      </c>
      <c r="U13" s="14">
        <v>1</v>
      </c>
      <c r="V13" s="12" t="s">
        <v>166</v>
      </c>
      <c r="W13" s="9"/>
      <c r="X13" s="9"/>
    </row>
    <row r="14" spans="1:24" x14ac:dyDescent="0.35">
      <c r="A14" s="3">
        <v>9</v>
      </c>
      <c r="B14" s="3" t="s">
        <v>62</v>
      </c>
      <c r="C14" s="8">
        <v>43829.583333333299</v>
      </c>
      <c r="D14" s="8">
        <v>43830.583333333299</v>
      </c>
      <c r="E14" s="12" t="s">
        <v>61</v>
      </c>
      <c r="F14" s="12" t="s">
        <v>57</v>
      </c>
      <c r="G14" s="9">
        <v>112</v>
      </c>
      <c r="H14" s="9">
        <v>602.5</v>
      </c>
      <c r="I14" s="9">
        <v>0</v>
      </c>
      <c r="J14" s="9">
        <v>0</v>
      </c>
      <c r="K14" s="9">
        <v>714.5</v>
      </c>
      <c r="L14" s="7">
        <v>43827.458333333299</v>
      </c>
      <c r="M14" s="3" t="s">
        <v>61</v>
      </c>
      <c r="N14" s="9">
        <v>714.5</v>
      </c>
      <c r="O14" s="9">
        <v>0</v>
      </c>
      <c r="P14" s="12" t="s">
        <v>24</v>
      </c>
      <c r="Q14" s="9">
        <v>0</v>
      </c>
      <c r="R14" s="11">
        <v>0</v>
      </c>
      <c r="S14" s="10">
        <v>714.5</v>
      </c>
      <c r="T14" s="9">
        <v>0</v>
      </c>
      <c r="U14" s="14">
        <v>1</v>
      </c>
      <c r="V14" s="12" t="s">
        <v>166</v>
      </c>
      <c r="W14" s="9"/>
      <c r="X14" s="9"/>
    </row>
    <row r="15" spans="1:24" ht="22" x14ac:dyDescent="0.35">
      <c r="A15" s="3">
        <v>10</v>
      </c>
      <c r="B15" s="3" t="s">
        <v>64</v>
      </c>
      <c r="C15" s="8">
        <v>43829.375</v>
      </c>
      <c r="D15" s="8">
        <v>43829.708333333299</v>
      </c>
      <c r="E15" s="12" t="s">
        <v>61</v>
      </c>
      <c r="F15" s="12" t="s">
        <v>67</v>
      </c>
      <c r="G15" s="9">
        <v>56</v>
      </c>
      <c r="H15" s="9">
        <v>602.5</v>
      </c>
      <c r="I15" s="9">
        <v>0</v>
      </c>
      <c r="J15" s="9">
        <v>0</v>
      </c>
      <c r="K15" s="9">
        <v>658.5</v>
      </c>
      <c r="L15" s="7">
        <v>43824.666666666701</v>
      </c>
      <c r="M15" s="3" t="s">
        <v>61</v>
      </c>
      <c r="N15" s="9">
        <v>658.5</v>
      </c>
      <c r="O15" s="9">
        <v>0</v>
      </c>
      <c r="P15" s="12" t="s">
        <v>24</v>
      </c>
      <c r="Q15" s="9">
        <v>0</v>
      </c>
      <c r="R15" s="11">
        <v>0</v>
      </c>
      <c r="S15" s="10">
        <v>658.5</v>
      </c>
      <c r="T15" s="9">
        <v>0</v>
      </c>
      <c r="U15" s="14">
        <v>1</v>
      </c>
      <c r="V15" s="12" t="s">
        <v>166</v>
      </c>
      <c r="W15" s="9"/>
      <c r="X15" s="9"/>
    </row>
    <row r="16" spans="1:24" x14ac:dyDescent="0.35">
      <c r="A16" s="3">
        <v>11</v>
      </c>
      <c r="B16" s="3" t="s">
        <v>68</v>
      </c>
      <c r="C16" s="8">
        <v>43813.416666666701</v>
      </c>
      <c r="D16" s="8">
        <v>43815.416666666701</v>
      </c>
      <c r="E16" s="12" t="s">
        <v>61</v>
      </c>
      <c r="F16" s="12" t="s">
        <v>67</v>
      </c>
      <c r="G16" s="9">
        <v>56</v>
      </c>
      <c r="H16" s="9">
        <v>602.5</v>
      </c>
      <c r="I16" s="9">
        <v>0</v>
      </c>
      <c r="J16" s="9">
        <v>0</v>
      </c>
      <c r="K16" s="9">
        <v>658.5</v>
      </c>
      <c r="L16" s="7">
        <v>43825.666666666701</v>
      </c>
      <c r="M16" s="3" t="s">
        <v>182</v>
      </c>
      <c r="N16" s="9">
        <v>674.5</v>
      </c>
      <c r="O16" s="9">
        <v>0</v>
      </c>
      <c r="P16" s="12" t="s">
        <v>24</v>
      </c>
      <c r="Q16" s="9">
        <v>0</v>
      </c>
      <c r="R16" s="11">
        <v>0</v>
      </c>
      <c r="S16" s="10">
        <v>674.5</v>
      </c>
      <c r="T16" s="9">
        <v>0</v>
      </c>
      <c r="U16" s="14">
        <v>1</v>
      </c>
      <c r="V16" s="12" t="s">
        <v>166</v>
      </c>
      <c r="W16" s="9"/>
      <c r="X16" s="9"/>
    </row>
    <row r="17" spans="1:24" ht="22" x14ac:dyDescent="0.35">
      <c r="A17" s="3">
        <v>13</v>
      </c>
      <c r="B17" s="3" t="s">
        <v>70</v>
      </c>
      <c r="C17" s="8">
        <v>43823.416666666701</v>
      </c>
      <c r="D17" s="8">
        <v>43823.583333333299</v>
      </c>
      <c r="E17" s="12" t="s">
        <v>29</v>
      </c>
      <c r="F17" s="12" t="s">
        <v>67</v>
      </c>
      <c r="G17" s="9">
        <v>24</v>
      </c>
      <c r="H17" s="9">
        <v>602.5</v>
      </c>
      <c r="I17" s="9">
        <v>0</v>
      </c>
      <c r="J17" s="9">
        <v>0</v>
      </c>
      <c r="K17" s="9">
        <v>626.5</v>
      </c>
      <c r="L17" s="7">
        <v>43811.458333333299</v>
      </c>
      <c r="M17" s="3" t="s">
        <v>29</v>
      </c>
      <c r="N17" s="9">
        <v>626.5</v>
      </c>
      <c r="O17" s="9">
        <v>0</v>
      </c>
      <c r="P17" s="12" t="s">
        <v>24</v>
      </c>
      <c r="Q17" s="9">
        <v>0</v>
      </c>
      <c r="R17" s="11">
        <v>0</v>
      </c>
      <c r="S17" s="10">
        <v>626.5</v>
      </c>
      <c r="T17" s="9">
        <v>0</v>
      </c>
      <c r="U17" s="14">
        <v>1</v>
      </c>
      <c r="V17" s="12" t="s">
        <v>166</v>
      </c>
      <c r="W17" s="9"/>
      <c r="X17" s="9"/>
    </row>
    <row r="18" spans="1:24" x14ac:dyDescent="0.35">
      <c r="A18" s="3">
        <v>14</v>
      </c>
      <c r="B18" s="3" t="s">
        <v>74</v>
      </c>
      <c r="C18" s="8">
        <v>43836.583333333299</v>
      </c>
      <c r="D18" s="8">
        <v>43838.583333333299</v>
      </c>
      <c r="E18" s="12" t="s">
        <v>51</v>
      </c>
      <c r="F18" s="12" t="s">
        <v>77</v>
      </c>
      <c r="G18" s="9">
        <v>672</v>
      </c>
      <c r="H18" s="9">
        <v>602.5</v>
      </c>
      <c r="I18" s="9">
        <v>0</v>
      </c>
      <c r="J18" s="9">
        <v>0</v>
      </c>
      <c r="K18" s="9">
        <v>1274.5</v>
      </c>
      <c r="L18" s="3"/>
      <c r="M18" s="3" t="s">
        <v>24</v>
      </c>
      <c r="N18" s="9">
        <v>0</v>
      </c>
      <c r="O18" s="9">
        <v>1274.5</v>
      </c>
      <c r="P18" s="12" t="s">
        <v>51</v>
      </c>
      <c r="Q18" s="9">
        <v>0</v>
      </c>
      <c r="R18" s="11">
        <v>0</v>
      </c>
      <c r="S18" s="10">
        <v>0</v>
      </c>
      <c r="T18" s="9">
        <v>1274.5</v>
      </c>
      <c r="U18" s="14">
        <v>0</v>
      </c>
      <c r="V18" s="12" t="s">
        <v>170</v>
      </c>
      <c r="W18" s="9"/>
      <c r="X18" s="9"/>
    </row>
    <row r="19" spans="1:24" x14ac:dyDescent="0.35">
      <c r="A19" s="3">
        <v>15</v>
      </c>
      <c r="B19" s="3" t="s">
        <v>78</v>
      </c>
      <c r="C19" s="8">
        <v>43829.583333333299</v>
      </c>
      <c r="D19" s="8">
        <v>43830.583333333299</v>
      </c>
      <c r="E19" s="12" t="s">
        <v>61</v>
      </c>
      <c r="F19" s="12" t="s">
        <v>57</v>
      </c>
      <c r="G19" s="9">
        <v>112</v>
      </c>
      <c r="H19" s="9">
        <v>602.5</v>
      </c>
      <c r="I19" s="9">
        <v>0</v>
      </c>
      <c r="J19" s="9">
        <v>0</v>
      </c>
      <c r="K19" s="9">
        <v>714.5</v>
      </c>
      <c r="L19" s="7">
        <v>43824.666666666701</v>
      </c>
      <c r="M19" s="3" t="s">
        <v>182</v>
      </c>
      <c r="N19" s="9">
        <v>746.5</v>
      </c>
      <c r="O19" s="9">
        <v>0</v>
      </c>
      <c r="P19" s="12" t="s">
        <v>24</v>
      </c>
      <c r="Q19" s="9">
        <v>0</v>
      </c>
      <c r="R19" s="11">
        <v>0</v>
      </c>
      <c r="S19" s="10">
        <v>746.5</v>
      </c>
      <c r="T19" s="9">
        <v>0</v>
      </c>
      <c r="U19" s="14">
        <v>1</v>
      </c>
      <c r="V19" s="12" t="s">
        <v>166</v>
      </c>
      <c r="W19" s="9"/>
      <c r="X19" s="9"/>
    </row>
    <row r="20" spans="1:24" x14ac:dyDescent="0.35">
      <c r="A20" s="3">
        <v>16</v>
      </c>
      <c r="B20" s="3" t="s">
        <v>80</v>
      </c>
      <c r="C20" s="8">
        <v>43827.416666666701</v>
      </c>
      <c r="D20" s="8">
        <v>43827.583333333299</v>
      </c>
      <c r="E20" s="12" t="s">
        <v>29</v>
      </c>
      <c r="F20" s="12" t="s">
        <v>57</v>
      </c>
      <c r="G20" s="9">
        <v>48</v>
      </c>
      <c r="H20" s="9">
        <v>602.5</v>
      </c>
      <c r="I20" s="9">
        <v>0</v>
      </c>
      <c r="J20" s="9">
        <v>0</v>
      </c>
      <c r="K20" s="9">
        <v>650.5</v>
      </c>
      <c r="L20" s="7">
        <v>43813.666666666701</v>
      </c>
      <c r="M20" s="3" t="s">
        <v>167</v>
      </c>
      <c r="N20" s="9">
        <v>666.5</v>
      </c>
      <c r="O20" s="9">
        <v>0</v>
      </c>
      <c r="P20" s="12" t="s">
        <v>24</v>
      </c>
      <c r="Q20" s="9">
        <v>0</v>
      </c>
      <c r="R20" s="11">
        <v>0</v>
      </c>
      <c r="S20" s="10">
        <v>666.5</v>
      </c>
      <c r="T20" s="9">
        <v>0</v>
      </c>
      <c r="U20" s="14">
        <v>1</v>
      </c>
      <c r="V20" s="12" t="s">
        <v>166</v>
      </c>
      <c r="W20" s="9"/>
      <c r="X20" s="9"/>
    </row>
    <row r="21" spans="1:24" x14ac:dyDescent="0.35">
      <c r="A21" s="3">
        <v>17</v>
      </c>
      <c r="B21" s="3" t="s">
        <v>82</v>
      </c>
      <c r="C21" s="8">
        <v>43822.416666666701</v>
      </c>
      <c r="D21" s="8">
        <v>43823.416666666701</v>
      </c>
      <c r="E21" s="12" t="s">
        <v>61</v>
      </c>
      <c r="F21" s="12" t="s">
        <v>85</v>
      </c>
      <c r="G21" s="9">
        <v>140</v>
      </c>
      <c r="H21" s="9">
        <v>3302.5</v>
      </c>
      <c r="I21" s="9">
        <v>0</v>
      </c>
      <c r="J21" s="9">
        <v>0</v>
      </c>
      <c r="K21" s="9">
        <v>3442.5</v>
      </c>
      <c r="L21" s="7">
        <v>43810.625</v>
      </c>
      <c r="M21" s="3" t="s">
        <v>167</v>
      </c>
      <c r="N21" s="9">
        <v>3382.5</v>
      </c>
      <c r="O21" s="9">
        <v>0</v>
      </c>
      <c r="P21" s="12" t="s">
        <v>24</v>
      </c>
      <c r="Q21" s="9">
        <v>0</v>
      </c>
      <c r="R21" s="11">
        <v>0</v>
      </c>
      <c r="S21" s="10">
        <v>3382.5</v>
      </c>
      <c r="T21" s="9">
        <v>0</v>
      </c>
      <c r="U21" s="14">
        <v>1</v>
      </c>
      <c r="V21" s="12" t="s">
        <v>166</v>
      </c>
      <c r="W21" s="9"/>
      <c r="X21" s="9"/>
    </row>
    <row r="22" spans="1:24" x14ac:dyDescent="0.35">
      <c r="A22" s="3">
        <v>18</v>
      </c>
      <c r="B22" s="3" t="s">
        <v>86</v>
      </c>
      <c r="C22" s="8">
        <v>43832.583333333299</v>
      </c>
      <c r="D22" s="8">
        <v>43833.583333333299</v>
      </c>
      <c r="E22" s="12" t="s">
        <v>61</v>
      </c>
      <c r="F22" s="12" t="s">
        <v>57</v>
      </c>
      <c r="G22" s="9">
        <v>112</v>
      </c>
      <c r="H22" s="9">
        <v>602.5</v>
      </c>
      <c r="I22" s="9">
        <v>0</v>
      </c>
      <c r="J22" s="9">
        <v>0</v>
      </c>
      <c r="K22" s="9">
        <v>714.5</v>
      </c>
      <c r="L22" s="7">
        <v>43824.666666666701</v>
      </c>
      <c r="M22" s="3" t="s">
        <v>182</v>
      </c>
      <c r="N22" s="9">
        <v>746.5</v>
      </c>
      <c r="O22" s="9">
        <v>0</v>
      </c>
      <c r="P22" s="12" t="s">
        <v>24</v>
      </c>
      <c r="Q22" s="9">
        <v>0</v>
      </c>
      <c r="R22" s="11">
        <v>0</v>
      </c>
      <c r="S22" s="10">
        <v>746.5</v>
      </c>
      <c r="T22" s="9">
        <v>0</v>
      </c>
      <c r="U22" s="14">
        <v>1</v>
      </c>
      <c r="V22" s="12" t="s">
        <v>166</v>
      </c>
      <c r="W22" s="9"/>
      <c r="X22" s="9"/>
    </row>
    <row r="23" spans="1:24" ht="22" x14ac:dyDescent="0.35">
      <c r="A23" s="3">
        <v>19</v>
      </c>
      <c r="B23" s="3" t="s">
        <v>88</v>
      </c>
      <c r="C23" s="8">
        <v>43833.583333333299</v>
      </c>
      <c r="D23" s="8">
        <v>43836.583333333299</v>
      </c>
      <c r="E23" s="12" t="s">
        <v>51</v>
      </c>
      <c r="F23" s="12" t="s">
        <v>77</v>
      </c>
      <c r="G23" s="9">
        <v>672</v>
      </c>
      <c r="H23" s="9">
        <v>2252.5</v>
      </c>
      <c r="I23" s="9">
        <v>0</v>
      </c>
      <c r="J23" s="9">
        <v>0</v>
      </c>
      <c r="K23" s="9">
        <v>2924.5</v>
      </c>
      <c r="L23" s="7">
        <v>43826.416666666701</v>
      </c>
      <c r="M23" s="3" t="s">
        <v>178</v>
      </c>
      <c r="N23" s="9">
        <v>2636.5</v>
      </c>
      <c r="O23" s="9">
        <v>0</v>
      </c>
      <c r="P23" s="12" t="s">
        <v>24</v>
      </c>
      <c r="Q23" s="9">
        <v>0</v>
      </c>
      <c r="R23" s="11">
        <v>0</v>
      </c>
      <c r="S23" s="10">
        <v>2636.5</v>
      </c>
      <c r="T23" s="9">
        <v>0</v>
      </c>
      <c r="U23" s="14">
        <v>1</v>
      </c>
      <c r="V23" s="12" t="s">
        <v>166</v>
      </c>
      <c r="W23" s="9"/>
      <c r="X23" s="9"/>
    </row>
    <row r="24" spans="1:24" x14ac:dyDescent="0.35">
      <c r="A24" s="3">
        <v>20</v>
      </c>
      <c r="B24" s="3" t="s">
        <v>91</v>
      </c>
      <c r="C24" s="8">
        <v>43824.416666666701</v>
      </c>
      <c r="D24" s="8">
        <v>43825.416666666701</v>
      </c>
      <c r="E24" s="12" t="s">
        <v>61</v>
      </c>
      <c r="F24" s="12" t="s">
        <v>67</v>
      </c>
      <c r="G24" s="9">
        <v>56</v>
      </c>
      <c r="H24" s="9">
        <v>28602.5</v>
      </c>
      <c r="I24" s="9">
        <v>0</v>
      </c>
      <c r="J24" s="9">
        <v>0</v>
      </c>
      <c r="K24" s="9">
        <v>28658.5</v>
      </c>
      <c r="L24" s="7">
        <v>43811.458333333299</v>
      </c>
      <c r="M24" s="3" t="s">
        <v>174</v>
      </c>
      <c r="N24" s="9">
        <v>28642.5</v>
      </c>
      <c r="O24" s="9">
        <v>0</v>
      </c>
      <c r="P24" s="12" t="s">
        <v>24</v>
      </c>
      <c r="Q24" s="9">
        <v>0</v>
      </c>
      <c r="R24" s="11">
        <v>0</v>
      </c>
      <c r="S24" s="10">
        <v>28642.5</v>
      </c>
      <c r="T24" s="9">
        <v>0</v>
      </c>
      <c r="U24" s="14">
        <v>1</v>
      </c>
      <c r="V24" s="12" t="s">
        <v>166</v>
      </c>
      <c r="W24" s="9"/>
      <c r="X24" s="9"/>
    </row>
    <row r="25" spans="1:24" ht="22" x14ac:dyDescent="0.35">
      <c r="A25" s="3">
        <v>21</v>
      </c>
      <c r="B25" s="3" t="s">
        <v>95</v>
      </c>
      <c r="C25" s="8">
        <v>43830.583333333299</v>
      </c>
      <c r="D25" s="8">
        <v>43831.583333333299</v>
      </c>
      <c r="E25" s="12" t="s">
        <v>61</v>
      </c>
      <c r="F25" s="12" t="s">
        <v>36</v>
      </c>
      <c r="G25" s="9">
        <v>168</v>
      </c>
      <c r="H25" s="9">
        <v>3677.5</v>
      </c>
      <c r="I25" s="9">
        <v>0</v>
      </c>
      <c r="J25" s="9">
        <v>0</v>
      </c>
      <c r="K25" s="9">
        <v>3845.5</v>
      </c>
      <c r="L25" s="7">
        <v>43827.458333333299</v>
      </c>
      <c r="M25" s="3" t="s">
        <v>124</v>
      </c>
      <c r="N25" s="9">
        <v>3821.5</v>
      </c>
      <c r="O25" s="9">
        <v>0</v>
      </c>
      <c r="P25" s="12" t="s">
        <v>24</v>
      </c>
      <c r="Q25" s="9">
        <v>0</v>
      </c>
      <c r="R25" s="11">
        <v>0</v>
      </c>
      <c r="S25" s="10">
        <v>3821.5</v>
      </c>
      <c r="T25" s="9">
        <v>0</v>
      </c>
      <c r="U25" s="14">
        <v>1</v>
      </c>
      <c r="V25" s="12" t="s">
        <v>166</v>
      </c>
      <c r="W25" s="9"/>
      <c r="X25" s="9"/>
    </row>
    <row r="26" spans="1:24" x14ac:dyDescent="0.35">
      <c r="A26" s="3">
        <v>22</v>
      </c>
      <c r="B26" s="3" t="s">
        <v>98</v>
      </c>
      <c r="C26" s="8">
        <v>43825.416666666701</v>
      </c>
      <c r="D26" s="8">
        <v>43826.416666666701</v>
      </c>
      <c r="E26" s="12" t="s">
        <v>61</v>
      </c>
      <c r="F26" s="12" t="s">
        <v>67</v>
      </c>
      <c r="G26" s="9">
        <v>56</v>
      </c>
      <c r="H26" s="9">
        <v>602.5</v>
      </c>
      <c r="I26" s="9">
        <v>0</v>
      </c>
      <c r="J26" s="9">
        <v>0</v>
      </c>
      <c r="K26" s="9">
        <v>658.5</v>
      </c>
      <c r="L26" s="7">
        <v>43812.375</v>
      </c>
      <c r="M26" s="3" t="s">
        <v>124</v>
      </c>
      <c r="N26" s="9">
        <v>650.5</v>
      </c>
      <c r="O26" s="9">
        <v>0</v>
      </c>
      <c r="P26" s="12" t="s">
        <v>24</v>
      </c>
      <c r="Q26" s="9">
        <v>0</v>
      </c>
      <c r="R26" s="11">
        <v>0</v>
      </c>
      <c r="S26" s="10">
        <v>650.5</v>
      </c>
      <c r="T26" s="9">
        <v>0</v>
      </c>
      <c r="U26" s="14">
        <v>1</v>
      </c>
      <c r="V26" s="12" t="s">
        <v>166</v>
      </c>
      <c r="W26" s="9"/>
      <c r="X26" s="9"/>
    </row>
    <row r="27" spans="1:24" x14ac:dyDescent="0.35">
      <c r="A27" s="3">
        <v>23</v>
      </c>
      <c r="B27" s="3" t="s">
        <v>101</v>
      </c>
      <c r="C27" s="8">
        <v>43832.583333333299</v>
      </c>
      <c r="D27" s="8">
        <v>43833.583333333299</v>
      </c>
      <c r="E27" s="12" t="s">
        <v>61</v>
      </c>
      <c r="F27" s="12" t="s">
        <v>52</v>
      </c>
      <c r="G27" s="9">
        <v>224</v>
      </c>
      <c r="H27" s="9">
        <v>43602.5</v>
      </c>
      <c r="I27" s="9">
        <v>0</v>
      </c>
      <c r="J27" s="9">
        <v>0</v>
      </c>
      <c r="K27" s="9">
        <v>43826.5</v>
      </c>
      <c r="L27" s="7">
        <v>43829.416666666701</v>
      </c>
      <c r="M27" s="3" t="s">
        <v>124</v>
      </c>
      <c r="N27" s="9">
        <v>43794.5</v>
      </c>
      <c r="O27" s="9">
        <v>64</v>
      </c>
      <c r="P27" s="12" t="s">
        <v>177</v>
      </c>
      <c r="Q27" s="9">
        <v>0</v>
      </c>
      <c r="R27" s="11">
        <v>0</v>
      </c>
      <c r="S27" s="10">
        <v>43794.5</v>
      </c>
      <c r="T27" s="9">
        <v>64</v>
      </c>
      <c r="U27" s="14">
        <v>0.75</v>
      </c>
      <c r="V27" s="12" t="s">
        <v>169</v>
      </c>
      <c r="W27" s="9"/>
      <c r="X27" s="9"/>
    </row>
    <row r="28" spans="1:24" x14ac:dyDescent="0.35">
      <c r="A28" s="3">
        <v>24</v>
      </c>
      <c r="B28" s="3" t="s">
        <v>103</v>
      </c>
      <c r="C28" s="8">
        <v>43826.416666666701</v>
      </c>
      <c r="D28" s="8">
        <v>43827.416666666701</v>
      </c>
      <c r="E28" s="12" t="s">
        <v>61</v>
      </c>
      <c r="F28" s="12" t="s">
        <v>67</v>
      </c>
      <c r="G28" s="9">
        <v>56</v>
      </c>
      <c r="H28" s="9">
        <v>1577.5</v>
      </c>
      <c r="I28" s="9">
        <v>0</v>
      </c>
      <c r="J28" s="9">
        <v>0</v>
      </c>
      <c r="K28" s="9">
        <v>1633.5</v>
      </c>
      <c r="L28" s="7">
        <v>43812.666666666701</v>
      </c>
      <c r="M28" s="3" t="s">
        <v>61</v>
      </c>
      <c r="N28" s="9">
        <v>1633.5</v>
      </c>
      <c r="O28" s="9">
        <v>0</v>
      </c>
      <c r="P28" s="12" t="s">
        <v>24</v>
      </c>
      <c r="Q28" s="9">
        <v>0</v>
      </c>
      <c r="R28" s="11">
        <v>0</v>
      </c>
      <c r="S28" s="10">
        <v>1633.5</v>
      </c>
      <c r="T28" s="9">
        <v>0</v>
      </c>
      <c r="U28" s="14">
        <v>1</v>
      </c>
      <c r="V28" s="12" t="s">
        <v>166</v>
      </c>
      <c r="W28" s="9"/>
      <c r="X28" s="9"/>
    </row>
    <row r="29" spans="1:24" x14ac:dyDescent="0.35">
      <c r="A29" s="3">
        <v>25</v>
      </c>
      <c r="B29" s="3" t="s">
        <v>106</v>
      </c>
      <c r="C29" s="8">
        <v>43813.416666666701</v>
      </c>
      <c r="D29" s="8">
        <v>43815.416666666701</v>
      </c>
      <c r="E29" s="12" t="s">
        <v>61</v>
      </c>
      <c r="F29" s="12" t="s">
        <v>67</v>
      </c>
      <c r="G29" s="9">
        <v>56</v>
      </c>
      <c r="H29" s="9">
        <v>2524.5</v>
      </c>
      <c r="I29" s="9">
        <v>0</v>
      </c>
      <c r="J29" s="9">
        <v>0</v>
      </c>
      <c r="K29" s="9">
        <v>2580.5</v>
      </c>
      <c r="L29" s="7">
        <v>43812.541666666701</v>
      </c>
      <c r="M29" s="3" t="s">
        <v>61</v>
      </c>
      <c r="N29" s="9">
        <v>2580.5</v>
      </c>
      <c r="O29" s="9">
        <v>0</v>
      </c>
      <c r="P29" s="12" t="s">
        <v>24</v>
      </c>
      <c r="Q29" s="9">
        <v>0</v>
      </c>
      <c r="R29" s="11">
        <v>0</v>
      </c>
      <c r="S29" s="10">
        <v>2580.5</v>
      </c>
      <c r="T29" s="9">
        <v>0</v>
      </c>
      <c r="U29" s="14">
        <v>1</v>
      </c>
      <c r="V29" s="12" t="s">
        <v>166</v>
      </c>
      <c r="W29" s="9"/>
      <c r="X29" s="9"/>
    </row>
    <row r="30" spans="1:24" x14ac:dyDescent="0.35">
      <c r="A30" s="3">
        <v>26</v>
      </c>
      <c r="B30" s="3" t="s">
        <v>108</v>
      </c>
      <c r="C30" s="8">
        <v>43829.583333333299</v>
      </c>
      <c r="D30" s="8">
        <v>43830.583333333299</v>
      </c>
      <c r="E30" s="12" t="s">
        <v>61</v>
      </c>
      <c r="F30" s="12" t="s">
        <v>57</v>
      </c>
      <c r="G30" s="9">
        <v>112</v>
      </c>
      <c r="H30" s="9">
        <v>3442.30004882813</v>
      </c>
      <c r="I30" s="9">
        <v>0</v>
      </c>
      <c r="J30" s="9">
        <v>0</v>
      </c>
      <c r="K30" s="9">
        <v>3554.30004882813</v>
      </c>
      <c r="L30" s="7">
        <v>43827.458333333299</v>
      </c>
      <c r="M30" s="3" t="s">
        <v>124</v>
      </c>
      <c r="N30" s="9">
        <v>3538.30004882813</v>
      </c>
      <c r="O30" s="9">
        <v>0</v>
      </c>
      <c r="P30" s="12" t="s">
        <v>24</v>
      </c>
      <c r="Q30" s="9">
        <v>0</v>
      </c>
      <c r="R30" s="11">
        <v>0</v>
      </c>
      <c r="S30" s="10">
        <v>3538.30004882813</v>
      </c>
      <c r="T30" s="9">
        <v>0</v>
      </c>
      <c r="U30" s="14">
        <v>1</v>
      </c>
      <c r="V30" s="12" t="s">
        <v>166</v>
      </c>
      <c r="W30" s="9"/>
      <c r="X30" s="9"/>
    </row>
    <row r="31" spans="1:24" x14ac:dyDescent="0.35">
      <c r="A31" s="3">
        <v>27</v>
      </c>
      <c r="B31" s="3" t="s">
        <v>110</v>
      </c>
      <c r="C31" s="8">
        <v>43823.416666666701</v>
      </c>
      <c r="D31" s="8">
        <v>43824.416666666701</v>
      </c>
      <c r="E31" s="12" t="s">
        <v>61</v>
      </c>
      <c r="F31" s="12" t="s">
        <v>67</v>
      </c>
      <c r="G31" s="9">
        <v>56</v>
      </c>
      <c r="H31" s="9">
        <v>2972.5</v>
      </c>
      <c r="I31" s="9">
        <v>0</v>
      </c>
      <c r="J31" s="9">
        <v>0</v>
      </c>
      <c r="K31" s="9">
        <v>3028.5</v>
      </c>
      <c r="L31" s="7">
        <v>43810.625</v>
      </c>
      <c r="M31" s="3" t="s">
        <v>167</v>
      </c>
      <c r="N31" s="9">
        <v>3004.5</v>
      </c>
      <c r="O31" s="9">
        <v>0</v>
      </c>
      <c r="P31" s="12" t="s">
        <v>24</v>
      </c>
      <c r="Q31" s="9">
        <v>0</v>
      </c>
      <c r="R31" s="11">
        <v>0</v>
      </c>
      <c r="S31" s="10">
        <v>3004.5</v>
      </c>
      <c r="T31" s="9">
        <v>0</v>
      </c>
      <c r="U31" s="14">
        <v>1</v>
      </c>
      <c r="V31" s="12" t="s">
        <v>166</v>
      </c>
      <c r="W31" s="9"/>
      <c r="X31" s="9"/>
    </row>
    <row r="32" spans="1:24" x14ac:dyDescent="0.35">
      <c r="A32" s="3">
        <v>28</v>
      </c>
      <c r="B32" s="3" t="s">
        <v>113</v>
      </c>
      <c r="C32" s="8">
        <v>43832.583333333299</v>
      </c>
      <c r="D32" s="8">
        <v>43833.583333333299</v>
      </c>
      <c r="E32" s="12" t="s">
        <v>61</v>
      </c>
      <c r="F32" s="12" t="s">
        <v>67</v>
      </c>
      <c r="G32" s="9">
        <v>56</v>
      </c>
      <c r="H32" s="9">
        <v>1586.5</v>
      </c>
      <c r="I32" s="9">
        <v>0</v>
      </c>
      <c r="J32" s="9">
        <v>0</v>
      </c>
      <c r="K32" s="9">
        <v>1642.5</v>
      </c>
      <c r="L32" s="7">
        <v>43810.625</v>
      </c>
      <c r="M32" s="3" t="s">
        <v>185</v>
      </c>
      <c r="N32" s="9">
        <v>1666.5</v>
      </c>
      <c r="O32" s="9">
        <v>0</v>
      </c>
      <c r="P32" s="12" t="s">
        <v>24</v>
      </c>
      <c r="Q32" s="9">
        <v>0</v>
      </c>
      <c r="R32" s="11">
        <v>0</v>
      </c>
      <c r="S32" s="10">
        <v>1666.5</v>
      </c>
      <c r="T32" s="9">
        <v>0</v>
      </c>
      <c r="U32" s="14">
        <v>1</v>
      </c>
      <c r="V32" s="12" t="s">
        <v>166</v>
      </c>
      <c r="W32" s="9"/>
      <c r="X32" s="9"/>
    </row>
    <row r="33" spans="1:24" ht="22" x14ac:dyDescent="0.35">
      <c r="A33" s="3">
        <v>29</v>
      </c>
      <c r="B33" s="3" t="s">
        <v>117</v>
      </c>
      <c r="C33" s="8">
        <v>43833.583333333299</v>
      </c>
      <c r="D33" s="8">
        <v>43833.708333333299</v>
      </c>
      <c r="E33" s="12" t="s">
        <v>29</v>
      </c>
      <c r="F33" s="12" t="s">
        <v>67</v>
      </c>
      <c r="G33" s="9">
        <v>24</v>
      </c>
      <c r="H33" s="9">
        <v>602.5</v>
      </c>
      <c r="I33" s="9">
        <v>0</v>
      </c>
      <c r="J33" s="9">
        <v>0</v>
      </c>
      <c r="K33" s="9">
        <v>626.5</v>
      </c>
      <c r="L33" s="7">
        <v>43812.416666666701</v>
      </c>
      <c r="M33" s="3" t="s">
        <v>177</v>
      </c>
      <c r="N33" s="9">
        <v>618.5</v>
      </c>
      <c r="O33" s="9">
        <v>0</v>
      </c>
      <c r="P33" s="12" t="s">
        <v>24</v>
      </c>
      <c r="Q33" s="9">
        <v>0</v>
      </c>
      <c r="R33" s="11">
        <v>0</v>
      </c>
      <c r="S33" s="10">
        <v>618.5</v>
      </c>
      <c r="T33" s="9">
        <v>0</v>
      </c>
      <c r="U33" s="14">
        <v>1</v>
      </c>
      <c r="V33" s="12" t="s">
        <v>166</v>
      </c>
      <c r="W33" s="9"/>
      <c r="X33" s="9"/>
    </row>
    <row r="34" spans="1:24" x14ac:dyDescent="0.35">
      <c r="A34" s="3">
        <v>30</v>
      </c>
      <c r="B34" s="3" t="s">
        <v>120</v>
      </c>
      <c r="C34" s="8">
        <v>43838.583333333299</v>
      </c>
      <c r="D34" s="8">
        <v>43839.5</v>
      </c>
      <c r="E34" s="12" t="s">
        <v>124</v>
      </c>
      <c r="F34" s="12" t="s">
        <v>67</v>
      </c>
      <c r="G34" s="9">
        <v>48</v>
      </c>
      <c r="H34" s="9">
        <v>602.5</v>
      </c>
      <c r="I34" s="9">
        <v>0</v>
      </c>
      <c r="J34" s="9">
        <v>0</v>
      </c>
      <c r="K34" s="9">
        <v>650.5</v>
      </c>
      <c r="L34" s="3"/>
      <c r="M34" s="3" t="s">
        <v>24</v>
      </c>
      <c r="N34" s="9">
        <v>0</v>
      </c>
      <c r="O34" s="9">
        <v>650.5</v>
      </c>
      <c r="P34" s="12" t="s">
        <v>124</v>
      </c>
      <c r="Q34" s="9">
        <v>0</v>
      </c>
      <c r="R34" s="11">
        <v>0</v>
      </c>
      <c r="S34" s="10">
        <v>0</v>
      </c>
      <c r="T34" s="9">
        <v>650.5</v>
      </c>
      <c r="U34" s="14">
        <v>0</v>
      </c>
      <c r="V34" s="12" t="s">
        <v>170</v>
      </c>
      <c r="W34" s="9"/>
      <c r="X34" s="9"/>
    </row>
    <row r="35" spans="1:24" x14ac:dyDescent="0.35">
      <c r="A35" s="3">
        <v>31</v>
      </c>
      <c r="B35" s="3" t="s">
        <v>125</v>
      </c>
      <c r="C35" s="8">
        <v>43839.5</v>
      </c>
      <c r="D35" s="8">
        <v>43839.5</v>
      </c>
      <c r="E35" s="12" t="s">
        <v>24</v>
      </c>
      <c r="F35" s="12"/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3"/>
      <c r="M35" s="3" t="s">
        <v>24</v>
      </c>
      <c r="N35" s="9">
        <v>0</v>
      </c>
      <c r="O35" s="9">
        <v>0</v>
      </c>
      <c r="P35" s="12" t="s">
        <v>24</v>
      </c>
      <c r="Q35" s="9">
        <v>0</v>
      </c>
      <c r="R35" s="11">
        <v>0</v>
      </c>
      <c r="S35" s="10">
        <v>0</v>
      </c>
      <c r="T35" s="9">
        <v>0</v>
      </c>
      <c r="U35" s="14">
        <v>0</v>
      </c>
      <c r="V35" s="12" t="s">
        <v>170</v>
      </c>
      <c r="W35" s="9"/>
      <c r="X35" s="9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Blad24"/>
  <dimension ref="A1:X35"/>
  <sheetViews>
    <sheetView topLeftCell="C1" workbookViewId="0">
      <selection activeCell="W5" sqref="W5:X35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150</v>
      </c>
      <c r="C1" s="7">
        <v>43830.708333333299</v>
      </c>
      <c r="E1" s="1" t="s">
        <v>151</v>
      </c>
      <c r="F1" s="4" t="s">
        <v>233</v>
      </c>
    </row>
    <row r="3" spans="1:24" x14ac:dyDescent="0.35">
      <c r="A3" s="24" t="s">
        <v>0</v>
      </c>
      <c r="B3" s="24"/>
      <c r="C3" s="24" t="s">
        <v>2</v>
      </c>
      <c r="D3" s="24"/>
      <c r="E3" s="24"/>
      <c r="F3" s="24" t="s">
        <v>3</v>
      </c>
      <c r="G3" s="24"/>
      <c r="H3" s="24" t="s">
        <v>4</v>
      </c>
      <c r="I3" s="24"/>
      <c r="J3" s="24"/>
      <c r="K3" s="24"/>
      <c r="L3" s="24" t="s">
        <v>152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153</v>
      </c>
      <c r="M4" s="1" t="s">
        <v>154</v>
      </c>
      <c r="N4" s="1" t="s">
        <v>155</v>
      </c>
      <c r="O4" s="1" t="s">
        <v>156</v>
      </c>
      <c r="P4" s="1" t="s">
        <v>157</v>
      </c>
      <c r="Q4" s="1" t="s">
        <v>158</v>
      </c>
      <c r="R4" s="1" t="s">
        <v>159</v>
      </c>
      <c r="S4" s="1" t="s">
        <v>160</v>
      </c>
      <c r="T4" s="1" t="s">
        <v>161</v>
      </c>
      <c r="U4" s="1" t="s">
        <v>162</v>
      </c>
      <c r="V4" s="1" t="s">
        <v>152</v>
      </c>
      <c r="W4" s="1" t="s">
        <v>163</v>
      </c>
      <c r="X4" s="1" t="s">
        <v>164</v>
      </c>
    </row>
    <row r="5" spans="1:24" x14ac:dyDescent="0.35">
      <c r="A5" s="2">
        <v>0</v>
      </c>
      <c r="B5" s="3" t="s">
        <v>18</v>
      </c>
      <c r="C5" s="5">
        <v>43808.375</v>
      </c>
      <c r="D5" s="5">
        <v>43839.5</v>
      </c>
      <c r="E5" s="2" t="s">
        <v>20</v>
      </c>
      <c r="F5" s="2"/>
      <c r="G5" s="6"/>
      <c r="H5" s="6">
        <v>118411.30004882799</v>
      </c>
      <c r="I5" s="6"/>
      <c r="J5" s="6"/>
      <c r="K5" s="6">
        <v>126955.30004882799</v>
      </c>
      <c r="L5" s="2"/>
      <c r="M5" s="2" t="s">
        <v>234</v>
      </c>
      <c r="N5" s="6"/>
      <c r="O5" s="6"/>
      <c r="P5" s="2"/>
      <c r="Q5" s="6"/>
      <c r="R5" s="6"/>
      <c r="S5" s="6">
        <v>125164.80004882799</v>
      </c>
      <c r="T5" s="6"/>
      <c r="U5" s="13">
        <v>0.99123707320945098</v>
      </c>
      <c r="V5" s="2"/>
      <c r="W5" s="6"/>
      <c r="X5" s="6"/>
    </row>
    <row r="6" spans="1:24" x14ac:dyDescent="0.35">
      <c r="A6" s="3">
        <v>1</v>
      </c>
      <c r="B6" s="3" t="s">
        <v>21</v>
      </c>
      <c r="C6" s="8">
        <v>43808.375</v>
      </c>
      <c r="D6" s="8">
        <v>43806.708333333299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43808.375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166</v>
      </c>
      <c r="W6" s="9"/>
      <c r="X6" s="9"/>
    </row>
    <row r="7" spans="1:24" ht="22" x14ac:dyDescent="0.35">
      <c r="A7" s="3">
        <v>2</v>
      </c>
      <c r="B7" s="3" t="s">
        <v>25</v>
      </c>
      <c r="C7" s="8">
        <v>43808.375</v>
      </c>
      <c r="D7" s="8">
        <v>43808.5</v>
      </c>
      <c r="E7" s="12" t="s">
        <v>29</v>
      </c>
      <c r="F7" s="12" t="s">
        <v>30</v>
      </c>
      <c r="G7" s="9">
        <v>36</v>
      </c>
      <c r="H7" s="9">
        <v>931.5</v>
      </c>
      <c r="I7" s="9">
        <v>0</v>
      </c>
      <c r="J7" s="9">
        <v>0</v>
      </c>
      <c r="K7" s="9">
        <v>967.5</v>
      </c>
      <c r="L7" s="7">
        <v>43808.375</v>
      </c>
      <c r="M7" s="3" t="s">
        <v>29</v>
      </c>
      <c r="N7" s="9">
        <v>967.5</v>
      </c>
      <c r="O7" s="9">
        <v>0</v>
      </c>
      <c r="P7" s="12" t="s">
        <v>24</v>
      </c>
      <c r="Q7" s="9">
        <v>0</v>
      </c>
      <c r="R7" s="11">
        <v>0</v>
      </c>
      <c r="S7" s="10">
        <v>967.5</v>
      </c>
      <c r="T7" s="9">
        <v>0</v>
      </c>
      <c r="U7" s="14">
        <v>1</v>
      </c>
      <c r="V7" s="12" t="s">
        <v>166</v>
      </c>
      <c r="W7" s="9"/>
      <c r="X7" s="9"/>
    </row>
    <row r="8" spans="1:24" x14ac:dyDescent="0.35">
      <c r="A8" s="3">
        <v>3</v>
      </c>
      <c r="B8" s="3" t="s">
        <v>31</v>
      </c>
      <c r="C8" s="8">
        <v>43808.541666666701</v>
      </c>
      <c r="D8" s="8">
        <v>43813.5</v>
      </c>
      <c r="E8" s="12" t="s">
        <v>35</v>
      </c>
      <c r="F8" s="12" t="s">
        <v>36</v>
      </c>
      <c r="G8" s="9">
        <v>840</v>
      </c>
      <c r="H8" s="9">
        <v>950.5</v>
      </c>
      <c r="I8" s="9">
        <v>0</v>
      </c>
      <c r="J8" s="9">
        <v>0</v>
      </c>
      <c r="K8" s="9">
        <v>1790.5</v>
      </c>
      <c r="L8" s="7">
        <v>43808.541666666701</v>
      </c>
      <c r="M8" s="3" t="s">
        <v>181</v>
      </c>
      <c r="N8" s="9">
        <v>1550.5</v>
      </c>
      <c r="O8" s="9">
        <v>0</v>
      </c>
      <c r="P8" s="12" t="s">
        <v>24</v>
      </c>
      <c r="Q8" s="9">
        <v>0</v>
      </c>
      <c r="R8" s="11">
        <v>0</v>
      </c>
      <c r="S8" s="10">
        <v>1550.5</v>
      </c>
      <c r="T8" s="9">
        <v>0</v>
      </c>
      <c r="U8" s="14">
        <v>1</v>
      </c>
      <c r="V8" s="12" t="s">
        <v>166</v>
      </c>
      <c r="W8" s="9"/>
      <c r="X8" s="9"/>
    </row>
    <row r="9" spans="1:24" x14ac:dyDescent="0.35">
      <c r="A9" s="3">
        <v>4</v>
      </c>
      <c r="B9" s="3" t="s">
        <v>37</v>
      </c>
      <c r="C9" s="8">
        <v>43813.541666666701</v>
      </c>
      <c r="D9" s="8">
        <v>43816.625</v>
      </c>
      <c r="E9" s="12" t="s">
        <v>41</v>
      </c>
      <c r="F9" s="12" t="s">
        <v>42</v>
      </c>
      <c r="G9" s="9">
        <v>640</v>
      </c>
      <c r="H9" s="9">
        <v>8819</v>
      </c>
      <c r="I9" s="9">
        <v>0</v>
      </c>
      <c r="J9" s="9">
        <v>0</v>
      </c>
      <c r="K9" s="9">
        <v>9459</v>
      </c>
      <c r="L9" s="7">
        <v>43812.375</v>
      </c>
      <c r="M9" s="3" t="s">
        <v>185</v>
      </c>
      <c r="N9" s="9">
        <v>9219</v>
      </c>
      <c r="O9" s="9">
        <v>0</v>
      </c>
      <c r="P9" s="12" t="s">
        <v>24</v>
      </c>
      <c r="Q9" s="9">
        <v>0</v>
      </c>
      <c r="R9" s="11">
        <v>0</v>
      </c>
      <c r="S9" s="10">
        <v>9219</v>
      </c>
      <c r="T9" s="9">
        <v>0</v>
      </c>
      <c r="U9" s="14">
        <v>1</v>
      </c>
      <c r="V9" s="12" t="s">
        <v>166</v>
      </c>
      <c r="W9" s="9"/>
      <c r="X9" s="9"/>
    </row>
    <row r="10" spans="1:24" ht="22" x14ac:dyDescent="0.35">
      <c r="A10" s="3">
        <v>5</v>
      </c>
      <c r="B10" s="3" t="s">
        <v>43</v>
      </c>
      <c r="C10" s="8">
        <v>43816.625</v>
      </c>
      <c r="D10" s="8">
        <v>43827.708333333299</v>
      </c>
      <c r="E10" s="12" t="s">
        <v>47</v>
      </c>
      <c r="F10" s="12" t="s">
        <v>42</v>
      </c>
      <c r="G10" s="9">
        <v>2880</v>
      </c>
      <c r="H10" s="9">
        <v>3166.5</v>
      </c>
      <c r="I10" s="9">
        <v>0</v>
      </c>
      <c r="J10" s="9">
        <v>0</v>
      </c>
      <c r="K10" s="9">
        <v>6046.5</v>
      </c>
      <c r="L10" s="7">
        <v>43813.541666666701</v>
      </c>
      <c r="M10" s="3" t="s">
        <v>224</v>
      </c>
      <c r="N10" s="9">
        <v>5806.5</v>
      </c>
      <c r="O10" s="9">
        <v>0</v>
      </c>
      <c r="P10" s="12" t="s">
        <v>24</v>
      </c>
      <c r="Q10" s="9">
        <v>0</v>
      </c>
      <c r="R10" s="11">
        <v>0</v>
      </c>
      <c r="S10" s="10">
        <v>5806.5</v>
      </c>
      <c r="T10" s="9">
        <v>0</v>
      </c>
      <c r="U10" s="14">
        <v>1</v>
      </c>
      <c r="V10" s="12" t="s">
        <v>166</v>
      </c>
      <c r="W10" s="9"/>
      <c r="X10" s="9"/>
    </row>
    <row r="11" spans="1:24" x14ac:dyDescent="0.35">
      <c r="A11" s="3">
        <v>6</v>
      </c>
      <c r="B11" s="3" t="s">
        <v>48</v>
      </c>
      <c r="C11" s="8">
        <v>43830.583333333299</v>
      </c>
      <c r="D11" s="8">
        <v>43832.583333333299</v>
      </c>
      <c r="E11" s="12" t="s">
        <v>51</v>
      </c>
      <c r="F11" s="12" t="s">
        <v>52</v>
      </c>
      <c r="G11" s="9">
        <v>448</v>
      </c>
      <c r="H11" s="9">
        <v>1802.5</v>
      </c>
      <c r="I11" s="9">
        <v>0</v>
      </c>
      <c r="J11" s="9">
        <v>0</v>
      </c>
      <c r="K11" s="9">
        <v>2250.5</v>
      </c>
      <c r="L11" s="7">
        <v>43808.541666666701</v>
      </c>
      <c r="M11" s="3" t="s">
        <v>41</v>
      </c>
      <c r="N11" s="9">
        <v>2314.5</v>
      </c>
      <c r="O11" s="9">
        <v>0</v>
      </c>
      <c r="P11" s="12" t="s">
        <v>24</v>
      </c>
      <c r="Q11" s="9">
        <v>0</v>
      </c>
      <c r="R11" s="11">
        <v>0</v>
      </c>
      <c r="S11" s="10">
        <v>2314.5</v>
      </c>
      <c r="T11" s="9">
        <v>0</v>
      </c>
      <c r="U11" s="14">
        <v>1</v>
      </c>
      <c r="V11" s="12" t="s">
        <v>166</v>
      </c>
      <c r="W11" s="9"/>
      <c r="X11" s="9"/>
    </row>
    <row r="12" spans="1:24" x14ac:dyDescent="0.35">
      <c r="A12" s="3">
        <v>7</v>
      </c>
      <c r="B12" s="3" t="s">
        <v>53</v>
      </c>
      <c r="C12" s="8">
        <v>43815.416666666701</v>
      </c>
      <c r="D12" s="8">
        <v>43822.416666666701</v>
      </c>
      <c r="E12" s="12" t="s">
        <v>56</v>
      </c>
      <c r="F12" s="12" t="s">
        <v>57</v>
      </c>
      <c r="G12" s="9">
        <v>672</v>
      </c>
      <c r="H12" s="9">
        <v>1970.5</v>
      </c>
      <c r="I12" s="9">
        <v>0</v>
      </c>
      <c r="J12" s="9">
        <v>0</v>
      </c>
      <c r="K12" s="9">
        <v>2642.5</v>
      </c>
      <c r="L12" s="7">
        <v>43815.541666666701</v>
      </c>
      <c r="M12" s="3" t="s">
        <v>193</v>
      </c>
      <c r="N12" s="9">
        <v>2866.5</v>
      </c>
      <c r="O12" s="9">
        <v>0</v>
      </c>
      <c r="P12" s="12" t="s">
        <v>24</v>
      </c>
      <c r="Q12" s="9">
        <v>0</v>
      </c>
      <c r="R12" s="11">
        <v>0</v>
      </c>
      <c r="S12" s="10">
        <v>2866.5</v>
      </c>
      <c r="T12" s="9">
        <v>0</v>
      </c>
      <c r="U12" s="14">
        <v>1</v>
      </c>
      <c r="V12" s="12" t="s">
        <v>166</v>
      </c>
      <c r="W12" s="9"/>
      <c r="X12" s="9"/>
    </row>
    <row r="13" spans="1:24" ht="22" x14ac:dyDescent="0.35">
      <c r="A13" s="3">
        <v>8</v>
      </c>
      <c r="B13" s="3" t="s">
        <v>58</v>
      </c>
      <c r="C13" s="8">
        <v>43831.583333333299</v>
      </c>
      <c r="D13" s="8">
        <v>43832.583333333299</v>
      </c>
      <c r="E13" s="12" t="s">
        <v>61</v>
      </c>
      <c r="F13" s="12" t="s">
        <v>57</v>
      </c>
      <c r="G13" s="9">
        <v>112</v>
      </c>
      <c r="H13" s="9">
        <v>602.5</v>
      </c>
      <c r="I13" s="9">
        <v>0</v>
      </c>
      <c r="J13" s="9">
        <v>0</v>
      </c>
      <c r="K13" s="9">
        <v>714.5</v>
      </c>
      <c r="L13" s="7">
        <v>43824.666666666701</v>
      </c>
      <c r="M13" s="3" t="s">
        <v>178</v>
      </c>
      <c r="N13" s="9">
        <v>730.5</v>
      </c>
      <c r="O13" s="9">
        <v>0</v>
      </c>
      <c r="P13" s="12" t="s">
        <v>24</v>
      </c>
      <c r="Q13" s="9">
        <v>0</v>
      </c>
      <c r="R13" s="11">
        <v>0</v>
      </c>
      <c r="S13" s="10">
        <v>730.5</v>
      </c>
      <c r="T13" s="9">
        <v>0</v>
      </c>
      <c r="U13" s="14">
        <v>1</v>
      </c>
      <c r="V13" s="12" t="s">
        <v>166</v>
      </c>
      <c r="W13" s="9"/>
      <c r="X13" s="9"/>
    </row>
    <row r="14" spans="1:24" x14ac:dyDescent="0.35">
      <c r="A14" s="3">
        <v>9</v>
      </c>
      <c r="B14" s="3" t="s">
        <v>62</v>
      </c>
      <c r="C14" s="8">
        <v>43829.583333333299</v>
      </c>
      <c r="D14" s="8">
        <v>43830.583333333299</v>
      </c>
      <c r="E14" s="12" t="s">
        <v>61</v>
      </c>
      <c r="F14" s="12" t="s">
        <v>57</v>
      </c>
      <c r="G14" s="9">
        <v>112</v>
      </c>
      <c r="H14" s="9">
        <v>602.5</v>
      </c>
      <c r="I14" s="9">
        <v>0</v>
      </c>
      <c r="J14" s="9">
        <v>0</v>
      </c>
      <c r="K14" s="9">
        <v>714.5</v>
      </c>
      <c r="L14" s="7">
        <v>43827.458333333299</v>
      </c>
      <c r="M14" s="3" t="s">
        <v>61</v>
      </c>
      <c r="N14" s="9">
        <v>714.5</v>
      </c>
      <c r="O14" s="9">
        <v>0</v>
      </c>
      <c r="P14" s="12" t="s">
        <v>24</v>
      </c>
      <c r="Q14" s="9">
        <v>0</v>
      </c>
      <c r="R14" s="11">
        <v>0</v>
      </c>
      <c r="S14" s="10">
        <v>714.5</v>
      </c>
      <c r="T14" s="9">
        <v>0</v>
      </c>
      <c r="U14" s="14">
        <v>1</v>
      </c>
      <c r="V14" s="12" t="s">
        <v>166</v>
      </c>
      <c r="W14" s="9"/>
      <c r="X14" s="9"/>
    </row>
    <row r="15" spans="1:24" ht="22" x14ac:dyDescent="0.35">
      <c r="A15" s="3">
        <v>10</v>
      </c>
      <c r="B15" s="3" t="s">
        <v>64</v>
      </c>
      <c r="C15" s="8">
        <v>43829.375</v>
      </c>
      <c r="D15" s="8">
        <v>43829.708333333299</v>
      </c>
      <c r="E15" s="12" t="s">
        <v>61</v>
      </c>
      <c r="F15" s="12" t="s">
        <v>67</v>
      </c>
      <c r="G15" s="9">
        <v>56</v>
      </c>
      <c r="H15" s="9">
        <v>602.5</v>
      </c>
      <c r="I15" s="9">
        <v>0</v>
      </c>
      <c r="J15" s="9">
        <v>0</v>
      </c>
      <c r="K15" s="9">
        <v>658.5</v>
      </c>
      <c r="L15" s="7">
        <v>43824.666666666701</v>
      </c>
      <c r="M15" s="3" t="s">
        <v>61</v>
      </c>
      <c r="N15" s="9">
        <v>658.5</v>
      </c>
      <c r="O15" s="9">
        <v>0</v>
      </c>
      <c r="P15" s="12" t="s">
        <v>24</v>
      </c>
      <c r="Q15" s="9">
        <v>0</v>
      </c>
      <c r="R15" s="11">
        <v>0</v>
      </c>
      <c r="S15" s="10">
        <v>658.5</v>
      </c>
      <c r="T15" s="9">
        <v>0</v>
      </c>
      <c r="U15" s="14">
        <v>1</v>
      </c>
      <c r="V15" s="12" t="s">
        <v>166</v>
      </c>
      <c r="W15" s="9"/>
      <c r="X15" s="9"/>
    </row>
    <row r="16" spans="1:24" x14ac:dyDescent="0.35">
      <c r="A16" s="3">
        <v>11</v>
      </c>
      <c r="B16" s="3" t="s">
        <v>68</v>
      </c>
      <c r="C16" s="8">
        <v>43813.416666666701</v>
      </c>
      <c r="D16" s="8">
        <v>43815.416666666701</v>
      </c>
      <c r="E16" s="12" t="s">
        <v>61</v>
      </c>
      <c r="F16" s="12" t="s">
        <v>67</v>
      </c>
      <c r="G16" s="9">
        <v>56</v>
      </c>
      <c r="H16" s="9">
        <v>602.5</v>
      </c>
      <c r="I16" s="9">
        <v>0</v>
      </c>
      <c r="J16" s="9">
        <v>0</v>
      </c>
      <c r="K16" s="9">
        <v>658.5</v>
      </c>
      <c r="L16" s="7">
        <v>43825.666666666701</v>
      </c>
      <c r="M16" s="3" t="s">
        <v>182</v>
      </c>
      <c r="N16" s="9">
        <v>674.5</v>
      </c>
      <c r="O16" s="9">
        <v>0</v>
      </c>
      <c r="P16" s="12" t="s">
        <v>24</v>
      </c>
      <c r="Q16" s="9">
        <v>0</v>
      </c>
      <c r="R16" s="11">
        <v>0</v>
      </c>
      <c r="S16" s="10">
        <v>674.5</v>
      </c>
      <c r="T16" s="9">
        <v>0</v>
      </c>
      <c r="U16" s="14">
        <v>1</v>
      </c>
      <c r="V16" s="12" t="s">
        <v>166</v>
      </c>
      <c r="W16" s="9"/>
      <c r="X16" s="9"/>
    </row>
    <row r="17" spans="1:24" ht="22" x14ac:dyDescent="0.35">
      <c r="A17" s="3">
        <v>13</v>
      </c>
      <c r="B17" s="3" t="s">
        <v>70</v>
      </c>
      <c r="C17" s="8">
        <v>43823.416666666701</v>
      </c>
      <c r="D17" s="8">
        <v>43823.583333333299</v>
      </c>
      <c r="E17" s="12" t="s">
        <v>29</v>
      </c>
      <c r="F17" s="12" t="s">
        <v>67</v>
      </c>
      <c r="G17" s="9">
        <v>24</v>
      </c>
      <c r="H17" s="9">
        <v>602.5</v>
      </c>
      <c r="I17" s="9">
        <v>0</v>
      </c>
      <c r="J17" s="9">
        <v>0</v>
      </c>
      <c r="K17" s="9">
        <v>626.5</v>
      </c>
      <c r="L17" s="7">
        <v>43811.458333333299</v>
      </c>
      <c r="M17" s="3" t="s">
        <v>29</v>
      </c>
      <c r="N17" s="9">
        <v>626.5</v>
      </c>
      <c r="O17" s="9">
        <v>0</v>
      </c>
      <c r="P17" s="12" t="s">
        <v>24</v>
      </c>
      <c r="Q17" s="9">
        <v>0</v>
      </c>
      <c r="R17" s="11">
        <v>0</v>
      </c>
      <c r="S17" s="10">
        <v>626.5</v>
      </c>
      <c r="T17" s="9">
        <v>0</v>
      </c>
      <c r="U17" s="14">
        <v>1</v>
      </c>
      <c r="V17" s="12" t="s">
        <v>166</v>
      </c>
      <c r="W17" s="9"/>
      <c r="X17" s="9"/>
    </row>
    <row r="18" spans="1:24" x14ac:dyDescent="0.35">
      <c r="A18" s="3">
        <v>14</v>
      </c>
      <c r="B18" s="3" t="s">
        <v>74</v>
      </c>
      <c r="C18" s="8">
        <v>43836.583333333299</v>
      </c>
      <c r="D18" s="8">
        <v>43838.583333333299</v>
      </c>
      <c r="E18" s="12" t="s">
        <v>51</v>
      </c>
      <c r="F18" s="12" t="s">
        <v>77</v>
      </c>
      <c r="G18" s="9">
        <v>672</v>
      </c>
      <c r="H18" s="9">
        <v>602.5</v>
      </c>
      <c r="I18" s="9">
        <v>0</v>
      </c>
      <c r="J18" s="9">
        <v>0</v>
      </c>
      <c r="K18" s="9">
        <v>1274.5</v>
      </c>
      <c r="L18" s="7">
        <v>43830.458333333299</v>
      </c>
      <c r="M18" s="3" t="s">
        <v>174</v>
      </c>
      <c r="N18" s="9">
        <v>842.5</v>
      </c>
      <c r="O18" s="9">
        <v>528</v>
      </c>
      <c r="P18" s="12" t="s">
        <v>173</v>
      </c>
      <c r="Q18" s="9">
        <v>0</v>
      </c>
      <c r="R18" s="11">
        <v>0</v>
      </c>
      <c r="S18" s="10">
        <v>842.5</v>
      </c>
      <c r="T18" s="9">
        <v>528</v>
      </c>
      <c r="U18" s="14">
        <v>0.3125</v>
      </c>
      <c r="V18" s="12" t="s">
        <v>169</v>
      </c>
      <c r="W18" s="9"/>
      <c r="X18" s="9"/>
    </row>
    <row r="19" spans="1:24" x14ac:dyDescent="0.35">
      <c r="A19" s="3">
        <v>15</v>
      </c>
      <c r="B19" s="3" t="s">
        <v>78</v>
      </c>
      <c r="C19" s="8">
        <v>43829.583333333299</v>
      </c>
      <c r="D19" s="8">
        <v>43830.583333333299</v>
      </c>
      <c r="E19" s="12" t="s">
        <v>61</v>
      </c>
      <c r="F19" s="12" t="s">
        <v>57</v>
      </c>
      <c r="G19" s="9">
        <v>112</v>
      </c>
      <c r="H19" s="9">
        <v>602.5</v>
      </c>
      <c r="I19" s="9">
        <v>0</v>
      </c>
      <c r="J19" s="9">
        <v>0</v>
      </c>
      <c r="K19" s="9">
        <v>714.5</v>
      </c>
      <c r="L19" s="7">
        <v>43824.666666666701</v>
      </c>
      <c r="M19" s="3" t="s">
        <v>182</v>
      </c>
      <c r="N19" s="9">
        <v>746.5</v>
      </c>
      <c r="O19" s="9">
        <v>0</v>
      </c>
      <c r="P19" s="12" t="s">
        <v>24</v>
      </c>
      <c r="Q19" s="9">
        <v>0</v>
      </c>
      <c r="R19" s="11">
        <v>0</v>
      </c>
      <c r="S19" s="10">
        <v>746.5</v>
      </c>
      <c r="T19" s="9">
        <v>0</v>
      </c>
      <c r="U19" s="14">
        <v>1</v>
      </c>
      <c r="V19" s="12" t="s">
        <v>166</v>
      </c>
      <c r="W19" s="9"/>
      <c r="X19" s="9"/>
    </row>
    <row r="20" spans="1:24" x14ac:dyDescent="0.35">
      <c r="A20" s="3">
        <v>16</v>
      </c>
      <c r="B20" s="3" t="s">
        <v>80</v>
      </c>
      <c r="C20" s="8">
        <v>43827.416666666701</v>
      </c>
      <c r="D20" s="8">
        <v>43827.583333333299</v>
      </c>
      <c r="E20" s="12" t="s">
        <v>29</v>
      </c>
      <c r="F20" s="12" t="s">
        <v>57</v>
      </c>
      <c r="G20" s="9">
        <v>48</v>
      </c>
      <c r="H20" s="9">
        <v>602.5</v>
      </c>
      <c r="I20" s="9">
        <v>0</v>
      </c>
      <c r="J20" s="9">
        <v>0</v>
      </c>
      <c r="K20" s="9">
        <v>650.5</v>
      </c>
      <c r="L20" s="7">
        <v>43813.666666666701</v>
      </c>
      <c r="M20" s="3" t="s">
        <v>167</v>
      </c>
      <c r="N20" s="9">
        <v>666.5</v>
      </c>
      <c r="O20" s="9">
        <v>0</v>
      </c>
      <c r="P20" s="12" t="s">
        <v>24</v>
      </c>
      <c r="Q20" s="9">
        <v>0</v>
      </c>
      <c r="R20" s="11">
        <v>0</v>
      </c>
      <c r="S20" s="10">
        <v>666.5</v>
      </c>
      <c r="T20" s="9">
        <v>0</v>
      </c>
      <c r="U20" s="14">
        <v>1</v>
      </c>
      <c r="V20" s="12" t="s">
        <v>166</v>
      </c>
      <c r="W20" s="9"/>
      <c r="X20" s="9"/>
    </row>
    <row r="21" spans="1:24" x14ac:dyDescent="0.35">
      <c r="A21" s="3">
        <v>17</v>
      </c>
      <c r="B21" s="3" t="s">
        <v>82</v>
      </c>
      <c r="C21" s="8">
        <v>43822.416666666701</v>
      </c>
      <c r="D21" s="8">
        <v>43823.416666666701</v>
      </c>
      <c r="E21" s="12" t="s">
        <v>61</v>
      </c>
      <c r="F21" s="12" t="s">
        <v>85</v>
      </c>
      <c r="G21" s="9">
        <v>140</v>
      </c>
      <c r="H21" s="9">
        <v>3302.5</v>
      </c>
      <c r="I21" s="9">
        <v>0</v>
      </c>
      <c r="J21" s="9">
        <v>0</v>
      </c>
      <c r="K21" s="9">
        <v>3442.5</v>
      </c>
      <c r="L21" s="7">
        <v>43810.625</v>
      </c>
      <c r="M21" s="3" t="s">
        <v>167</v>
      </c>
      <c r="N21" s="9">
        <v>3382.5</v>
      </c>
      <c r="O21" s="9">
        <v>0</v>
      </c>
      <c r="P21" s="12" t="s">
        <v>24</v>
      </c>
      <c r="Q21" s="9">
        <v>0</v>
      </c>
      <c r="R21" s="11">
        <v>0</v>
      </c>
      <c r="S21" s="10">
        <v>3382.5</v>
      </c>
      <c r="T21" s="9">
        <v>0</v>
      </c>
      <c r="U21" s="14">
        <v>1</v>
      </c>
      <c r="V21" s="12" t="s">
        <v>166</v>
      </c>
      <c r="W21" s="9"/>
      <c r="X21" s="9"/>
    </row>
    <row r="22" spans="1:24" x14ac:dyDescent="0.35">
      <c r="A22" s="3">
        <v>18</v>
      </c>
      <c r="B22" s="3" t="s">
        <v>86</v>
      </c>
      <c r="C22" s="8">
        <v>43832.583333333299</v>
      </c>
      <c r="D22" s="8">
        <v>43833.583333333299</v>
      </c>
      <c r="E22" s="12" t="s">
        <v>61</v>
      </c>
      <c r="F22" s="12" t="s">
        <v>57</v>
      </c>
      <c r="G22" s="9">
        <v>112</v>
      </c>
      <c r="H22" s="9">
        <v>602.5</v>
      </c>
      <c r="I22" s="9">
        <v>0</v>
      </c>
      <c r="J22" s="9">
        <v>0</v>
      </c>
      <c r="K22" s="9">
        <v>714.5</v>
      </c>
      <c r="L22" s="7">
        <v>43824.666666666701</v>
      </c>
      <c r="M22" s="3" t="s">
        <v>182</v>
      </c>
      <c r="N22" s="9">
        <v>746.5</v>
      </c>
      <c r="O22" s="9">
        <v>0</v>
      </c>
      <c r="P22" s="12" t="s">
        <v>24</v>
      </c>
      <c r="Q22" s="9">
        <v>0</v>
      </c>
      <c r="R22" s="11">
        <v>0</v>
      </c>
      <c r="S22" s="10">
        <v>746.5</v>
      </c>
      <c r="T22" s="9">
        <v>0</v>
      </c>
      <c r="U22" s="14">
        <v>1</v>
      </c>
      <c r="V22" s="12" t="s">
        <v>166</v>
      </c>
      <c r="W22" s="9"/>
      <c r="X22" s="9"/>
    </row>
    <row r="23" spans="1:24" ht="22" x14ac:dyDescent="0.35">
      <c r="A23" s="3">
        <v>19</v>
      </c>
      <c r="B23" s="3" t="s">
        <v>88</v>
      </c>
      <c r="C23" s="8">
        <v>43833.583333333299</v>
      </c>
      <c r="D23" s="8">
        <v>43836.583333333299</v>
      </c>
      <c r="E23" s="12" t="s">
        <v>51</v>
      </c>
      <c r="F23" s="12" t="s">
        <v>77</v>
      </c>
      <c r="G23" s="9">
        <v>672</v>
      </c>
      <c r="H23" s="9">
        <v>2252.5</v>
      </c>
      <c r="I23" s="9">
        <v>0</v>
      </c>
      <c r="J23" s="9">
        <v>0</v>
      </c>
      <c r="K23" s="9">
        <v>2924.5</v>
      </c>
      <c r="L23" s="7">
        <v>43826.416666666701</v>
      </c>
      <c r="M23" s="3" t="s">
        <v>178</v>
      </c>
      <c r="N23" s="9">
        <v>2636.5</v>
      </c>
      <c r="O23" s="9">
        <v>0</v>
      </c>
      <c r="P23" s="12" t="s">
        <v>24</v>
      </c>
      <c r="Q23" s="9">
        <v>0</v>
      </c>
      <c r="R23" s="11">
        <v>0</v>
      </c>
      <c r="S23" s="10">
        <v>2636.5</v>
      </c>
      <c r="T23" s="9">
        <v>0</v>
      </c>
      <c r="U23" s="14">
        <v>1</v>
      </c>
      <c r="V23" s="12" t="s">
        <v>166</v>
      </c>
      <c r="W23" s="9"/>
      <c r="X23" s="9"/>
    </row>
    <row r="24" spans="1:24" x14ac:dyDescent="0.35">
      <c r="A24" s="3">
        <v>20</v>
      </c>
      <c r="B24" s="3" t="s">
        <v>91</v>
      </c>
      <c r="C24" s="8">
        <v>43824.416666666701</v>
      </c>
      <c r="D24" s="8">
        <v>43825.416666666701</v>
      </c>
      <c r="E24" s="12" t="s">
        <v>61</v>
      </c>
      <c r="F24" s="12" t="s">
        <v>67</v>
      </c>
      <c r="G24" s="9">
        <v>56</v>
      </c>
      <c r="H24" s="9">
        <v>28602.5</v>
      </c>
      <c r="I24" s="9">
        <v>0</v>
      </c>
      <c r="J24" s="9">
        <v>0</v>
      </c>
      <c r="K24" s="9">
        <v>28658.5</v>
      </c>
      <c r="L24" s="7">
        <v>43811.458333333299</v>
      </c>
      <c r="M24" s="3" t="s">
        <v>174</v>
      </c>
      <c r="N24" s="9">
        <v>28642.5</v>
      </c>
      <c r="O24" s="9">
        <v>0</v>
      </c>
      <c r="P24" s="12" t="s">
        <v>24</v>
      </c>
      <c r="Q24" s="9">
        <v>0</v>
      </c>
      <c r="R24" s="11">
        <v>0</v>
      </c>
      <c r="S24" s="10">
        <v>28642.5</v>
      </c>
      <c r="T24" s="9">
        <v>0</v>
      </c>
      <c r="U24" s="14">
        <v>1</v>
      </c>
      <c r="V24" s="12" t="s">
        <v>166</v>
      </c>
      <c r="W24" s="9"/>
      <c r="X24" s="9"/>
    </row>
    <row r="25" spans="1:24" ht="22" x14ac:dyDescent="0.35">
      <c r="A25" s="3">
        <v>21</v>
      </c>
      <c r="B25" s="3" t="s">
        <v>95</v>
      </c>
      <c r="C25" s="8">
        <v>43830.583333333299</v>
      </c>
      <c r="D25" s="8">
        <v>43831.583333333299</v>
      </c>
      <c r="E25" s="12" t="s">
        <v>61</v>
      </c>
      <c r="F25" s="12" t="s">
        <v>36</v>
      </c>
      <c r="G25" s="9">
        <v>168</v>
      </c>
      <c r="H25" s="9">
        <v>3677.5</v>
      </c>
      <c r="I25" s="9">
        <v>0</v>
      </c>
      <c r="J25" s="9">
        <v>0</v>
      </c>
      <c r="K25" s="9">
        <v>3845.5</v>
      </c>
      <c r="L25" s="7">
        <v>43827.458333333299</v>
      </c>
      <c r="M25" s="3" t="s">
        <v>124</v>
      </c>
      <c r="N25" s="9">
        <v>3821.5</v>
      </c>
      <c r="O25" s="9">
        <v>0</v>
      </c>
      <c r="P25" s="12" t="s">
        <v>24</v>
      </c>
      <c r="Q25" s="9">
        <v>0</v>
      </c>
      <c r="R25" s="11">
        <v>0</v>
      </c>
      <c r="S25" s="10">
        <v>3821.5</v>
      </c>
      <c r="T25" s="9">
        <v>0</v>
      </c>
      <c r="U25" s="14">
        <v>1</v>
      </c>
      <c r="V25" s="12" t="s">
        <v>166</v>
      </c>
      <c r="W25" s="9"/>
      <c r="X25" s="9"/>
    </row>
    <row r="26" spans="1:24" x14ac:dyDescent="0.35">
      <c r="A26" s="3">
        <v>22</v>
      </c>
      <c r="B26" s="3" t="s">
        <v>98</v>
      </c>
      <c r="C26" s="8">
        <v>43825.416666666701</v>
      </c>
      <c r="D26" s="8">
        <v>43826.416666666701</v>
      </c>
      <c r="E26" s="12" t="s">
        <v>61</v>
      </c>
      <c r="F26" s="12" t="s">
        <v>67</v>
      </c>
      <c r="G26" s="9">
        <v>56</v>
      </c>
      <c r="H26" s="9">
        <v>602.5</v>
      </c>
      <c r="I26" s="9">
        <v>0</v>
      </c>
      <c r="J26" s="9">
        <v>0</v>
      </c>
      <c r="K26" s="9">
        <v>658.5</v>
      </c>
      <c r="L26" s="7">
        <v>43812.375</v>
      </c>
      <c r="M26" s="3" t="s">
        <v>124</v>
      </c>
      <c r="N26" s="9">
        <v>650.5</v>
      </c>
      <c r="O26" s="9">
        <v>0</v>
      </c>
      <c r="P26" s="12" t="s">
        <v>24</v>
      </c>
      <c r="Q26" s="9">
        <v>0</v>
      </c>
      <c r="R26" s="11">
        <v>0</v>
      </c>
      <c r="S26" s="10">
        <v>650.5</v>
      </c>
      <c r="T26" s="9">
        <v>0</v>
      </c>
      <c r="U26" s="14">
        <v>1</v>
      </c>
      <c r="V26" s="12" t="s">
        <v>166</v>
      </c>
      <c r="W26" s="9"/>
      <c r="X26" s="9"/>
    </row>
    <row r="27" spans="1:24" x14ac:dyDescent="0.35">
      <c r="A27" s="3">
        <v>23</v>
      </c>
      <c r="B27" s="3" t="s">
        <v>101</v>
      </c>
      <c r="C27" s="8">
        <v>43832.583333333299</v>
      </c>
      <c r="D27" s="8">
        <v>43833.583333333299</v>
      </c>
      <c r="E27" s="12" t="s">
        <v>61</v>
      </c>
      <c r="F27" s="12" t="s">
        <v>52</v>
      </c>
      <c r="G27" s="9">
        <v>224</v>
      </c>
      <c r="H27" s="9">
        <v>43602.5</v>
      </c>
      <c r="I27" s="9">
        <v>0</v>
      </c>
      <c r="J27" s="9">
        <v>0</v>
      </c>
      <c r="K27" s="9">
        <v>43826.5</v>
      </c>
      <c r="L27" s="7">
        <v>43829.416666666701</v>
      </c>
      <c r="M27" s="3" t="s">
        <v>178</v>
      </c>
      <c r="N27" s="9">
        <v>43858.5</v>
      </c>
      <c r="O27" s="9">
        <v>0</v>
      </c>
      <c r="P27" s="12" t="s">
        <v>24</v>
      </c>
      <c r="Q27" s="9">
        <v>0</v>
      </c>
      <c r="R27" s="11">
        <v>0</v>
      </c>
      <c r="S27" s="10">
        <v>43858.5</v>
      </c>
      <c r="T27" s="9">
        <v>0</v>
      </c>
      <c r="U27" s="14">
        <v>1</v>
      </c>
      <c r="V27" s="12" t="s">
        <v>166</v>
      </c>
      <c r="W27" s="9"/>
      <c r="X27" s="9"/>
    </row>
    <row r="28" spans="1:24" x14ac:dyDescent="0.35">
      <c r="A28" s="3">
        <v>24</v>
      </c>
      <c r="B28" s="3" t="s">
        <v>103</v>
      </c>
      <c r="C28" s="8">
        <v>43826.416666666701</v>
      </c>
      <c r="D28" s="8">
        <v>43827.416666666701</v>
      </c>
      <c r="E28" s="12" t="s">
        <v>61</v>
      </c>
      <c r="F28" s="12" t="s">
        <v>67</v>
      </c>
      <c r="G28" s="9">
        <v>56</v>
      </c>
      <c r="H28" s="9">
        <v>1577.5</v>
      </c>
      <c r="I28" s="9">
        <v>0</v>
      </c>
      <c r="J28" s="9">
        <v>0</v>
      </c>
      <c r="K28" s="9">
        <v>1633.5</v>
      </c>
      <c r="L28" s="7">
        <v>43812.666666666701</v>
      </c>
      <c r="M28" s="3" t="s">
        <v>61</v>
      </c>
      <c r="N28" s="9">
        <v>1633.5</v>
      </c>
      <c r="O28" s="9">
        <v>0</v>
      </c>
      <c r="P28" s="12" t="s">
        <v>24</v>
      </c>
      <c r="Q28" s="9">
        <v>0</v>
      </c>
      <c r="R28" s="11">
        <v>0</v>
      </c>
      <c r="S28" s="10">
        <v>1633.5</v>
      </c>
      <c r="T28" s="9">
        <v>0</v>
      </c>
      <c r="U28" s="14">
        <v>1</v>
      </c>
      <c r="V28" s="12" t="s">
        <v>166</v>
      </c>
      <c r="W28" s="9"/>
      <c r="X28" s="9"/>
    </row>
    <row r="29" spans="1:24" x14ac:dyDescent="0.35">
      <c r="A29" s="3">
        <v>25</v>
      </c>
      <c r="B29" s="3" t="s">
        <v>106</v>
      </c>
      <c r="C29" s="8">
        <v>43813.416666666701</v>
      </c>
      <c r="D29" s="8">
        <v>43815.416666666701</v>
      </c>
      <c r="E29" s="12" t="s">
        <v>61</v>
      </c>
      <c r="F29" s="12" t="s">
        <v>67</v>
      </c>
      <c r="G29" s="9">
        <v>56</v>
      </c>
      <c r="H29" s="9">
        <v>2524.5</v>
      </c>
      <c r="I29" s="9">
        <v>0</v>
      </c>
      <c r="J29" s="9">
        <v>0</v>
      </c>
      <c r="K29" s="9">
        <v>2580.5</v>
      </c>
      <c r="L29" s="7">
        <v>43812.541666666701</v>
      </c>
      <c r="M29" s="3" t="s">
        <v>61</v>
      </c>
      <c r="N29" s="9">
        <v>2580.5</v>
      </c>
      <c r="O29" s="9">
        <v>0</v>
      </c>
      <c r="P29" s="12" t="s">
        <v>24</v>
      </c>
      <c r="Q29" s="9">
        <v>0</v>
      </c>
      <c r="R29" s="11">
        <v>0</v>
      </c>
      <c r="S29" s="10">
        <v>2580.5</v>
      </c>
      <c r="T29" s="9">
        <v>0</v>
      </c>
      <c r="U29" s="14">
        <v>1</v>
      </c>
      <c r="V29" s="12" t="s">
        <v>166</v>
      </c>
      <c r="W29" s="9"/>
      <c r="X29" s="9"/>
    </row>
    <row r="30" spans="1:24" x14ac:dyDescent="0.35">
      <c r="A30" s="3">
        <v>26</v>
      </c>
      <c r="B30" s="3" t="s">
        <v>108</v>
      </c>
      <c r="C30" s="8">
        <v>43829.583333333299</v>
      </c>
      <c r="D30" s="8">
        <v>43830.583333333299</v>
      </c>
      <c r="E30" s="12" t="s">
        <v>61</v>
      </c>
      <c r="F30" s="12" t="s">
        <v>57</v>
      </c>
      <c r="G30" s="9">
        <v>112</v>
      </c>
      <c r="H30" s="9">
        <v>3442.30004882813</v>
      </c>
      <c r="I30" s="9">
        <v>0</v>
      </c>
      <c r="J30" s="9">
        <v>0</v>
      </c>
      <c r="K30" s="9">
        <v>3554.30004882813</v>
      </c>
      <c r="L30" s="7">
        <v>43827.458333333299</v>
      </c>
      <c r="M30" s="3" t="s">
        <v>124</v>
      </c>
      <c r="N30" s="9">
        <v>3538.30004882813</v>
      </c>
      <c r="O30" s="9">
        <v>0</v>
      </c>
      <c r="P30" s="12" t="s">
        <v>24</v>
      </c>
      <c r="Q30" s="9">
        <v>0</v>
      </c>
      <c r="R30" s="11">
        <v>0</v>
      </c>
      <c r="S30" s="10">
        <v>3538.30004882813</v>
      </c>
      <c r="T30" s="9">
        <v>0</v>
      </c>
      <c r="U30" s="14">
        <v>1</v>
      </c>
      <c r="V30" s="12" t="s">
        <v>166</v>
      </c>
      <c r="W30" s="9"/>
      <c r="X30" s="9"/>
    </row>
    <row r="31" spans="1:24" x14ac:dyDescent="0.35">
      <c r="A31" s="3">
        <v>27</v>
      </c>
      <c r="B31" s="3" t="s">
        <v>110</v>
      </c>
      <c r="C31" s="8">
        <v>43823.416666666701</v>
      </c>
      <c r="D31" s="8">
        <v>43824.416666666701</v>
      </c>
      <c r="E31" s="12" t="s">
        <v>61</v>
      </c>
      <c r="F31" s="12" t="s">
        <v>67</v>
      </c>
      <c r="G31" s="9">
        <v>56</v>
      </c>
      <c r="H31" s="9">
        <v>2972.5</v>
      </c>
      <c r="I31" s="9">
        <v>0</v>
      </c>
      <c r="J31" s="9">
        <v>0</v>
      </c>
      <c r="K31" s="9">
        <v>3028.5</v>
      </c>
      <c r="L31" s="7">
        <v>43810.625</v>
      </c>
      <c r="M31" s="3" t="s">
        <v>167</v>
      </c>
      <c r="N31" s="9">
        <v>3004.5</v>
      </c>
      <c r="O31" s="9">
        <v>0</v>
      </c>
      <c r="P31" s="12" t="s">
        <v>24</v>
      </c>
      <c r="Q31" s="9">
        <v>0</v>
      </c>
      <c r="R31" s="11">
        <v>0</v>
      </c>
      <c r="S31" s="10">
        <v>3004.5</v>
      </c>
      <c r="T31" s="9">
        <v>0</v>
      </c>
      <c r="U31" s="14">
        <v>1</v>
      </c>
      <c r="V31" s="12" t="s">
        <v>166</v>
      </c>
      <c r="W31" s="9"/>
      <c r="X31" s="9"/>
    </row>
    <row r="32" spans="1:24" x14ac:dyDescent="0.35">
      <c r="A32" s="3">
        <v>28</v>
      </c>
      <c r="B32" s="3" t="s">
        <v>113</v>
      </c>
      <c r="C32" s="8">
        <v>43832.583333333299</v>
      </c>
      <c r="D32" s="8">
        <v>43833.583333333299</v>
      </c>
      <c r="E32" s="12" t="s">
        <v>61</v>
      </c>
      <c r="F32" s="12" t="s">
        <v>67</v>
      </c>
      <c r="G32" s="9">
        <v>56</v>
      </c>
      <c r="H32" s="9">
        <v>1586.5</v>
      </c>
      <c r="I32" s="9">
        <v>0</v>
      </c>
      <c r="J32" s="9">
        <v>0</v>
      </c>
      <c r="K32" s="9">
        <v>1642.5</v>
      </c>
      <c r="L32" s="7">
        <v>43810.625</v>
      </c>
      <c r="M32" s="3" t="s">
        <v>185</v>
      </c>
      <c r="N32" s="9">
        <v>1666.5</v>
      </c>
      <c r="O32" s="9">
        <v>0</v>
      </c>
      <c r="P32" s="12" t="s">
        <v>24</v>
      </c>
      <c r="Q32" s="9">
        <v>0</v>
      </c>
      <c r="R32" s="11">
        <v>0</v>
      </c>
      <c r="S32" s="10">
        <v>1666.5</v>
      </c>
      <c r="T32" s="9">
        <v>0</v>
      </c>
      <c r="U32" s="14">
        <v>1</v>
      </c>
      <c r="V32" s="12" t="s">
        <v>166</v>
      </c>
      <c r="W32" s="9"/>
      <c r="X32" s="9"/>
    </row>
    <row r="33" spans="1:24" ht="22" x14ac:dyDescent="0.35">
      <c r="A33" s="3">
        <v>29</v>
      </c>
      <c r="B33" s="3" t="s">
        <v>117</v>
      </c>
      <c r="C33" s="8">
        <v>43833.583333333299</v>
      </c>
      <c r="D33" s="8">
        <v>43833.708333333299</v>
      </c>
      <c r="E33" s="12" t="s">
        <v>29</v>
      </c>
      <c r="F33" s="12" t="s">
        <v>67</v>
      </c>
      <c r="G33" s="9">
        <v>24</v>
      </c>
      <c r="H33" s="9">
        <v>602.5</v>
      </c>
      <c r="I33" s="9">
        <v>0</v>
      </c>
      <c r="J33" s="9">
        <v>0</v>
      </c>
      <c r="K33" s="9">
        <v>626.5</v>
      </c>
      <c r="L33" s="7">
        <v>43812.416666666701</v>
      </c>
      <c r="M33" s="3" t="s">
        <v>177</v>
      </c>
      <c r="N33" s="9">
        <v>618.5</v>
      </c>
      <c r="O33" s="9">
        <v>0</v>
      </c>
      <c r="P33" s="12" t="s">
        <v>24</v>
      </c>
      <c r="Q33" s="9">
        <v>0</v>
      </c>
      <c r="R33" s="11">
        <v>0</v>
      </c>
      <c r="S33" s="10">
        <v>618.5</v>
      </c>
      <c r="T33" s="9">
        <v>0</v>
      </c>
      <c r="U33" s="14">
        <v>1</v>
      </c>
      <c r="V33" s="12" t="s">
        <v>166</v>
      </c>
      <c r="W33" s="9"/>
      <c r="X33" s="9"/>
    </row>
    <row r="34" spans="1:24" x14ac:dyDescent="0.35">
      <c r="A34" s="3">
        <v>30</v>
      </c>
      <c r="B34" s="3" t="s">
        <v>120</v>
      </c>
      <c r="C34" s="8">
        <v>43838.583333333299</v>
      </c>
      <c r="D34" s="8">
        <v>43839.5</v>
      </c>
      <c r="E34" s="12" t="s">
        <v>124</v>
      </c>
      <c r="F34" s="12" t="s">
        <v>67</v>
      </c>
      <c r="G34" s="9">
        <v>48</v>
      </c>
      <c r="H34" s="9">
        <v>602.5</v>
      </c>
      <c r="I34" s="9">
        <v>0</v>
      </c>
      <c r="J34" s="9">
        <v>0</v>
      </c>
      <c r="K34" s="9">
        <v>650.5</v>
      </c>
      <c r="L34" s="3"/>
      <c r="M34" s="3" t="s">
        <v>24</v>
      </c>
      <c r="N34" s="9">
        <v>0</v>
      </c>
      <c r="O34" s="9">
        <v>650.5</v>
      </c>
      <c r="P34" s="12" t="s">
        <v>124</v>
      </c>
      <c r="Q34" s="9">
        <v>0</v>
      </c>
      <c r="R34" s="11">
        <v>0</v>
      </c>
      <c r="S34" s="10">
        <v>0</v>
      </c>
      <c r="T34" s="9">
        <v>650.5</v>
      </c>
      <c r="U34" s="14">
        <v>0</v>
      </c>
      <c r="V34" s="12" t="s">
        <v>170</v>
      </c>
      <c r="W34" s="9"/>
      <c r="X34" s="9"/>
    </row>
    <row r="35" spans="1:24" x14ac:dyDescent="0.35">
      <c r="A35" s="3">
        <v>31</v>
      </c>
      <c r="B35" s="3" t="s">
        <v>125</v>
      </c>
      <c r="C35" s="8">
        <v>43839.5</v>
      </c>
      <c r="D35" s="8">
        <v>43839.5</v>
      </c>
      <c r="E35" s="12" t="s">
        <v>24</v>
      </c>
      <c r="F35" s="12"/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3"/>
      <c r="M35" s="3" t="s">
        <v>24</v>
      </c>
      <c r="N35" s="9">
        <v>0</v>
      </c>
      <c r="O35" s="9">
        <v>0</v>
      </c>
      <c r="P35" s="12" t="s">
        <v>24</v>
      </c>
      <c r="Q35" s="9">
        <v>0</v>
      </c>
      <c r="R35" s="11">
        <v>0</v>
      </c>
      <c r="S35" s="10">
        <v>0</v>
      </c>
      <c r="T35" s="9">
        <v>0</v>
      </c>
      <c r="U35" s="14">
        <v>0</v>
      </c>
      <c r="V35" s="12" t="s">
        <v>170</v>
      </c>
      <c r="W35" s="9"/>
      <c r="X35" s="9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Blad25"/>
  <dimension ref="A1:X35"/>
  <sheetViews>
    <sheetView topLeftCell="C1" workbookViewId="0">
      <selection activeCell="W5" sqref="W5:X35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150</v>
      </c>
      <c r="C1" s="7">
        <v>43831.708333333299</v>
      </c>
      <c r="E1" s="1" t="s">
        <v>151</v>
      </c>
      <c r="F1" s="4" t="s">
        <v>235</v>
      </c>
    </row>
    <row r="3" spans="1:24" x14ac:dyDescent="0.35">
      <c r="A3" s="24" t="s">
        <v>0</v>
      </c>
      <c r="B3" s="24"/>
      <c r="C3" s="24" t="s">
        <v>2</v>
      </c>
      <c r="D3" s="24"/>
      <c r="E3" s="24"/>
      <c r="F3" s="24" t="s">
        <v>3</v>
      </c>
      <c r="G3" s="24"/>
      <c r="H3" s="24" t="s">
        <v>4</v>
      </c>
      <c r="I3" s="24"/>
      <c r="J3" s="24"/>
      <c r="K3" s="24"/>
      <c r="L3" s="24" t="s">
        <v>152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153</v>
      </c>
      <c r="M4" s="1" t="s">
        <v>154</v>
      </c>
      <c r="N4" s="1" t="s">
        <v>155</v>
      </c>
      <c r="O4" s="1" t="s">
        <v>156</v>
      </c>
      <c r="P4" s="1" t="s">
        <v>157</v>
      </c>
      <c r="Q4" s="1" t="s">
        <v>158</v>
      </c>
      <c r="R4" s="1" t="s">
        <v>159</v>
      </c>
      <c r="S4" s="1" t="s">
        <v>160</v>
      </c>
      <c r="T4" s="1" t="s">
        <v>161</v>
      </c>
      <c r="U4" s="1" t="s">
        <v>162</v>
      </c>
      <c r="V4" s="1" t="s">
        <v>152</v>
      </c>
      <c r="W4" s="1" t="s">
        <v>163</v>
      </c>
      <c r="X4" s="1" t="s">
        <v>164</v>
      </c>
    </row>
    <row r="5" spans="1:24" x14ac:dyDescent="0.35">
      <c r="A5" s="2">
        <v>0</v>
      </c>
      <c r="B5" s="3" t="s">
        <v>18</v>
      </c>
      <c r="C5" s="5">
        <v>43808.375</v>
      </c>
      <c r="D5" s="5">
        <v>43839.5</v>
      </c>
      <c r="E5" s="2" t="s">
        <v>20</v>
      </c>
      <c r="F5" s="2"/>
      <c r="G5" s="6"/>
      <c r="H5" s="6">
        <v>118411.30004882799</v>
      </c>
      <c r="I5" s="6"/>
      <c r="J5" s="6"/>
      <c r="K5" s="6">
        <v>126955.30004882799</v>
      </c>
      <c r="L5" s="2"/>
      <c r="M5" s="2" t="s">
        <v>236</v>
      </c>
      <c r="N5" s="6"/>
      <c r="O5" s="6"/>
      <c r="P5" s="2"/>
      <c r="Q5" s="6"/>
      <c r="R5" s="6"/>
      <c r="S5" s="6">
        <v>125500.80004882799</v>
      </c>
      <c r="T5" s="6"/>
      <c r="U5" s="13">
        <v>0.99355284891859397</v>
      </c>
      <c r="V5" s="2"/>
      <c r="W5" s="6"/>
      <c r="X5" s="6"/>
    </row>
    <row r="6" spans="1:24" x14ac:dyDescent="0.35">
      <c r="A6" s="3">
        <v>1</v>
      </c>
      <c r="B6" s="3" t="s">
        <v>21</v>
      </c>
      <c r="C6" s="8">
        <v>43808.375</v>
      </c>
      <c r="D6" s="8">
        <v>43806.708333333299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43808.375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166</v>
      </c>
      <c r="W6" s="9"/>
      <c r="X6" s="9"/>
    </row>
    <row r="7" spans="1:24" ht="22" x14ac:dyDescent="0.35">
      <c r="A7" s="3">
        <v>2</v>
      </c>
      <c r="B7" s="3" t="s">
        <v>25</v>
      </c>
      <c r="C7" s="8">
        <v>43808.375</v>
      </c>
      <c r="D7" s="8">
        <v>43808.5</v>
      </c>
      <c r="E7" s="12" t="s">
        <v>29</v>
      </c>
      <c r="F7" s="12" t="s">
        <v>30</v>
      </c>
      <c r="G7" s="9">
        <v>36</v>
      </c>
      <c r="H7" s="9">
        <v>931.5</v>
      </c>
      <c r="I7" s="9">
        <v>0</v>
      </c>
      <c r="J7" s="9">
        <v>0</v>
      </c>
      <c r="K7" s="9">
        <v>967.5</v>
      </c>
      <c r="L7" s="7">
        <v>43808.375</v>
      </c>
      <c r="M7" s="3" t="s">
        <v>29</v>
      </c>
      <c r="N7" s="9">
        <v>967.5</v>
      </c>
      <c r="O7" s="9">
        <v>0</v>
      </c>
      <c r="P7" s="12" t="s">
        <v>24</v>
      </c>
      <c r="Q7" s="9">
        <v>0</v>
      </c>
      <c r="R7" s="11">
        <v>0</v>
      </c>
      <c r="S7" s="10">
        <v>967.5</v>
      </c>
      <c r="T7" s="9">
        <v>0</v>
      </c>
      <c r="U7" s="14">
        <v>1</v>
      </c>
      <c r="V7" s="12" t="s">
        <v>166</v>
      </c>
      <c r="W7" s="9"/>
      <c r="X7" s="9"/>
    </row>
    <row r="8" spans="1:24" x14ac:dyDescent="0.35">
      <c r="A8" s="3">
        <v>3</v>
      </c>
      <c r="B8" s="3" t="s">
        <v>31</v>
      </c>
      <c r="C8" s="8">
        <v>43808.541666666701</v>
      </c>
      <c r="D8" s="8">
        <v>43813.5</v>
      </c>
      <c r="E8" s="12" t="s">
        <v>35</v>
      </c>
      <c r="F8" s="12" t="s">
        <v>36</v>
      </c>
      <c r="G8" s="9">
        <v>840</v>
      </c>
      <c r="H8" s="9">
        <v>950.5</v>
      </c>
      <c r="I8" s="9">
        <v>0</v>
      </c>
      <c r="J8" s="9">
        <v>0</v>
      </c>
      <c r="K8" s="9">
        <v>1790.5</v>
      </c>
      <c r="L8" s="7">
        <v>43808.541666666701</v>
      </c>
      <c r="M8" s="3" t="s">
        <v>181</v>
      </c>
      <c r="N8" s="9">
        <v>1550.5</v>
      </c>
      <c r="O8" s="9">
        <v>0</v>
      </c>
      <c r="P8" s="12" t="s">
        <v>24</v>
      </c>
      <c r="Q8" s="9">
        <v>0</v>
      </c>
      <c r="R8" s="11">
        <v>0</v>
      </c>
      <c r="S8" s="10">
        <v>1550.5</v>
      </c>
      <c r="T8" s="9">
        <v>0</v>
      </c>
      <c r="U8" s="14">
        <v>1</v>
      </c>
      <c r="V8" s="12" t="s">
        <v>166</v>
      </c>
      <c r="W8" s="9"/>
      <c r="X8" s="9"/>
    </row>
    <row r="9" spans="1:24" x14ac:dyDescent="0.35">
      <c r="A9" s="3">
        <v>4</v>
      </c>
      <c r="B9" s="3" t="s">
        <v>37</v>
      </c>
      <c r="C9" s="8">
        <v>43813.541666666701</v>
      </c>
      <c r="D9" s="8">
        <v>43816.625</v>
      </c>
      <c r="E9" s="12" t="s">
        <v>41</v>
      </c>
      <c r="F9" s="12" t="s">
        <v>42</v>
      </c>
      <c r="G9" s="9">
        <v>640</v>
      </c>
      <c r="H9" s="9">
        <v>8819</v>
      </c>
      <c r="I9" s="9">
        <v>0</v>
      </c>
      <c r="J9" s="9">
        <v>0</v>
      </c>
      <c r="K9" s="9">
        <v>9459</v>
      </c>
      <c r="L9" s="7">
        <v>43812.375</v>
      </c>
      <c r="M9" s="3" t="s">
        <v>185</v>
      </c>
      <c r="N9" s="9">
        <v>9219</v>
      </c>
      <c r="O9" s="9">
        <v>0</v>
      </c>
      <c r="P9" s="12" t="s">
        <v>24</v>
      </c>
      <c r="Q9" s="9">
        <v>0</v>
      </c>
      <c r="R9" s="11">
        <v>0</v>
      </c>
      <c r="S9" s="10">
        <v>9219</v>
      </c>
      <c r="T9" s="9">
        <v>0</v>
      </c>
      <c r="U9" s="14">
        <v>1</v>
      </c>
      <c r="V9" s="12" t="s">
        <v>166</v>
      </c>
      <c r="W9" s="9"/>
      <c r="X9" s="9"/>
    </row>
    <row r="10" spans="1:24" ht="22" x14ac:dyDescent="0.35">
      <c r="A10" s="3">
        <v>5</v>
      </c>
      <c r="B10" s="3" t="s">
        <v>43</v>
      </c>
      <c r="C10" s="8">
        <v>43816.625</v>
      </c>
      <c r="D10" s="8">
        <v>43827.708333333299</v>
      </c>
      <c r="E10" s="12" t="s">
        <v>47</v>
      </c>
      <c r="F10" s="12" t="s">
        <v>42</v>
      </c>
      <c r="G10" s="9">
        <v>2880</v>
      </c>
      <c r="H10" s="9">
        <v>3166.5</v>
      </c>
      <c r="I10" s="9">
        <v>0</v>
      </c>
      <c r="J10" s="9">
        <v>0</v>
      </c>
      <c r="K10" s="9">
        <v>6046.5</v>
      </c>
      <c r="L10" s="7">
        <v>43813.541666666701</v>
      </c>
      <c r="M10" s="3" t="s">
        <v>224</v>
      </c>
      <c r="N10" s="9">
        <v>5806.5</v>
      </c>
      <c r="O10" s="9">
        <v>0</v>
      </c>
      <c r="P10" s="12" t="s">
        <v>24</v>
      </c>
      <c r="Q10" s="9">
        <v>0</v>
      </c>
      <c r="R10" s="11">
        <v>0</v>
      </c>
      <c r="S10" s="10">
        <v>5806.5</v>
      </c>
      <c r="T10" s="9">
        <v>0</v>
      </c>
      <c r="U10" s="14">
        <v>1</v>
      </c>
      <c r="V10" s="12" t="s">
        <v>166</v>
      </c>
      <c r="W10" s="9"/>
      <c r="X10" s="9"/>
    </row>
    <row r="11" spans="1:24" x14ac:dyDescent="0.35">
      <c r="A11" s="3">
        <v>6</v>
      </c>
      <c r="B11" s="3" t="s">
        <v>48</v>
      </c>
      <c r="C11" s="8">
        <v>43830.583333333299</v>
      </c>
      <c r="D11" s="8">
        <v>43832.583333333299</v>
      </c>
      <c r="E11" s="12" t="s">
        <v>51</v>
      </c>
      <c r="F11" s="12" t="s">
        <v>52</v>
      </c>
      <c r="G11" s="9">
        <v>448</v>
      </c>
      <c r="H11" s="9">
        <v>1802.5</v>
      </c>
      <c r="I11" s="9">
        <v>0</v>
      </c>
      <c r="J11" s="9">
        <v>0</v>
      </c>
      <c r="K11" s="9">
        <v>2250.5</v>
      </c>
      <c r="L11" s="7">
        <v>43808.541666666701</v>
      </c>
      <c r="M11" s="3" t="s">
        <v>41</v>
      </c>
      <c r="N11" s="9">
        <v>2314.5</v>
      </c>
      <c r="O11" s="9">
        <v>0</v>
      </c>
      <c r="P11" s="12" t="s">
        <v>24</v>
      </c>
      <c r="Q11" s="9">
        <v>0</v>
      </c>
      <c r="R11" s="11">
        <v>0</v>
      </c>
      <c r="S11" s="10">
        <v>2314.5</v>
      </c>
      <c r="T11" s="9">
        <v>0</v>
      </c>
      <c r="U11" s="14">
        <v>1</v>
      </c>
      <c r="V11" s="12" t="s">
        <v>166</v>
      </c>
      <c r="W11" s="9"/>
      <c r="X11" s="9"/>
    </row>
    <row r="12" spans="1:24" x14ac:dyDescent="0.35">
      <c r="A12" s="3">
        <v>7</v>
      </c>
      <c r="B12" s="3" t="s">
        <v>53</v>
      </c>
      <c r="C12" s="8">
        <v>43815.416666666701</v>
      </c>
      <c r="D12" s="8">
        <v>43822.416666666701</v>
      </c>
      <c r="E12" s="12" t="s">
        <v>56</v>
      </c>
      <c r="F12" s="12" t="s">
        <v>57</v>
      </c>
      <c r="G12" s="9">
        <v>672</v>
      </c>
      <c r="H12" s="9">
        <v>1970.5</v>
      </c>
      <c r="I12" s="9">
        <v>0</v>
      </c>
      <c r="J12" s="9">
        <v>0</v>
      </c>
      <c r="K12" s="9">
        <v>2642.5</v>
      </c>
      <c r="L12" s="7">
        <v>43815.541666666701</v>
      </c>
      <c r="M12" s="3" t="s">
        <v>193</v>
      </c>
      <c r="N12" s="9">
        <v>2866.5</v>
      </c>
      <c r="O12" s="9">
        <v>0</v>
      </c>
      <c r="P12" s="12" t="s">
        <v>24</v>
      </c>
      <c r="Q12" s="9">
        <v>0</v>
      </c>
      <c r="R12" s="11">
        <v>0</v>
      </c>
      <c r="S12" s="10">
        <v>2866.5</v>
      </c>
      <c r="T12" s="9">
        <v>0</v>
      </c>
      <c r="U12" s="14">
        <v>1</v>
      </c>
      <c r="V12" s="12" t="s">
        <v>166</v>
      </c>
      <c r="W12" s="9"/>
      <c r="X12" s="9"/>
    </row>
    <row r="13" spans="1:24" ht="22" x14ac:dyDescent="0.35">
      <c r="A13" s="3">
        <v>8</v>
      </c>
      <c r="B13" s="3" t="s">
        <v>58</v>
      </c>
      <c r="C13" s="8">
        <v>43831.583333333299</v>
      </c>
      <c r="D13" s="8">
        <v>43832.583333333299</v>
      </c>
      <c r="E13" s="12" t="s">
        <v>61</v>
      </c>
      <c r="F13" s="12" t="s">
        <v>57</v>
      </c>
      <c r="G13" s="9">
        <v>112</v>
      </c>
      <c r="H13" s="9">
        <v>602.5</v>
      </c>
      <c r="I13" s="9">
        <v>0</v>
      </c>
      <c r="J13" s="9">
        <v>0</v>
      </c>
      <c r="K13" s="9">
        <v>714.5</v>
      </c>
      <c r="L13" s="7">
        <v>43824.666666666701</v>
      </c>
      <c r="M13" s="3" t="s">
        <v>178</v>
      </c>
      <c r="N13" s="9">
        <v>730.5</v>
      </c>
      <c r="O13" s="9">
        <v>0</v>
      </c>
      <c r="P13" s="12" t="s">
        <v>24</v>
      </c>
      <c r="Q13" s="9">
        <v>0</v>
      </c>
      <c r="R13" s="11">
        <v>0</v>
      </c>
      <c r="S13" s="10">
        <v>730.5</v>
      </c>
      <c r="T13" s="9">
        <v>0</v>
      </c>
      <c r="U13" s="14">
        <v>1</v>
      </c>
      <c r="V13" s="12" t="s">
        <v>166</v>
      </c>
      <c r="W13" s="9"/>
      <c r="X13" s="9"/>
    </row>
    <row r="14" spans="1:24" x14ac:dyDescent="0.35">
      <c r="A14" s="3">
        <v>9</v>
      </c>
      <c r="B14" s="3" t="s">
        <v>62</v>
      </c>
      <c r="C14" s="8">
        <v>43829.583333333299</v>
      </c>
      <c r="D14" s="8">
        <v>43830.583333333299</v>
      </c>
      <c r="E14" s="12" t="s">
        <v>61</v>
      </c>
      <c r="F14" s="12" t="s">
        <v>57</v>
      </c>
      <c r="G14" s="9">
        <v>112</v>
      </c>
      <c r="H14" s="9">
        <v>602.5</v>
      </c>
      <c r="I14" s="9">
        <v>0</v>
      </c>
      <c r="J14" s="9">
        <v>0</v>
      </c>
      <c r="K14" s="9">
        <v>714.5</v>
      </c>
      <c r="L14" s="7">
        <v>43827.458333333299</v>
      </c>
      <c r="M14" s="3" t="s">
        <v>61</v>
      </c>
      <c r="N14" s="9">
        <v>714.5</v>
      </c>
      <c r="O14" s="9">
        <v>0</v>
      </c>
      <c r="P14" s="12" t="s">
        <v>24</v>
      </c>
      <c r="Q14" s="9">
        <v>0</v>
      </c>
      <c r="R14" s="11">
        <v>0</v>
      </c>
      <c r="S14" s="10">
        <v>714.5</v>
      </c>
      <c r="T14" s="9">
        <v>0</v>
      </c>
      <c r="U14" s="14">
        <v>1</v>
      </c>
      <c r="V14" s="12" t="s">
        <v>166</v>
      </c>
      <c r="W14" s="9"/>
      <c r="X14" s="9"/>
    </row>
    <row r="15" spans="1:24" ht="22" x14ac:dyDescent="0.35">
      <c r="A15" s="3">
        <v>10</v>
      </c>
      <c r="B15" s="3" t="s">
        <v>64</v>
      </c>
      <c r="C15" s="8">
        <v>43829.375</v>
      </c>
      <c r="D15" s="8">
        <v>43829.708333333299</v>
      </c>
      <c r="E15" s="12" t="s">
        <v>61</v>
      </c>
      <c r="F15" s="12" t="s">
        <v>67</v>
      </c>
      <c r="G15" s="9">
        <v>56</v>
      </c>
      <c r="H15" s="9">
        <v>602.5</v>
      </c>
      <c r="I15" s="9">
        <v>0</v>
      </c>
      <c r="J15" s="9">
        <v>0</v>
      </c>
      <c r="K15" s="9">
        <v>658.5</v>
      </c>
      <c r="L15" s="7">
        <v>43824.666666666701</v>
      </c>
      <c r="M15" s="3" t="s">
        <v>61</v>
      </c>
      <c r="N15" s="9">
        <v>658.5</v>
      </c>
      <c r="O15" s="9">
        <v>0</v>
      </c>
      <c r="P15" s="12" t="s">
        <v>24</v>
      </c>
      <c r="Q15" s="9">
        <v>0</v>
      </c>
      <c r="R15" s="11">
        <v>0</v>
      </c>
      <c r="S15" s="10">
        <v>658.5</v>
      </c>
      <c r="T15" s="9">
        <v>0</v>
      </c>
      <c r="U15" s="14">
        <v>1</v>
      </c>
      <c r="V15" s="12" t="s">
        <v>166</v>
      </c>
      <c r="W15" s="9"/>
      <c r="X15" s="9"/>
    </row>
    <row r="16" spans="1:24" x14ac:dyDescent="0.35">
      <c r="A16" s="3">
        <v>11</v>
      </c>
      <c r="B16" s="3" t="s">
        <v>68</v>
      </c>
      <c r="C16" s="8">
        <v>43813.416666666701</v>
      </c>
      <c r="D16" s="8">
        <v>43815.416666666701</v>
      </c>
      <c r="E16" s="12" t="s">
        <v>61</v>
      </c>
      <c r="F16" s="12" t="s">
        <v>67</v>
      </c>
      <c r="G16" s="9">
        <v>56</v>
      </c>
      <c r="H16" s="9">
        <v>602.5</v>
      </c>
      <c r="I16" s="9">
        <v>0</v>
      </c>
      <c r="J16" s="9">
        <v>0</v>
      </c>
      <c r="K16" s="9">
        <v>658.5</v>
      </c>
      <c r="L16" s="7">
        <v>43825.666666666701</v>
      </c>
      <c r="M16" s="3" t="s">
        <v>182</v>
      </c>
      <c r="N16" s="9">
        <v>674.5</v>
      </c>
      <c r="O16" s="9">
        <v>0</v>
      </c>
      <c r="P16" s="12" t="s">
        <v>24</v>
      </c>
      <c r="Q16" s="9">
        <v>0</v>
      </c>
      <c r="R16" s="11">
        <v>0</v>
      </c>
      <c r="S16" s="10">
        <v>674.5</v>
      </c>
      <c r="T16" s="9">
        <v>0</v>
      </c>
      <c r="U16" s="14">
        <v>1</v>
      </c>
      <c r="V16" s="12" t="s">
        <v>166</v>
      </c>
      <c r="W16" s="9"/>
      <c r="X16" s="9"/>
    </row>
    <row r="17" spans="1:24" ht="22" x14ac:dyDescent="0.35">
      <c r="A17" s="3">
        <v>13</v>
      </c>
      <c r="B17" s="3" t="s">
        <v>70</v>
      </c>
      <c r="C17" s="8">
        <v>43823.416666666701</v>
      </c>
      <c r="D17" s="8">
        <v>43823.583333333299</v>
      </c>
      <c r="E17" s="12" t="s">
        <v>29</v>
      </c>
      <c r="F17" s="12" t="s">
        <v>67</v>
      </c>
      <c r="G17" s="9">
        <v>24</v>
      </c>
      <c r="H17" s="9">
        <v>602.5</v>
      </c>
      <c r="I17" s="9">
        <v>0</v>
      </c>
      <c r="J17" s="9">
        <v>0</v>
      </c>
      <c r="K17" s="9">
        <v>626.5</v>
      </c>
      <c r="L17" s="7">
        <v>43811.458333333299</v>
      </c>
      <c r="M17" s="3" t="s">
        <v>29</v>
      </c>
      <c r="N17" s="9">
        <v>626.5</v>
      </c>
      <c r="O17" s="9">
        <v>0</v>
      </c>
      <c r="P17" s="12" t="s">
        <v>24</v>
      </c>
      <c r="Q17" s="9">
        <v>0</v>
      </c>
      <c r="R17" s="11">
        <v>0</v>
      </c>
      <c r="S17" s="10">
        <v>626.5</v>
      </c>
      <c r="T17" s="9">
        <v>0</v>
      </c>
      <c r="U17" s="14">
        <v>1</v>
      </c>
      <c r="V17" s="12" t="s">
        <v>166</v>
      </c>
      <c r="W17" s="9"/>
      <c r="X17" s="9"/>
    </row>
    <row r="18" spans="1:24" x14ac:dyDescent="0.35">
      <c r="A18" s="3">
        <v>14</v>
      </c>
      <c r="B18" s="3" t="s">
        <v>74</v>
      </c>
      <c r="C18" s="8">
        <v>43836.583333333299</v>
      </c>
      <c r="D18" s="8">
        <v>43838.583333333299</v>
      </c>
      <c r="E18" s="12" t="s">
        <v>51</v>
      </c>
      <c r="F18" s="12" t="s">
        <v>77</v>
      </c>
      <c r="G18" s="9">
        <v>672</v>
      </c>
      <c r="H18" s="9">
        <v>602.5</v>
      </c>
      <c r="I18" s="9">
        <v>0</v>
      </c>
      <c r="J18" s="9">
        <v>0</v>
      </c>
      <c r="K18" s="9">
        <v>1274.5</v>
      </c>
      <c r="L18" s="7">
        <v>43830.458333333299</v>
      </c>
      <c r="M18" s="3" t="s">
        <v>171</v>
      </c>
      <c r="N18" s="9">
        <v>1178.5</v>
      </c>
      <c r="O18" s="9">
        <v>192</v>
      </c>
      <c r="P18" s="12" t="s">
        <v>167</v>
      </c>
      <c r="Q18" s="9">
        <v>0</v>
      </c>
      <c r="R18" s="11">
        <v>0</v>
      </c>
      <c r="S18" s="10">
        <v>1178.5</v>
      </c>
      <c r="T18" s="9">
        <v>192</v>
      </c>
      <c r="U18" s="14">
        <v>0.75</v>
      </c>
      <c r="V18" s="12" t="s">
        <v>169</v>
      </c>
      <c r="W18" s="9"/>
      <c r="X18" s="9"/>
    </row>
    <row r="19" spans="1:24" x14ac:dyDescent="0.35">
      <c r="A19" s="3">
        <v>15</v>
      </c>
      <c r="B19" s="3" t="s">
        <v>78</v>
      </c>
      <c r="C19" s="8">
        <v>43829.583333333299</v>
      </c>
      <c r="D19" s="8">
        <v>43830.583333333299</v>
      </c>
      <c r="E19" s="12" t="s">
        <v>61</v>
      </c>
      <c r="F19" s="12" t="s">
        <v>57</v>
      </c>
      <c r="G19" s="9">
        <v>112</v>
      </c>
      <c r="H19" s="9">
        <v>602.5</v>
      </c>
      <c r="I19" s="9">
        <v>0</v>
      </c>
      <c r="J19" s="9">
        <v>0</v>
      </c>
      <c r="K19" s="9">
        <v>714.5</v>
      </c>
      <c r="L19" s="7">
        <v>43824.666666666701</v>
      </c>
      <c r="M19" s="3" t="s">
        <v>182</v>
      </c>
      <c r="N19" s="9">
        <v>746.5</v>
      </c>
      <c r="O19" s="9">
        <v>0</v>
      </c>
      <c r="P19" s="12" t="s">
        <v>24</v>
      </c>
      <c r="Q19" s="9">
        <v>0</v>
      </c>
      <c r="R19" s="11">
        <v>0</v>
      </c>
      <c r="S19" s="10">
        <v>746.5</v>
      </c>
      <c r="T19" s="9">
        <v>0</v>
      </c>
      <c r="U19" s="14">
        <v>1</v>
      </c>
      <c r="V19" s="12" t="s">
        <v>166</v>
      </c>
      <c r="W19" s="9"/>
      <c r="X19" s="9"/>
    </row>
    <row r="20" spans="1:24" x14ac:dyDescent="0.35">
      <c r="A20" s="3">
        <v>16</v>
      </c>
      <c r="B20" s="3" t="s">
        <v>80</v>
      </c>
      <c r="C20" s="8">
        <v>43827.416666666701</v>
      </c>
      <c r="D20" s="8">
        <v>43827.583333333299</v>
      </c>
      <c r="E20" s="12" t="s">
        <v>29</v>
      </c>
      <c r="F20" s="12" t="s">
        <v>57</v>
      </c>
      <c r="G20" s="9">
        <v>48</v>
      </c>
      <c r="H20" s="9">
        <v>602.5</v>
      </c>
      <c r="I20" s="9">
        <v>0</v>
      </c>
      <c r="J20" s="9">
        <v>0</v>
      </c>
      <c r="K20" s="9">
        <v>650.5</v>
      </c>
      <c r="L20" s="7">
        <v>43813.666666666701</v>
      </c>
      <c r="M20" s="3" t="s">
        <v>167</v>
      </c>
      <c r="N20" s="9">
        <v>666.5</v>
      </c>
      <c r="O20" s="9">
        <v>0</v>
      </c>
      <c r="P20" s="12" t="s">
        <v>24</v>
      </c>
      <c r="Q20" s="9">
        <v>0</v>
      </c>
      <c r="R20" s="11">
        <v>0</v>
      </c>
      <c r="S20" s="10">
        <v>666.5</v>
      </c>
      <c r="T20" s="9">
        <v>0</v>
      </c>
      <c r="U20" s="14">
        <v>1</v>
      </c>
      <c r="V20" s="12" t="s">
        <v>166</v>
      </c>
      <c r="W20" s="9"/>
      <c r="X20" s="9"/>
    </row>
    <row r="21" spans="1:24" x14ac:dyDescent="0.35">
      <c r="A21" s="3">
        <v>17</v>
      </c>
      <c r="B21" s="3" t="s">
        <v>82</v>
      </c>
      <c r="C21" s="8">
        <v>43822.416666666701</v>
      </c>
      <c r="D21" s="8">
        <v>43823.416666666701</v>
      </c>
      <c r="E21" s="12" t="s">
        <v>61</v>
      </c>
      <c r="F21" s="12" t="s">
        <v>85</v>
      </c>
      <c r="G21" s="9">
        <v>140</v>
      </c>
      <c r="H21" s="9">
        <v>3302.5</v>
      </c>
      <c r="I21" s="9">
        <v>0</v>
      </c>
      <c r="J21" s="9">
        <v>0</v>
      </c>
      <c r="K21" s="9">
        <v>3442.5</v>
      </c>
      <c r="L21" s="7">
        <v>43810.625</v>
      </c>
      <c r="M21" s="3" t="s">
        <v>167</v>
      </c>
      <c r="N21" s="9">
        <v>3382.5</v>
      </c>
      <c r="O21" s="9">
        <v>0</v>
      </c>
      <c r="P21" s="12" t="s">
        <v>24</v>
      </c>
      <c r="Q21" s="9">
        <v>0</v>
      </c>
      <c r="R21" s="11">
        <v>0</v>
      </c>
      <c r="S21" s="10">
        <v>3382.5</v>
      </c>
      <c r="T21" s="9">
        <v>0</v>
      </c>
      <c r="U21" s="14">
        <v>1</v>
      </c>
      <c r="V21" s="12" t="s">
        <v>166</v>
      </c>
      <c r="W21" s="9"/>
      <c r="X21" s="9"/>
    </row>
    <row r="22" spans="1:24" x14ac:dyDescent="0.35">
      <c r="A22" s="3">
        <v>18</v>
      </c>
      <c r="B22" s="3" t="s">
        <v>86</v>
      </c>
      <c r="C22" s="8">
        <v>43832.583333333299</v>
      </c>
      <c r="D22" s="8">
        <v>43833.583333333299</v>
      </c>
      <c r="E22" s="12" t="s">
        <v>61</v>
      </c>
      <c r="F22" s="12" t="s">
        <v>57</v>
      </c>
      <c r="G22" s="9">
        <v>112</v>
      </c>
      <c r="H22" s="9">
        <v>602.5</v>
      </c>
      <c r="I22" s="9">
        <v>0</v>
      </c>
      <c r="J22" s="9">
        <v>0</v>
      </c>
      <c r="K22" s="9">
        <v>714.5</v>
      </c>
      <c r="L22" s="7">
        <v>43824.666666666701</v>
      </c>
      <c r="M22" s="3" t="s">
        <v>182</v>
      </c>
      <c r="N22" s="9">
        <v>746.5</v>
      </c>
      <c r="O22" s="9">
        <v>0</v>
      </c>
      <c r="P22" s="12" t="s">
        <v>24</v>
      </c>
      <c r="Q22" s="9">
        <v>0</v>
      </c>
      <c r="R22" s="11">
        <v>0</v>
      </c>
      <c r="S22" s="10">
        <v>746.5</v>
      </c>
      <c r="T22" s="9">
        <v>0</v>
      </c>
      <c r="U22" s="14">
        <v>1</v>
      </c>
      <c r="V22" s="12" t="s">
        <v>166</v>
      </c>
      <c r="W22" s="9"/>
      <c r="X22" s="9"/>
    </row>
    <row r="23" spans="1:24" ht="22" x14ac:dyDescent="0.35">
      <c r="A23" s="3">
        <v>19</v>
      </c>
      <c r="B23" s="3" t="s">
        <v>88</v>
      </c>
      <c r="C23" s="8">
        <v>43833.583333333299</v>
      </c>
      <c r="D23" s="8">
        <v>43836.583333333299</v>
      </c>
      <c r="E23" s="12" t="s">
        <v>51</v>
      </c>
      <c r="F23" s="12" t="s">
        <v>77</v>
      </c>
      <c r="G23" s="9">
        <v>672</v>
      </c>
      <c r="H23" s="9">
        <v>2252.5</v>
      </c>
      <c r="I23" s="9">
        <v>0</v>
      </c>
      <c r="J23" s="9">
        <v>0</v>
      </c>
      <c r="K23" s="9">
        <v>2924.5</v>
      </c>
      <c r="L23" s="7">
        <v>43826.416666666701</v>
      </c>
      <c r="M23" s="3" t="s">
        <v>178</v>
      </c>
      <c r="N23" s="9">
        <v>2636.5</v>
      </c>
      <c r="O23" s="9">
        <v>0</v>
      </c>
      <c r="P23" s="12" t="s">
        <v>24</v>
      </c>
      <c r="Q23" s="9">
        <v>0</v>
      </c>
      <c r="R23" s="11">
        <v>0</v>
      </c>
      <c r="S23" s="10">
        <v>2636.5</v>
      </c>
      <c r="T23" s="9">
        <v>0</v>
      </c>
      <c r="U23" s="14">
        <v>1</v>
      </c>
      <c r="V23" s="12" t="s">
        <v>166</v>
      </c>
      <c r="W23" s="9"/>
      <c r="X23" s="9"/>
    </row>
    <row r="24" spans="1:24" x14ac:dyDescent="0.35">
      <c r="A24" s="3">
        <v>20</v>
      </c>
      <c r="B24" s="3" t="s">
        <v>91</v>
      </c>
      <c r="C24" s="8">
        <v>43824.416666666701</v>
      </c>
      <c r="D24" s="8">
        <v>43825.416666666701</v>
      </c>
      <c r="E24" s="12" t="s">
        <v>61</v>
      </c>
      <c r="F24" s="12" t="s">
        <v>67</v>
      </c>
      <c r="G24" s="9">
        <v>56</v>
      </c>
      <c r="H24" s="9">
        <v>28602.5</v>
      </c>
      <c r="I24" s="9">
        <v>0</v>
      </c>
      <c r="J24" s="9">
        <v>0</v>
      </c>
      <c r="K24" s="9">
        <v>28658.5</v>
      </c>
      <c r="L24" s="7">
        <v>43811.458333333299</v>
      </c>
      <c r="M24" s="3" t="s">
        <v>174</v>
      </c>
      <c r="N24" s="9">
        <v>28642.5</v>
      </c>
      <c r="O24" s="9">
        <v>0</v>
      </c>
      <c r="P24" s="12" t="s">
        <v>24</v>
      </c>
      <c r="Q24" s="9">
        <v>0</v>
      </c>
      <c r="R24" s="11">
        <v>0</v>
      </c>
      <c r="S24" s="10">
        <v>28642.5</v>
      </c>
      <c r="T24" s="9">
        <v>0</v>
      </c>
      <c r="U24" s="14">
        <v>1</v>
      </c>
      <c r="V24" s="12" t="s">
        <v>166</v>
      </c>
      <c r="W24" s="9"/>
      <c r="X24" s="9"/>
    </row>
    <row r="25" spans="1:24" ht="22" x14ac:dyDescent="0.35">
      <c r="A25" s="3">
        <v>21</v>
      </c>
      <c r="B25" s="3" t="s">
        <v>95</v>
      </c>
      <c r="C25" s="8">
        <v>43830.583333333299</v>
      </c>
      <c r="D25" s="8">
        <v>43831.583333333299</v>
      </c>
      <c r="E25" s="12" t="s">
        <v>61</v>
      </c>
      <c r="F25" s="12" t="s">
        <v>36</v>
      </c>
      <c r="G25" s="9">
        <v>168</v>
      </c>
      <c r="H25" s="9">
        <v>3677.5</v>
      </c>
      <c r="I25" s="9">
        <v>0</v>
      </c>
      <c r="J25" s="9">
        <v>0</v>
      </c>
      <c r="K25" s="9">
        <v>3845.5</v>
      </c>
      <c r="L25" s="7">
        <v>43827.458333333299</v>
      </c>
      <c r="M25" s="3" t="s">
        <v>124</v>
      </c>
      <c r="N25" s="9">
        <v>3821.5</v>
      </c>
      <c r="O25" s="9">
        <v>0</v>
      </c>
      <c r="P25" s="12" t="s">
        <v>24</v>
      </c>
      <c r="Q25" s="9">
        <v>0</v>
      </c>
      <c r="R25" s="11">
        <v>0</v>
      </c>
      <c r="S25" s="10">
        <v>3821.5</v>
      </c>
      <c r="T25" s="9">
        <v>0</v>
      </c>
      <c r="U25" s="14">
        <v>1</v>
      </c>
      <c r="V25" s="12" t="s">
        <v>166</v>
      </c>
      <c r="W25" s="9"/>
      <c r="X25" s="9"/>
    </row>
    <row r="26" spans="1:24" x14ac:dyDescent="0.35">
      <c r="A26" s="3">
        <v>22</v>
      </c>
      <c r="B26" s="3" t="s">
        <v>98</v>
      </c>
      <c r="C26" s="8">
        <v>43825.416666666701</v>
      </c>
      <c r="D26" s="8">
        <v>43826.416666666701</v>
      </c>
      <c r="E26" s="12" t="s">
        <v>61</v>
      </c>
      <c r="F26" s="12" t="s">
        <v>67</v>
      </c>
      <c r="G26" s="9">
        <v>56</v>
      </c>
      <c r="H26" s="9">
        <v>602.5</v>
      </c>
      <c r="I26" s="9">
        <v>0</v>
      </c>
      <c r="J26" s="9">
        <v>0</v>
      </c>
      <c r="K26" s="9">
        <v>658.5</v>
      </c>
      <c r="L26" s="7">
        <v>43812.375</v>
      </c>
      <c r="M26" s="3" t="s">
        <v>124</v>
      </c>
      <c r="N26" s="9">
        <v>650.5</v>
      </c>
      <c r="O26" s="9">
        <v>0</v>
      </c>
      <c r="P26" s="12" t="s">
        <v>24</v>
      </c>
      <c r="Q26" s="9">
        <v>0</v>
      </c>
      <c r="R26" s="11">
        <v>0</v>
      </c>
      <c r="S26" s="10">
        <v>650.5</v>
      </c>
      <c r="T26" s="9">
        <v>0</v>
      </c>
      <c r="U26" s="14">
        <v>1</v>
      </c>
      <c r="V26" s="12" t="s">
        <v>166</v>
      </c>
      <c r="W26" s="9"/>
      <c r="X26" s="9"/>
    </row>
    <row r="27" spans="1:24" x14ac:dyDescent="0.35">
      <c r="A27" s="3">
        <v>23</v>
      </c>
      <c r="B27" s="3" t="s">
        <v>101</v>
      </c>
      <c r="C27" s="8">
        <v>43832.583333333299</v>
      </c>
      <c r="D27" s="8">
        <v>43833.583333333299</v>
      </c>
      <c r="E27" s="12" t="s">
        <v>61</v>
      </c>
      <c r="F27" s="12" t="s">
        <v>52</v>
      </c>
      <c r="G27" s="9">
        <v>224</v>
      </c>
      <c r="H27" s="9">
        <v>43602.5</v>
      </c>
      <c r="I27" s="9">
        <v>0</v>
      </c>
      <c r="J27" s="9">
        <v>0</v>
      </c>
      <c r="K27" s="9">
        <v>43826.5</v>
      </c>
      <c r="L27" s="7">
        <v>43829.416666666701</v>
      </c>
      <c r="M27" s="3" t="s">
        <v>178</v>
      </c>
      <c r="N27" s="9">
        <v>43858.5</v>
      </c>
      <c r="O27" s="9">
        <v>0</v>
      </c>
      <c r="P27" s="12" t="s">
        <v>24</v>
      </c>
      <c r="Q27" s="9">
        <v>0</v>
      </c>
      <c r="R27" s="11">
        <v>0</v>
      </c>
      <c r="S27" s="10">
        <v>43858.5</v>
      </c>
      <c r="T27" s="9">
        <v>0</v>
      </c>
      <c r="U27" s="14">
        <v>1</v>
      </c>
      <c r="V27" s="12" t="s">
        <v>166</v>
      </c>
      <c r="W27" s="9"/>
      <c r="X27" s="9"/>
    </row>
    <row r="28" spans="1:24" x14ac:dyDescent="0.35">
      <c r="A28" s="3">
        <v>24</v>
      </c>
      <c r="B28" s="3" t="s">
        <v>103</v>
      </c>
      <c r="C28" s="8">
        <v>43826.416666666701</v>
      </c>
      <c r="D28" s="8">
        <v>43827.416666666701</v>
      </c>
      <c r="E28" s="12" t="s">
        <v>61</v>
      </c>
      <c r="F28" s="12" t="s">
        <v>67</v>
      </c>
      <c r="G28" s="9">
        <v>56</v>
      </c>
      <c r="H28" s="9">
        <v>1577.5</v>
      </c>
      <c r="I28" s="9">
        <v>0</v>
      </c>
      <c r="J28" s="9">
        <v>0</v>
      </c>
      <c r="K28" s="9">
        <v>1633.5</v>
      </c>
      <c r="L28" s="7">
        <v>43812.666666666701</v>
      </c>
      <c r="M28" s="3" t="s">
        <v>61</v>
      </c>
      <c r="N28" s="9">
        <v>1633.5</v>
      </c>
      <c r="O28" s="9">
        <v>0</v>
      </c>
      <c r="P28" s="12" t="s">
        <v>24</v>
      </c>
      <c r="Q28" s="9">
        <v>0</v>
      </c>
      <c r="R28" s="11">
        <v>0</v>
      </c>
      <c r="S28" s="10">
        <v>1633.5</v>
      </c>
      <c r="T28" s="9">
        <v>0</v>
      </c>
      <c r="U28" s="14">
        <v>1</v>
      </c>
      <c r="V28" s="12" t="s">
        <v>166</v>
      </c>
      <c r="W28" s="9"/>
      <c r="X28" s="9"/>
    </row>
    <row r="29" spans="1:24" x14ac:dyDescent="0.35">
      <c r="A29" s="3">
        <v>25</v>
      </c>
      <c r="B29" s="3" t="s">
        <v>106</v>
      </c>
      <c r="C29" s="8">
        <v>43813.416666666701</v>
      </c>
      <c r="D29" s="8">
        <v>43815.416666666701</v>
      </c>
      <c r="E29" s="12" t="s">
        <v>61</v>
      </c>
      <c r="F29" s="12" t="s">
        <v>67</v>
      </c>
      <c r="G29" s="9">
        <v>56</v>
      </c>
      <c r="H29" s="9">
        <v>2524.5</v>
      </c>
      <c r="I29" s="9">
        <v>0</v>
      </c>
      <c r="J29" s="9">
        <v>0</v>
      </c>
      <c r="K29" s="9">
        <v>2580.5</v>
      </c>
      <c r="L29" s="7">
        <v>43812.541666666701</v>
      </c>
      <c r="M29" s="3" t="s">
        <v>61</v>
      </c>
      <c r="N29" s="9">
        <v>2580.5</v>
      </c>
      <c r="O29" s="9">
        <v>0</v>
      </c>
      <c r="P29" s="12" t="s">
        <v>24</v>
      </c>
      <c r="Q29" s="9">
        <v>0</v>
      </c>
      <c r="R29" s="11">
        <v>0</v>
      </c>
      <c r="S29" s="10">
        <v>2580.5</v>
      </c>
      <c r="T29" s="9">
        <v>0</v>
      </c>
      <c r="U29" s="14">
        <v>1</v>
      </c>
      <c r="V29" s="12" t="s">
        <v>166</v>
      </c>
      <c r="W29" s="9"/>
      <c r="X29" s="9"/>
    </row>
    <row r="30" spans="1:24" x14ac:dyDescent="0.35">
      <c r="A30" s="3">
        <v>26</v>
      </c>
      <c r="B30" s="3" t="s">
        <v>108</v>
      </c>
      <c r="C30" s="8">
        <v>43829.583333333299</v>
      </c>
      <c r="D30" s="8">
        <v>43830.583333333299</v>
      </c>
      <c r="E30" s="12" t="s">
        <v>61</v>
      </c>
      <c r="F30" s="12" t="s">
        <v>57</v>
      </c>
      <c r="G30" s="9">
        <v>112</v>
      </c>
      <c r="H30" s="9">
        <v>3442.30004882813</v>
      </c>
      <c r="I30" s="9">
        <v>0</v>
      </c>
      <c r="J30" s="9">
        <v>0</v>
      </c>
      <c r="K30" s="9">
        <v>3554.30004882813</v>
      </c>
      <c r="L30" s="7">
        <v>43827.458333333299</v>
      </c>
      <c r="M30" s="3" t="s">
        <v>124</v>
      </c>
      <c r="N30" s="9">
        <v>3538.30004882813</v>
      </c>
      <c r="O30" s="9">
        <v>0</v>
      </c>
      <c r="P30" s="12" t="s">
        <v>24</v>
      </c>
      <c r="Q30" s="9">
        <v>0</v>
      </c>
      <c r="R30" s="11">
        <v>0</v>
      </c>
      <c r="S30" s="10">
        <v>3538.30004882813</v>
      </c>
      <c r="T30" s="9">
        <v>0</v>
      </c>
      <c r="U30" s="14">
        <v>1</v>
      </c>
      <c r="V30" s="12" t="s">
        <v>166</v>
      </c>
      <c r="W30" s="9"/>
      <c r="X30" s="9"/>
    </row>
    <row r="31" spans="1:24" x14ac:dyDescent="0.35">
      <c r="A31" s="3">
        <v>27</v>
      </c>
      <c r="B31" s="3" t="s">
        <v>110</v>
      </c>
      <c r="C31" s="8">
        <v>43823.416666666701</v>
      </c>
      <c r="D31" s="8">
        <v>43824.416666666701</v>
      </c>
      <c r="E31" s="12" t="s">
        <v>61</v>
      </c>
      <c r="F31" s="12" t="s">
        <v>67</v>
      </c>
      <c r="G31" s="9">
        <v>56</v>
      </c>
      <c r="H31" s="9">
        <v>2972.5</v>
      </c>
      <c r="I31" s="9">
        <v>0</v>
      </c>
      <c r="J31" s="9">
        <v>0</v>
      </c>
      <c r="K31" s="9">
        <v>3028.5</v>
      </c>
      <c r="L31" s="7">
        <v>43810.625</v>
      </c>
      <c r="M31" s="3" t="s">
        <v>167</v>
      </c>
      <c r="N31" s="9">
        <v>3004.5</v>
      </c>
      <c r="O31" s="9">
        <v>0</v>
      </c>
      <c r="P31" s="12" t="s">
        <v>24</v>
      </c>
      <c r="Q31" s="9">
        <v>0</v>
      </c>
      <c r="R31" s="11">
        <v>0</v>
      </c>
      <c r="S31" s="10">
        <v>3004.5</v>
      </c>
      <c r="T31" s="9">
        <v>0</v>
      </c>
      <c r="U31" s="14">
        <v>1</v>
      </c>
      <c r="V31" s="12" t="s">
        <v>166</v>
      </c>
      <c r="W31" s="9"/>
      <c r="X31" s="9"/>
    </row>
    <row r="32" spans="1:24" x14ac:dyDescent="0.35">
      <c r="A32" s="3">
        <v>28</v>
      </c>
      <c r="B32" s="3" t="s">
        <v>113</v>
      </c>
      <c r="C32" s="8">
        <v>43832.583333333299</v>
      </c>
      <c r="D32" s="8">
        <v>43833.583333333299</v>
      </c>
      <c r="E32" s="12" t="s">
        <v>61</v>
      </c>
      <c r="F32" s="12" t="s">
        <v>67</v>
      </c>
      <c r="G32" s="9">
        <v>56</v>
      </c>
      <c r="H32" s="9">
        <v>1586.5</v>
      </c>
      <c r="I32" s="9">
        <v>0</v>
      </c>
      <c r="J32" s="9">
        <v>0</v>
      </c>
      <c r="K32" s="9">
        <v>1642.5</v>
      </c>
      <c r="L32" s="7">
        <v>43810.625</v>
      </c>
      <c r="M32" s="3" t="s">
        <v>185</v>
      </c>
      <c r="N32" s="9">
        <v>1666.5</v>
      </c>
      <c r="O32" s="9">
        <v>0</v>
      </c>
      <c r="P32" s="12" t="s">
        <v>24</v>
      </c>
      <c r="Q32" s="9">
        <v>0</v>
      </c>
      <c r="R32" s="11">
        <v>0</v>
      </c>
      <c r="S32" s="10">
        <v>1666.5</v>
      </c>
      <c r="T32" s="9">
        <v>0</v>
      </c>
      <c r="U32" s="14">
        <v>1</v>
      </c>
      <c r="V32" s="12" t="s">
        <v>166</v>
      </c>
      <c r="W32" s="9"/>
      <c r="X32" s="9"/>
    </row>
    <row r="33" spans="1:24" ht="22" x14ac:dyDescent="0.35">
      <c r="A33" s="3">
        <v>29</v>
      </c>
      <c r="B33" s="3" t="s">
        <v>117</v>
      </c>
      <c r="C33" s="8">
        <v>43833.583333333299</v>
      </c>
      <c r="D33" s="8">
        <v>43833.708333333299</v>
      </c>
      <c r="E33" s="12" t="s">
        <v>29</v>
      </c>
      <c r="F33" s="12" t="s">
        <v>67</v>
      </c>
      <c r="G33" s="9">
        <v>24</v>
      </c>
      <c r="H33" s="9">
        <v>602.5</v>
      </c>
      <c r="I33" s="9">
        <v>0</v>
      </c>
      <c r="J33" s="9">
        <v>0</v>
      </c>
      <c r="K33" s="9">
        <v>626.5</v>
      </c>
      <c r="L33" s="7">
        <v>43812.416666666701</v>
      </c>
      <c r="M33" s="3" t="s">
        <v>177</v>
      </c>
      <c r="N33" s="9">
        <v>618.5</v>
      </c>
      <c r="O33" s="9">
        <v>0</v>
      </c>
      <c r="P33" s="12" t="s">
        <v>24</v>
      </c>
      <c r="Q33" s="9">
        <v>0</v>
      </c>
      <c r="R33" s="11">
        <v>0</v>
      </c>
      <c r="S33" s="10">
        <v>618.5</v>
      </c>
      <c r="T33" s="9">
        <v>0</v>
      </c>
      <c r="U33" s="14">
        <v>1</v>
      </c>
      <c r="V33" s="12" t="s">
        <v>166</v>
      </c>
      <c r="W33" s="9"/>
      <c r="X33" s="9"/>
    </row>
    <row r="34" spans="1:24" x14ac:dyDescent="0.35">
      <c r="A34" s="3">
        <v>30</v>
      </c>
      <c r="B34" s="3" t="s">
        <v>120</v>
      </c>
      <c r="C34" s="8">
        <v>43838.583333333299</v>
      </c>
      <c r="D34" s="8">
        <v>43839.5</v>
      </c>
      <c r="E34" s="12" t="s">
        <v>124</v>
      </c>
      <c r="F34" s="12" t="s">
        <v>67</v>
      </c>
      <c r="G34" s="9">
        <v>48</v>
      </c>
      <c r="H34" s="9">
        <v>602.5</v>
      </c>
      <c r="I34" s="9">
        <v>0</v>
      </c>
      <c r="J34" s="9">
        <v>0</v>
      </c>
      <c r="K34" s="9">
        <v>650.5</v>
      </c>
      <c r="L34" s="3"/>
      <c r="M34" s="3" t="s">
        <v>24</v>
      </c>
      <c r="N34" s="9">
        <v>0</v>
      </c>
      <c r="O34" s="9">
        <v>650.5</v>
      </c>
      <c r="P34" s="12" t="s">
        <v>124</v>
      </c>
      <c r="Q34" s="9">
        <v>0</v>
      </c>
      <c r="R34" s="11">
        <v>0</v>
      </c>
      <c r="S34" s="10">
        <v>0</v>
      </c>
      <c r="T34" s="9">
        <v>650.5</v>
      </c>
      <c r="U34" s="14">
        <v>0</v>
      </c>
      <c r="V34" s="12" t="s">
        <v>170</v>
      </c>
      <c r="W34" s="9"/>
      <c r="X34" s="9"/>
    </row>
    <row r="35" spans="1:24" x14ac:dyDescent="0.35">
      <c r="A35" s="3">
        <v>31</v>
      </c>
      <c r="B35" s="3" t="s">
        <v>125</v>
      </c>
      <c r="C35" s="8">
        <v>43839.5</v>
      </c>
      <c r="D35" s="8">
        <v>43839.5</v>
      </c>
      <c r="E35" s="12" t="s">
        <v>24</v>
      </c>
      <c r="F35" s="12"/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3"/>
      <c r="M35" s="3" t="s">
        <v>24</v>
      </c>
      <c r="N35" s="9">
        <v>0</v>
      </c>
      <c r="O35" s="9">
        <v>0</v>
      </c>
      <c r="P35" s="12" t="s">
        <v>24</v>
      </c>
      <c r="Q35" s="9">
        <v>0</v>
      </c>
      <c r="R35" s="11">
        <v>0</v>
      </c>
      <c r="S35" s="10">
        <v>0</v>
      </c>
      <c r="T35" s="9">
        <v>0</v>
      </c>
      <c r="U35" s="14">
        <v>0</v>
      </c>
      <c r="V35" s="12" t="s">
        <v>170</v>
      </c>
      <c r="W35" s="9"/>
      <c r="X35" s="9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Blad26"/>
  <dimension ref="A1:X35"/>
  <sheetViews>
    <sheetView tabSelected="1" topLeftCell="C1" workbookViewId="0">
      <selection activeCell="V19" sqref="V19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150</v>
      </c>
      <c r="C1" s="7">
        <v>43832.708333333299</v>
      </c>
      <c r="E1" s="1" t="s">
        <v>151</v>
      </c>
      <c r="F1" s="4" t="s">
        <v>237</v>
      </c>
    </row>
    <row r="3" spans="1:24" x14ac:dyDescent="0.35">
      <c r="A3" s="24" t="s">
        <v>0</v>
      </c>
      <c r="B3" s="24"/>
      <c r="C3" s="24" t="s">
        <v>2</v>
      </c>
      <c r="D3" s="24"/>
      <c r="E3" s="24"/>
      <c r="F3" s="24" t="s">
        <v>3</v>
      </c>
      <c r="G3" s="24"/>
      <c r="H3" s="24" t="s">
        <v>4</v>
      </c>
      <c r="I3" s="24"/>
      <c r="J3" s="24"/>
      <c r="K3" s="24"/>
      <c r="L3" s="24" t="s">
        <v>152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153</v>
      </c>
      <c r="M4" s="1" t="s">
        <v>154</v>
      </c>
      <c r="N4" s="1" t="s">
        <v>155</v>
      </c>
      <c r="O4" s="1" t="s">
        <v>156</v>
      </c>
      <c r="P4" s="1" t="s">
        <v>157</v>
      </c>
      <c r="Q4" s="1" t="s">
        <v>158</v>
      </c>
      <c r="R4" s="1" t="s">
        <v>159</v>
      </c>
      <c r="S4" s="1" t="s">
        <v>160</v>
      </c>
      <c r="T4" s="1" t="s">
        <v>161</v>
      </c>
      <c r="U4" s="1" t="s">
        <v>162</v>
      </c>
      <c r="V4" s="1" t="s">
        <v>152</v>
      </c>
      <c r="W4" s="1" t="s">
        <v>163</v>
      </c>
      <c r="X4" s="1" t="s">
        <v>164</v>
      </c>
    </row>
    <row r="5" spans="1:24" x14ac:dyDescent="0.35">
      <c r="A5" s="2">
        <v>0</v>
      </c>
      <c r="B5" s="3" t="s">
        <v>18</v>
      </c>
      <c r="C5" s="5">
        <v>43808.375</v>
      </c>
      <c r="D5" s="5">
        <v>43839.5</v>
      </c>
      <c r="E5" s="2" t="s">
        <v>20</v>
      </c>
      <c r="F5" s="2"/>
      <c r="G5" s="6"/>
      <c r="H5" s="6">
        <v>118411.30004882799</v>
      </c>
      <c r="I5" s="6"/>
      <c r="J5" s="6"/>
      <c r="K5" s="6">
        <v>126955.30004882799</v>
      </c>
      <c r="L5" s="2"/>
      <c r="M5" s="2" t="s">
        <v>238</v>
      </c>
      <c r="N5" s="6"/>
      <c r="O5" s="6"/>
      <c r="P5" s="2"/>
      <c r="Q5" s="6"/>
      <c r="R5" s="6"/>
      <c r="S5" s="6">
        <v>126319.30004882799</v>
      </c>
      <c r="T5" s="6"/>
      <c r="U5" s="13">
        <v>0.99978395095585904</v>
      </c>
      <c r="V5" s="2"/>
      <c r="W5" s="6"/>
      <c r="X5" s="6"/>
    </row>
    <row r="6" spans="1:24" x14ac:dyDescent="0.35">
      <c r="A6" s="3">
        <v>1</v>
      </c>
      <c r="B6" s="3" t="s">
        <v>21</v>
      </c>
      <c r="C6" s="8">
        <v>43808.375</v>
      </c>
      <c r="D6" s="8">
        <v>43806.708333333299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43808.375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166</v>
      </c>
      <c r="W6" s="9"/>
      <c r="X6" s="9"/>
    </row>
    <row r="7" spans="1:24" ht="22" x14ac:dyDescent="0.35">
      <c r="A7" s="3">
        <v>2</v>
      </c>
      <c r="B7" s="3" t="s">
        <v>25</v>
      </c>
      <c r="C7" s="8">
        <v>43808.375</v>
      </c>
      <c r="D7" s="8">
        <v>43808.5</v>
      </c>
      <c r="E7" s="12" t="s">
        <v>29</v>
      </c>
      <c r="F7" s="12" t="s">
        <v>30</v>
      </c>
      <c r="G7" s="9">
        <v>36</v>
      </c>
      <c r="H7" s="9">
        <v>931.5</v>
      </c>
      <c r="I7" s="9">
        <v>0</v>
      </c>
      <c r="J7" s="9">
        <v>0</v>
      </c>
      <c r="K7" s="9">
        <v>967.5</v>
      </c>
      <c r="L7" s="7">
        <v>43808.375</v>
      </c>
      <c r="M7" s="3" t="s">
        <v>29</v>
      </c>
      <c r="N7" s="9">
        <v>967.5</v>
      </c>
      <c r="O7" s="9">
        <v>0</v>
      </c>
      <c r="P7" s="12" t="s">
        <v>24</v>
      </c>
      <c r="Q7" s="9">
        <v>0</v>
      </c>
      <c r="R7" s="11">
        <v>0</v>
      </c>
      <c r="S7" s="10">
        <v>967.5</v>
      </c>
      <c r="T7" s="9">
        <v>0</v>
      </c>
      <c r="U7" s="14">
        <v>1</v>
      </c>
      <c r="V7" s="12" t="s">
        <v>166</v>
      </c>
      <c r="W7" s="9"/>
      <c r="X7" s="9"/>
    </row>
    <row r="8" spans="1:24" x14ac:dyDescent="0.35">
      <c r="A8" s="3">
        <v>3</v>
      </c>
      <c r="B8" s="3" t="s">
        <v>31</v>
      </c>
      <c r="C8" s="8">
        <v>43808.541666666701</v>
      </c>
      <c r="D8" s="8">
        <v>43813.5</v>
      </c>
      <c r="E8" s="12" t="s">
        <v>35</v>
      </c>
      <c r="F8" s="12" t="s">
        <v>36</v>
      </c>
      <c r="G8" s="9">
        <v>840</v>
      </c>
      <c r="H8" s="9">
        <v>950.5</v>
      </c>
      <c r="I8" s="9">
        <v>0</v>
      </c>
      <c r="J8" s="9">
        <v>0</v>
      </c>
      <c r="K8" s="9">
        <v>1790.5</v>
      </c>
      <c r="L8" s="7">
        <v>43808.541666666701</v>
      </c>
      <c r="M8" s="3" t="s">
        <v>181</v>
      </c>
      <c r="N8" s="9">
        <v>1550.5</v>
      </c>
      <c r="O8" s="9">
        <v>0</v>
      </c>
      <c r="P8" s="12" t="s">
        <v>24</v>
      </c>
      <c r="Q8" s="9">
        <v>0</v>
      </c>
      <c r="R8" s="11">
        <v>0</v>
      </c>
      <c r="S8" s="10">
        <v>1550.5</v>
      </c>
      <c r="T8" s="9">
        <v>0</v>
      </c>
      <c r="U8" s="14">
        <v>1</v>
      </c>
      <c r="V8" s="12" t="s">
        <v>166</v>
      </c>
      <c r="W8" s="9"/>
      <c r="X8" s="9"/>
    </row>
    <row r="9" spans="1:24" x14ac:dyDescent="0.35">
      <c r="A9" s="3">
        <v>4</v>
      </c>
      <c r="B9" s="3" t="s">
        <v>37</v>
      </c>
      <c r="C9" s="8">
        <v>43813.541666666701</v>
      </c>
      <c r="D9" s="8">
        <v>43816.625</v>
      </c>
      <c r="E9" s="12" t="s">
        <v>41</v>
      </c>
      <c r="F9" s="12" t="s">
        <v>42</v>
      </c>
      <c r="G9" s="9">
        <v>640</v>
      </c>
      <c r="H9" s="9">
        <v>8819</v>
      </c>
      <c r="I9" s="9">
        <v>0</v>
      </c>
      <c r="J9" s="9">
        <v>0</v>
      </c>
      <c r="K9" s="9">
        <v>9459</v>
      </c>
      <c r="L9" s="7">
        <v>43812.375</v>
      </c>
      <c r="M9" s="3" t="s">
        <v>185</v>
      </c>
      <c r="N9" s="9">
        <v>9219</v>
      </c>
      <c r="O9" s="9">
        <v>0</v>
      </c>
      <c r="P9" s="12" t="s">
        <v>24</v>
      </c>
      <c r="Q9" s="9">
        <v>0</v>
      </c>
      <c r="R9" s="11">
        <v>0</v>
      </c>
      <c r="S9" s="10">
        <v>9219</v>
      </c>
      <c r="T9" s="9">
        <v>0</v>
      </c>
      <c r="U9" s="14">
        <v>1</v>
      </c>
      <c r="V9" s="12" t="s">
        <v>166</v>
      </c>
      <c r="W9" s="9"/>
      <c r="X9" s="9"/>
    </row>
    <row r="10" spans="1:24" ht="22" x14ac:dyDescent="0.35">
      <c r="A10" s="3">
        <v>5</v>
      </c>
      <c r="B10" s="3" t="s">
        <v>43</v>
      </c>
      <c r="C10" s="8">
        <v>43816.625</v>
      </c>
      <c r="D10" s="8">
        <v>43827.708333333299</v>
      </c>
      <c r="E10" s="12" t="s">
        <v>47</v>
      </c>
      <c r="F10" s="12" t="s">
        <v>42</v>
      </c>
      <c r="G10" s="9">
        <v>2880</v>
      </c>
      <c r="H10" s="9">
        <v>3166.5</v>
      </c>
      <c r="I10" s="9">
        <v>0</v>
      </c>
      <c r="J10" s="9">
        <v>0</v>
      </c>
      <c r="K10" s="9">
        <v>6046.5</v>
      </c>
      <c r="L10" s="7">
        <v>43813.541666666701</v>
      </c>
      <c r="M10" s="3" t="s">
        <v>224</v>
      </c>
      <c r="N10" s="9">
        <v>5806.5</v>
      </c>
      <c r="O10" s="9">
        <v>0</v>
      </c>
      <c r="P10" s="12" t="s">
        <v>24</v>
      </c>
      <c r="Q10" s="9">
        <v>0</v>
      </c>
      <c r="R10" s="11">
        <v>0</v>
      </c>
      <c r="S10" s="10">
        <v>5806.5</v>
      </c>
      <c r="T10" s="9">
        <v>0</v>
      </c>
      <c r="U10" s="14">
        <v>1</v>
      </c>
      <c r="V10" s="12" t="s">
        <v>166</v>
      </c>
      <c r="W10" s="9"/>
      <c r="X10" s="9"/>
    </row>
    <row r="11" spans="1:24" x14ac:dyDescent="0.35">
      <c r="A11" s="3">
        <v>6</v>
      </c>
      <c r="B11" s="3" t="s">
        <v>48</v>
      </c>
      <c r="C11" s="8">
        <v>43830.583333333299</v>
      </c>
      <c r="D11" s="8">
        <v>43832.583333333299</v>
      </c>
      <c r="E11" s="12" t="s">
        <v>51</v>
      </c>
      <c r="F11" s="12" t="s">
        <v>52</v>
      </c>
      <c r="G11" s="9">
        <v>448</v>
      </c>
      <c r="H11" s="9">
        <v>1802.5</v>
      </c>
      <c r="I11" s="9">
        <v>0</v>
      </c>
      <c r="J11" s="9">
        <v>0</v>
      </c>
      <c r="K11" s="9">
        <v>2250.5</v>
      </c>
      <c r="L11" s="7">
        <v>43808.541666666701</v>
      </c>
      <c r="M11" s="3" t="s">
        <v>41</v>
      </c>
      <c r="N11" s="9">
        <v>2314.5</v>
      </c>
      <c r="O11" s="9">
        <v>0</v>
      </c>
      <c r="P11" s="12" t="s">
        <v>24</v>
      </c>
      <c r="Q11" s="9">
        <v>0</v>
      </c>
      <c r="R11" s="11">
        <v>0</v>
      </c>
      <c r="S11" s="10">
        <v>2314.5</v>
      </c>
      <c r="T11" s="9">
        <v>0</v>
      </c>
      <c r="U11" s="14">
        <v>1</v>
      </c>
      <c r="V11" s="12" t="s">
        <v>166</v>
      </c>
      <c r="W11" s="9"/>
      <c r="X11" s="9"/>
    </row>
    <row r="12" spans="1:24" x14ac:dyDescent="0.35">
      <c r="A12" s="3">
        <v>7</v>
      </c>
      <c r="B12" s="3" t="s">
        <v>53</v>
      </c>
      <c r="C12" s="8">
        <v>43815.416666666701</v>
      </c>
      <c r="D12" s="8">
        <v>43822.416666666701</v>
      </c>
      <c r="E12" s="12" t="s">
        <v>56</v>
      </c>
      <c r="F12" s="12" t="s">
        <v>57</v>
      </c>
      <c r="G12" s="9">
        <v>672</v>
      </c>
      <c r="H12" s="9">
        <v>1970.5</v>
      </c>
      <c r="I12" s="9">
        <v>0</v>
      </c>
      <c r="J12" s="9">
        <v>0</v>
      </c>
      <c r="K12" s="9">
        <v>2642.5</v>
      </c>
      <c r="L12" s="7">
        <v>43815.541666666701</v>
      </c>
      <c r="M12" s="3" t="s">
        <v>193</v>
      </c>
      <c r="N12" s="9">
        <v>2866.5</v>
      </c>
      <c r="O12" s="9">
        <v>0</v>
      </c>
      <c r="P12" s="12" t="s">
        <v>24</v>
      </c>
      <c r="Q12" s="9">
        <v>0</v>
      </c>
      <c r="R12" s="11">
        <v>0</v>
      </c>
      <c r="S12" s="10">
        <v>2866.5</v>
      </c>
      <c r="T12" s="9">
        <v>0</v>
      </c>
      <c r="U12" s="14">
        <v>1</v>
      </c>
      <c r="V12" s="12" t="s">
        <v>166</v>
      </c>
      <c r="W12" s="9"/>
      <c r="X12" s="9"/>
    </row>
    <row r="13" spans="1:24" ht="22" x14ac:dyDescent="0.35">
      <c r="A13" s="3">
        <v>8</v>
      </c>
      <c r="B13" s="3" t="s">
        <v>58</v>
      </c>
      <c r="C13" s="8">
        <v>43831.583333333299</v>
      </c>
      <c r="D13" s="8">
        <v>43832.583333333299</v>
      </c>
      <c r="E13" s="12" t="s">
        <v>61</v>
      </c>
      <c r="F13" s="12" t="s">
        <v>57</v>
      </c>
      <c r="G13" s="9">
        <v>112</v>
      </c>
      <c r="H13" s="9">
        <v>602.5</v>
      </c>
      <c r="I13" s="9">
        <v>0</v>
      </c>
      <c r="J13" s="9">
        <v>0</v>
      </c>
      <c r="K13" s="9">
        <v>714.5</v>
      </c>
      <c r="L13" s="7">
        <v>43824.666666666701</v>
      </c>
      <c r="M13" s="3" t="s">
        <v>178</v>
      </c>
      <c r="N13" s="9">
        <v>730.5</v>
      </c>
      <c r="O13" s="9">
        <v>0</v>
      </c>
      <c r="P13" s="12" t="s">
        <v>24</v>
      </c>
      <c r="Q13" s="9">
        <v>0</v>
      </c>
      <c r="R13" s="11">
        <v>0</v>
      </c>
      <c r="S13" s="10">
        <v>730.5</v>
      </c>
      <c r="T13" s="9">
        <v>0</v>
      </c>
      <c r="U13" s="14">
        <v>1</v>
      </c>
      <c r="V13" s="12" t="s">
        <v>166</v>
      </c>
      <c r="W13" s="9"/>
      <c r="X13" s="9"/>
    </row>
    <row r="14" spans="1:24" x14ac:dyDescent="0.35">
      <c r="A14" s="3">
        <v>9</v>
      </c>
      <c r="B14" s="3" t="s">
        <v>62</v>
      </c>
      <c r="C14" s="8">
        <v>43829.583333333299</v>
      </c>
      <c r="D14" s="8">
        <v>43830.583333333299</v>
      </c>
      <c r="E14" s="12" t="s">
        <v>61</v>
      </c>
      <c r="F14" s="12" t="s">
        <v>57</v>
      </c>
      <c r="G14" s="9">
        <v>112</v>
      </c>
      <c r="H14" s="9">
        <v>602.5</v>
      </c>
      <c r="I14" s="9">
        <v>0</v>
      </c>
      <c r="J14" s="9">
        <v>0</v>
      </c>
      <c r="K14" s="9">
        <v>714.5</v>
      </c>
      <c r="L14" s="7">
        <v>43827.458333333299</v>
      </c>
      <c r="M14" s="3" t="s">
        <v>61</v>
      </c>
      <c r="N14" s="9">
        <v>714.5</v>
      </c>
      <c r="O14" s="9">
        <v>0</v>
      </c>
      <c r="P14" s="12" t="s">
        <v>24</v>
      </c>
      <c r="Q14" s="9">
        <v>0</v>
      </c>
      <c r="R14" s="11">
        <v>0</v>
      </c>
      <c r="S14" s="10">
        <v>714.5</v>
      </c>
      <c r="T14" s="9">
        <v>0</v>
      </c>
      <c r="U14" s="14">
        <v>1</v>
      </c>
      <c r="V14" s="12" t="s">
        <v>166</v>
      </c>
      <c r="W14" s="9"/>
      <c r="X14" s="9"/>
    </row>
    <row r="15" spans="1:24" ht="22" x14ac:dyDescent="0.35">
      <c r="A15" s="3">
        <v>10</v>
      </c>
      <c r="B15" s="3" t="s">
        <v>64</v>
      </c>
      <c r="C15" s="8">
        <v>43829.375</v>
      </c>
      <c r="D15" s="8">
        <v>43829.708333333299</v>
      </c>
      <c r="E15" s="12" t="s">
        <v>61</v>
      </c>
      <c r="F15" s="12" t="s">
        <v>67</v>
      </c>
      <c r="G15" s="9">
        <v>56</v>
      </c>
      <c r="H15" s="9">
        <v>602.5</v>
      </c>
      <c r="I15" s="9">
        <v>0</v>
      </c>
      <c r="J15" s="9">
        <v>0</v>
      </c>
      <c r="K15" s="9">
        <v>658.5</v>
      </c>
      <c r="L15" s="7">
        <v>43824.666666666701</v>
      </c>
      <c r="M15" s="3" t="s">
        <v>61</v>
      </c>
      <c r="N15" s="9">
        <v>658.5</v>
      </c>
      <c r="O15" s="9">
        <v>0</v>
      </c>
      <c r="P15" s="12" t="s">
        <v>24</v>
      </c>
      <c r="Q15" s="9">
        <v>0</v>
      </c>
      <c r="R15" s="11">
        <v>0</v>
      </c>
      <c r="S15" s="10">
        <v>658.5</v>
      </c>
      <c r="T15" s="9">
        <v>0</v>
      </c>
      <c r="U15" s="14">
        <v>1</v>
      </c>
      <c r="V15" s="12" t="s">
        <v>166</v>
      </c>
      <c r="W15" s="9"/>
      <c r="X15" s="9"/>
    </row>
    <row r="16" spans="1:24" x14ac:dyDescent="0.35">
      <c r="A16" s="3">
        <v>11</v>
      </c>
      <c r="B16" s="3" t="s">
        <v>68</v>
      </c>
      <c r="C16" s="8">
        <v>43813.416666666701</v>
      </c>
      <c r="D16" s="8">
        <v>43815.416666666701</v>
      </c>
      <c r="E16" s="12" t="s">
        <v>61</v>
      </c>
      <c r="F16" s="12" t="s">
        <v>67</v>
      </c>
      <c r="G16" s="9">
        <v>56</v>
      </c>
      <c r="H16" s="9">
        <v>602.5</v>
      </c>
      <c r="I16" s="9">
        <v>0</v>
      </c>
      <c r="J16" s="9">
        <v>0</v>
      </c>
      <c r="K16" s="9">
        <v>658.5</v>
      </c>
      <c r="L16" s="7">
        <v>43825.666666666701</v>
      </c>
      <c r="M16" s="3" t="s">
        <v>182</v>
      </c>
      <c r="N16" s="9">
        <v>674.5</v>
      </c>
      <c r="O16" s="9">
        <v>0</v>
      </c>
      <c r="P16" s="12" t="s">
        <v>24</v>
      </c>
      <c r="Q16" s="9">
        <v>0</v>
      </c>
      <c r="R16" s="11">
        <v>0</v>
      </c>
      <c r="S16" s="10">
        <v>674.5</v>
      </c>
      <c r="T16" s="9">
        <v>0</v>
      </c>
      <c r="U16" s="14">
        <v>1</v>
      </c>
      <c r="V16" s="12" t="s">
        <v>166</v>
      </c>
      <c r="W16" s="9"/>
      <c r="X16" s="9"/>
    </row>
    <row r="17" spans="1:24" ht="22" x14ac:dyDescent="0.35">
      <c r="A17" s="3">
        <v>13</v>
      </c>
      <c r="B17" s="3" t="s">
        <v>70</v>
      </c>
      <c r="C17" s="8">
        <v>43823.416666666701</v>
      </c>
      <c r="D17" s="8">
        <v>43823.583333333299</v>
      </c>
      <c r="E17" s="12" t="s">
        <v>29</v>
      </c>
      <c r="F17" s="12" t="s">
        <v>67</v>
      </c>
      <c r="G17" s="9">
        <v>24</v>
      </c>
      <c r="H17" s="9">
        <v>602.5</v>
      </c>
      <c r="I17" s="9">
        <v>0</v>
      </c>
      <c r="J17" s="9">
        <v>0</v>
      </c>
      <c r="K17" s="9">
        <v>626.5</v>
      </c>
      <c r="L17" s="7">
        <v>43811.458333333299</v>
      </c>
      <c r="M17" s="3" t="s">
        <v>29</v>
      </c>
      <c r="N17" s="9">
        <v>626.5</v>
      </c>
      <c r="O17" s="9">
        <v>0</v>
      </c>
      <c r="P17" s="12" t="s">
        <v>24</v>
      </c>
      <c r="Q17" s="9">
        <v>0</v>
      </c>
      <c r="R17" s="11">
        <v>0</v>
      </c>
      <c r="S17" s="10">
        <v>626.5</v>
      </c>
      <c r="T17" s="9">
        <v>0</v>
      </c>
      <c r="U17" s="14">
        <v>1</v>
      </c>
      <c r="V17" s="12" t="s">
        <v>166</v>
      </c>
      <c r="W17" s="9"/>
      <c r="X17" s="9"/>
    </row>
    <row r="18" spans="1:24" x14ac:dyDescent="0.35">
      <c r="A18" s="3">
        <v>14</v>
      </c>
      <c r="B18" s="3" t="s">
        <v>74</v>
      </c>
      <c r="C18" s="8">
        <v>43836.583333333299</v>
      </c>
      <c r="D18" s="8">
        <v>43838.583333333299</v>
      </c>
      <c r="E18" s="12" t="s">
        <v>51</v>
      </c>
      <c r="F18" s="12" t="s">
        <v>77</v>
      </c>
      <c r="G18" s="9">
        <v>672</v>
      </c>
      <c r="H18" s="9">
        <v>602.5</v>
      </c>
      <c r="I18" s="9">
        <v>0</v>
      </c>
      <c r="J18" s="9">
        <v>0</v>
      </c>
      <c r="K18" s="9">
        <v>1274.5</v>
      </c>
      <c r="L18" s="7">
        <v>43830.458333333299</v>
      </c>
      <c r="M18" s="3" t="s">
        <v>41</v>
      </c>
      <c r="N18" s="9">
        <v>1370.5</v>
      </c>
      <c r="O18" s="9">
        <v>0</v>
      </c>
      <c r="P18" s="12" t="s">
        <v>24</v>
      </c>
      <c r="Q18" s="9">
        <v>0</v>
      </c>
      <c r="R18" s="11">
        <v>0</v>
      </c>
      <c r="S18" s="10">
        <v>1370.5</v>
      </c>
      <c r="T18" s="9">
        <v>0</v>
      </c>
      <c r="U18" s="14">
        <v>1</v>
      </c>
      <c r="V18" s="12" t="s">
        <v>166</v>
      </c>
      <c r="W18" s="9"/>
      <c r="X18" s="9"/>
    </row>
    <row r="19" spans="1:24" x14ac:dyDescent="0.35">
      <c r="A19" s="3">
        <v>15</v>
      </c>
      <c r="B19" s="3" t="s">
        <v>78</v>
      </c>
      <c r="C19" s="8">
        <v>43829.583333333299</v>
      </c>
      <c r="D19" s="8">
        <v>43830.583333333299</v>
      </c>
      <c r="E19" s="12" t="s">
        <v>61</v>
      </c>
      <c r="F19" s="12" t="s">
        <v>57</v>
      </c>
      <c r="G19" s="9">
        <v>112</v>
      </c>
      <c r="H19" s="9">
        <v>602.5</v>
      </c>
      <c r="I19" s="9">
        <v>0</v>
      </c>
      <c r="J19" s="9">
        <v>0</v>
      </c>
      <c r="K19" s="9">
        <v>714.5</v>
      </c>
      <c r="L19" s="7">
        <v>43824.666666666701</v>
      </c>
      <c r="M19" s="3" t="s">
        <v>182</v>
      </c>
      <c r="N19" s="9">
        <v>746.5</v>
      </c>
      <c r="O19" s="9">
        <v>0</v>
      </c>
      <c r="P19" s="12" t="s">
        <v>24</v>
      </c>
      <c r="Q19" s="9">
        <v>0</v>
      </c>
      <c r="R19" s="11">
        <v>0</v>
      </c>
      <c r="S19" s="10">
        <v>746.5</v>
      </c>
      <c r="T19" s="9">
        <v>0</v>
      </c>
      <c r="U19" s="14">
        <v>1</v>
      </c>
      <c r="V19" s="12" t="s">
        <v>166</v>
      </c>
      <c r="W19" s="9"/>
      <c r="X19" s="9"/>
    </row>
    <row r="20" spans="1:24" x14ac:dyDescent="0.35">
      <c r="A20" s="3">
        <v>16</v>
      </c>
      <c r="B20" s="3" t="s">
        <v>80</v>
      </c>
      <c r="C20" s="8">
        <v>43827.416666666701</v>
      </c>
      <c r="D20" s="8">
        <v>43827.583333333299</v>
      </c>
      <c r="E20" s="12" t="s">
        <v>29</v>
      </c>
      <c r="F20" s="12" t="s">
        <v>57</v>
      </c>
      <c r="G20" s="9">
        <v>48</v>
      </c>
      <c r="H20" s="9">
        <v>602.5</v>
      </c>
      <c r="I20" s="9">
        <v>0</v>
      </c>
      <c r="J20" s="9">
        <v>0</v>
      </c>
      <c r="K20" s="9">
        <v>650.5</v>
      </c>
      <c r="L20" s="7">
        <v>43813.666666666701</v>
      </c>
      <c r="M20" s="3" t="s">
        <v>167</v>
      </c>
      <c r="N20" s="9">
        <v>666.5</v>
      </c>
      <c r="O20" s="9">
        <v>0</v>
      </c>
      <c r="P20" s="12" t="s">
        <v>24</v>
      </c>
      <c r="Q20" s="9">
        <v>0</v>
      </c>
      <c r="R20" s="11">
        <v>0</v>
      </c>
      <c r="S20" s="10">
        <v>666.5</v>
      </c>
      <c r="T20" s="9">
        <v>0</v>
      </c>
      <c r="U20" s="14">
        <v>1</v>
      </c>
      <c r="V20" s="12" t="s">
        <v>166</v>
      </c>
      <c r="W20" s="9"/>
      <c r="X20" s="9"/>
    </row>
    <row r="21" spans="1:24" x14ac:dyDescent="0.35">
      <c r="A21" s="3">
        <v>17</v>
      </c>
      <c r="B21" s="3" t="s">
        <v>82</v>
      </c>
      <c r="C21" s="8">
        <v>43822.416666666701</v>
      </c>
      <c r="D21" s="8">
        <v>43823.416666666701</v>
      </c>
      <c r="E21" s="12" t="s">
        <v>61</v>
      </c>
      <c r="F21" s="12" t="s">
        <v>85</v>
      </c>
      <c r="G21" s="9">
        <v>140</v>
      </c>
      <c r="H21" s="9">
        <v>3302.5</v>
      </c>
      <c r="I21" s="9">
        <v>0</v>
      </c>
      <c r="J21" s="9">
        <v>0</v>
      </c>
      <c r="K21" s="9">
        <v>3442.5</v>
      </c>
      <c r="L21" s="7">
        <v>43810.625</v>
      </c>
      <c r="M21" s="3" t="s">
        <v>167</v>
      </c>
      <c r="N21" s="9">
        <v>3382.5</v>
      </c>
      <c r="O21" s="9">
        <v>0</v>
      </c>
      <c r="P21" s="12" t="s">
        <v>24</v>
      </c>
      <c r="Q21" s="9">
        <v>0</v>
      </c>
      <c r="R21" s="11">
        <v>0</v>
      </c>
      <c r="S21" s="10">
        <v>3382.5</v>
      </c>
      <c r="T21" s="9">
        <v>0</v>
      </c>
      <c r="U21" s="14">
        <v>1</v>
      </c>
      <c r="V21" s="12" t="s">
        <v>166</v>
      </c>
      <c r="W21" s="9"/>
      <c r="X21" s="9"/>
    </row>
    <row r="22" spans="1:24" x14ac:dyDescent="0.35">
      <c r="A22" s="3">
        <v>18</v>
      </c>
      <c r="B22" s="3" t="s">
        <v>86</v>
      </c>
      <c r="C22" s="8">
        <v>43832.583333333299</v>
      </c>
      <c r="D22" s="8">
        <v>43833.583333333299</v>
      </c>
      <c r="E22" s="12" t="s">
        <v>61</v>
      </c>
      <c r="F22" s="12" t="s">
        <v>57</v>
      </c>
      <c r="G22" s="9">
        <v>112</v>
      </c>
      <c r="H22" s="9">
        <v>602.5</v>
      </c>
      <c r="I22" s="9">
        <v>0</v>
      </c>
      <c r="J22" s="9">
        <v>0</v>
      </c>
      <c r="K22" s="9">
        <v>714.5</v>
      </c>
      <c r="L22" s="7">
        <v>43824.666666666701</v>
      </c>
      <c r="M22" s="3" t="s">
        <v>182</v>
      </c>
      <c r="N22" s="9">
        <v>746.5</v>
      </c>
      <c r="O22" s="9">
        <v>0</v>
      </c>
      <c r="P22" s="12" t="s">
        <v>24</v>
      </c>
      <c r="Q22" s="9">
        <v>0</v>
      </c>
      <c r="R22" s="11">
        <v>0</v>
      </c>
      <c r="S22" s="10">
        <v>746.5</v>
      </c>
      <c r="T22" s="9">
        <v>0</v>
      </c>
      <c r="U22" s="14">
        <v>1</v>
      </c>
      <c r="V22" s="12" t="s">
        <v>166</v>
      </c>
      <c r="W22" s="9"/>
      <c r="X22" s="9"/>
    </row>
    <row r="23" spans="1:24" ht="22" x14ac:dyDescent="0.35">
      <c r="A23" s="3">
        <v>19</v>
      </c>
      <c r="B23" s="3" t="s">
        <v>88</v>
      </c>
      <c r="C23" s="8">
        <v>43833.583333333299</v>
      </c>
      <c r="D23" s="8">
        <v>43836.583333333299</v>
      </c>
      <c r="E23" s="12" t="s">
        <v>51</v>
      </c>
      <c r="F23" s="12" t="s">
        <v>77</v>
      </c>
      <c r="G23" s="9">
        <v>672</v>
      </c>
      <c r="H23" s="9">
        <v>2252.5</v>
      </c>
      <c r="I23" s="9">
        <v>0</v>
      </c>
      <c r="J23" s="9">
        <v>0</v>
      </c>
      <c r="K23" s="9">
        <v>2924.5</v>
      </c>
      <c r="L23" s="7">
        <v>43826.416666666701</v>
      </c>
      <c r="M23" s="3" t="s">
        <v>178</v>
      </c>
      <c r="N23" s="9">
        <v>2636.5</v>
      </c>
      <c r="O23" s="9">
        <v>0</v>
      </c>
      <c r="P23" s="12" t="s">
        <v>24</v>
      </c>
      <c r="Q23" s="9">
        <v>0</v>
      </c>
      <c r="R23" s="11">
        <v>0</v>
      </c>
      <c r="S23" s="10">
        <v>2636.5</v>
      </c>
      <c r="T23" s="9">
        <v>0</v>
      </c>
      <c r="U23" s="14">
        <v>1</v>
      </c>
      <c r="V23" s="12" t="s">
        <v>166</v>
      </c>
      <c r="W23" s="9"/>
      <c r="X23" s="9"/>
    </row>
    <row r="24" spans="1:24" x14ac:dyDescent="0.35">
      <c r="A24" s="3">
        <v>20</v>
      </c>
      <c r="B24" s="3" t="s">
        <v>91</v>
      </c>
      <c r="C24" s="8">
        <v>43824.416666666701</v>
      </c>
      <c r="D24" s="8">
        <v>43825.416666666701</v>
      </c>
      <c r="E24" s="12" t="s">
        <v>61</v>
      </c>
      <c r="F24" s="12" t="s">
        <v>67</v>
      </c>
      <c r="G24" s="9">
        <v>56</v>
      </c>
      <c r="H24" s="9">
        <v>28602.5</v>
      </c>
      <c r="I24" s="9">
        <v>0</v>
      </c>
      <c r="J24" s="9">
        <v>0</v>
      </c>
      <c r="K24" s="9">
        <v>28658.5</v>
      </c>
      <c r="L24" s="7">
        <v>43811.458333333299</v>
      </c>
      <c r="M24" s="3" t="s">
        <v>174</v>
      </c>
      <c r="N24" s="9">
        <v>28642.5</v>
      </c>
      <c r="O24" s="9">
        <v>0</v>
      </c>
      <c r="P24" s="12" t="s">
        <v>24</v>
      </c>
      <c r="Q24" s="9">
        <v>0</v>
      </c>
      <c r="R24" s="11">
        <v>0</v>
      </c>
      <c r="S24" s="10">
        <v>28642.5</v>
      </c>
      <c r="T24" s="9">
        <v>0</v>
      </c>
      <c r="U24" s="14">
        <v>1</v>
      </c>
      <c r="V24" s="12" t="s">
        <v>166</v>
      </c>
      <c r="W24" s="9"/>
      <c r="X24" s="9"/>
    </row>
    <row r="25" spans="1:24" ht="22" x14ac:dyDescent="0.35">
      <c r="A25" s="3">
        <v>21</v>
      </c>
      <c r="B25" s="3" t="s">
        <v>95</v>
      </c>
      <c r="C25" s="8">
        <v>43830.583333333299</v>
      </c>
      <c r="D25" s="8">
        <v>43831.583333333299</v>
      </c>
      <c r="E25" s="12" t="s">
        <v>61</v>
      </c>
      <c r="F25" s="12" t="s">
        <v>36</v>
      </c>
      <c r="G25" s="9">
        <v>168</v>
      </c>
      <c r="H25" s="9">
        <v>3677.5</v>
      </c>
      <c r="I25" s="9">
        <v>0</v>
      </c>
      <c r="J25" s="9">
        <v>0</v>
      </c>
      <c r="K25" s="9">
        <v>3845.5</v>
      </c>
      <c r="L25" s="7">
        <v>43827.458333333299</v>
      </c>
      <c r="M25" s="3" t="s">
        <v>124</v>
      </c>
      <c r="N25" s="9">
        <v>3821.5</v>
      </c>
      <c r="O25" s="9">
        <v>0</v>
      </c>
      <c r="P25" s="12" t="s">
        <v>24</v>
      </c>
      <c r="Q25" s="9">
        <v>0</v>
      </c>
      <c r="R25" s="11">
        <v>0</v>
      </c>
      <c r="S25" s="10">
        <v>3821.5</v>
      </c>
      <c r="T25" s="9">
        <v>0</v>
      </c>
      <c r="U25" s="14">
        <v>1</v>
      </c>
      <c r="V25" s="12" t="s">
        <v>166</v>
      </c>
      <c r="W25" s="9"/>
      <c r="X25" s="9"/>
    </row>
    <row r="26" spans="1:24" x14ac:dyDescent="0.35">
      <c r="A26" s="3">
        <v>22</v>
      </c>
      <c r="B26" s="3" t="s">
        <v>98</v>
      </c>
      <c r="C26" s="8">
        <v>43825.416666666701</v>
      </c>
      <c r="D26" s="8">
        <v>43826.416666666701</v>
      </c>
      <c r="E26" s="12" t="s">
        <v>61</v>
      </c>
      <c r="F26" s="12" t="s">
        <v>67</v>
      </c>
      <c r="G26" s="9">
        <v>56</v>
      </c>
      <c r="H26" s="9">
        <v>602.5</v>
      </c>
      <c r="I26" s="9">
        <v>0</v>
      </c>
      <c r="J26" s="9">
        <v>0</v>
      </c>
      <c r="K26" s="9">
        <v>658.5</v>
      </c>
      <c r="L26" s="7">
        <v>43812.375</v>
      </c>
      <c r="M26" s="3" t="s">
        <v>124</v>
      </c>
      <c r="N26" s="9">
        <v>650.5</v>
      </c>
      <c r="O26" s="9">
        <v>0</v>
      </c>
      <c r="P26" s="12" t="s">
        <v>24</v>
      </c>
      <c r="Q26" s="9">
        <v>0</v>
      </c>
      <c r="R26" s="11">
        <v>0</v>
      </c>
      <c r="S26" s="10">
        <v>650.5</v>
      </c>
      <c r="T26" s="9">
        <v>0</v>
      </c>
      <c r="U26" s="14">
        <v>1</v>
      </c>
      <c r="V26" s="12" t="s">
        <v>166</v>
      </c>
      <c r="W26" s="9"/>
      <c r="X26" s="9"/>
    </row>
    <row r="27" spans="1:24" x14ac:dyDescent="0.35">
      <c r="A27" s="3">
        <v>23</v>
      </c>
      <c r="B27" s="3" t="s">
        <v>101</v>
      </c>
      <c r="C27" s="8">
        <v>43832.583333333299</v>
      </c>
      <c r="D27" s="8">
        <v>43833.583333333299</v>
      </c>
      <c r="E27" s="12" t="s">
        <v>61</v>
      </c>
      <c r="F27" s="12" t="s">
        <v>52</v>
      </c>
      <c r="G27" s="9">
        <v>224</v>
      </c>
      <c r="H27" s="9">
        <v>43602.5</v>
      </c>
      <c r="I27" s="9">
        <v>0</v>
      </c>
      <c r="J27" s="9">
        <v>0</v>
      </c>
      <c r="K27" s="9">
        <v>43826.5</v>
      </c>
      <c r="L27" s="7">
        <v>43829.416666666701</v>
      </c>
      <c r="M27" s="3" t="s">
        <v>178</v>
      </c>
      <c r="N27" s="9">
        <v>43858.5</v>
      </c>
      <c r="O27" s="9">
        <v>0</v>
      </c>
      <c r="P27" s="12" t="s">
        <v>24</v>
      </c>
      <c r="Q27" s="9">
        <v>0</v>
      </c>
      <c r="R27" s="11">
        <v>0</v>
      </c>
      <c r="S27" s="10">
        <v>43858.5</v>
      </c>
      <c r="T27" s="9">
        <v>0</v>
      </c>
      <c r="U27" s="14">
        <v>1</v>
      </c>
      <c r="V27" s="12" t="s">
        <v>166</v>
      </c>
      <c r="W27" s="9"/>
      <c r="X27" s="9"/>
    </row>
    <row r="28" spans="1:24" x14ac:dyDescent="0.35">
      <c r="A28" s="3">
        <v>24</v>
      </c>
      <c r="B28" s="3" t="s">
        <v>103</v>
      </c>
      <c r="C28" s="8">
        <v>43826.416666666701</v>
      </c>
      <c r="D28" s="8">
        <v>43827.416666666701</v>
      </c>
      <c r="E28" s="12" t="s">
        <v>61</v>
      </c>
      <c r="F28" s="12" t="s">
        <v>67</v>
      </c>
      <c r="G28" s="9">
        <v>56</v>
      </c>
      <c r="H28" s="9">
        <v>1577.5</v>
      </c>
      <c r="I28" s="9">
        <v>0</v>
      </c>
      <c r="J28" s="9">
        <v>0</v>
      </c>
      <c r="K28" s="9">
        <v>1633.5</v>
      </c>
      <c r="L28" s="7">
        <v>43812.666666666701</v>
      </c>
      <c r="M28" s="3" t="s">
        <v>61</v>
      </c>
      <c r="N28" s="9">
        <v>1633.5</v>
      </c>
      <c r="O28" s="9">
        <v>0</v>
      </c>
      <c r="P28" s="12" t="s">
        <v>24</v>
      </c>
      <c r="Q28" s="9">
        <v>0</v>
      </c>
      <c r="R28" s="11">
        <v>0</v>
      </c>
      <c r="S28" s="10">
        <v>1633.5</v>
      </c>
      <c r="T28" s="9">
        <v>0</v>
      </c>
      <c r="U28" s="14">
        <v>1</v>
      </c>
      <c r="V28" s="12" t="s">
        <v>166</v>
      </c>
      <c r="W28" s="9"/>
      <c r="X28" s="9"/>
    </row>
    <row r="29" spans="1:24" x14ac:dyDescent="0.35">
      <c r="A29" s="3">
        <v>25</v>
      </c>
      <c r="B29" s="3" t="s">
        <v>106</v>
      </c>
      <c r="C29" s="8">
        <v>43813.416666666701</v>
      </c>
      <c r="D29" s="8">
        <v>43815.416666666701</v>
      </c>
      <c r="E29" s="12" t="s">
        <v>61</v>
      </c>
      <c r="F29" s="12" t="s">
        <v>67</v>
      </c>
      <c r="G29" s="9">
        <v>56</v>
      </c>
      <c r="H29" s="9">
        <v>2524.5</v>
      </c>
      <c r="I29" s="9">
        <v>0</v>
      </c>
      <c r="J29" s="9">
        <v>0</v>
      </c>
      <c r="K29" s="9">
        <v>2580.5</v>
      </c>
      <c r="L29" s="7">
        <v>43812.541666666701</v>
      </c>
      <c r="M29" s="3" t="s">
        <v>61</v>
      </c>
      <c r="N29" s="9">
        <v>2580.5</v>
      </c>
      <c r="O29" s="9">
        <v>0</v>
      </c>
      <c r="P29" s="12" t="s">
        <v>24</v>
      </c>
      <c r="Q29" s="9">
        <v>0</v>
      </c>
      <c r="R29" s="11">
        <v>0</v>
      </c>
      <c r="S29" s="10">
        <v>2580.5</v>
      </c>
      <c r="T29" s="9">
        <v>0</v>
      </c>
      <c r="U29" s="14">
        <v>1</v>
      </c>
      <c r="V29" s="12" t="s">
        <v>166</v>
      </c>
      <c r="W29" s="9"/>
      <c r="X29" s="9"/>
    </row>
    <row r="30" spans="1:24" x14ac:dyDescent="0.35">
      <c r="A30" s="3">
        <v>26</v>
      </c>
      <c r="B30" s="3" t="s">
        <v>108</v>
      </c>
      <c r="C30" s="8">
        <v>43829.583333333299</v>
      </c>
      <c r="D30" s="8">
        <v>43830.583333333299</v>
      </c>
      <c r="E30" s="12" t="s">
        <v>61</v>
      </c>
      <c r="F30" s="12" t="s">
        <v>57</v>
      </c>
      <c r="G30" s="9">
        <v>112</v>
      </c>
      <c r="H30" s="9">
        <v>3442.30004882813</v>
      </c>
      <c r="I30" s="9">
        <v>0</v>
      </c>
      <c r="J30" s="9">
        <v>0</v>
      </c>
      <c r="K30" s="9">
        <v>3554.30004882813</v>
      </c>
      <c r="L30" s="7">
        <v>43827.458333333299</v>
      </c>
      <c r="M30" s="3" t="s">
        <v>124</v>
      </c>
      <c r="N30" s="9">
        <v>3538.30004882813</v>
      </c>
      <c r="O30" s="9">
        <v>0</v>
      </c>
      <c r="P30" s="12" t="s">
        <v>24</v>
      </c>
      <c r="Q30" s="9">
        <v>0</v>
      </c>
      <c r="R30" s="11">
        <v>0</v>
      </c>
      <c r="S30" s="10">
        <v>3538.30004882813</v>
      </c>
      <c r="T30" s="9">
        <v>0</v>
      </c>
      <c r="U30" s="14">
        <v>1</v>
      </c>
      <c r="V30" s="12" t="s">
        <v>166</v>
      </c>
      <c r="W30" s="9"/>
      <c r="X30" s="9"/>
    </row>
    <row r="31" spans="1:24" x14ac:dyDescent="0.35">
      <c r="A31" s="3">
        <v>27</v>
      </c>
      <c r="B31" s="3" t="s">
        <v>110</v>
      </c>
      <c r="C31" s="8">
        <v>43823.416666666701</v>
      </c>
      <c r="D31" s="8">
        <v>43824.416666666701</v>
      </c>
      <c r="E31" s="12" t="s">
        <v>61</v>
      </c>
      <c r="F31" s="12" t="s">
        <v>67</v>
      </c>
      <c r="G31" s="9">
        <v>56</v>
      </c>
      <c r="H31" s="9">
        <v>2972.5</v>
      </c>
      <c r="I31" s="9">
        <v>0</v>
      </c>
      <c r="J31" s="9">
        <v>0</v>
      </c>
      <c r="K31" s="9">
        <v>3028.5</v>
      </c>
      <c r="L31" s="7">
        <v>43810.625</v>
      </c>
      <c r="M31" s="3" t="s">
        <v>167</v>
      </c>
      <c r="N31" s="9">
        <v>3004.5</v>
      </c>
      <c r="O31" s="9">
        <v>0</v>
      </c>
      <c r="P31" s="12" t="s">
        <v>24</v>
      </c>
      <c r="Q31" s="9">
        <v>0</v>
      </c>
      <c r="R31" s="11">
        <v>0</v>
      </c>
      <c r="S31" s="10">
        <v>3004.5</v>
      </c>
      <c r="T31" s="9">
        <v>0</v>
      </c>
      <c r="U31" s="14">
        <v>1</v>
      </c>
      <c r="V31" s="12" t="s">
        <v>166</v>
      </c>
      <c r="W31" s="9"/>
      <c r="X31" s="9"/>
    </row>
    <row r="32" spans="1:24" x14ac:dyDescent="0.35">
      <c r="A32" s="3">
        <v>28</v>
      </c>
      <c r="B32" s="3" t="s">
        <v>113</v>
      </c>
      <c r="C32" s="8">
        <v>43832.583333333299</v>
      </c>
      <c r="D32" s="8">
        <v>43833.583333333299</v>
      </c>
      <c r="E32" s="12" t="s">
        <v>61</v>
      </c>
      <c r="F32" s="12" t="s">
        <v>67</v>
      </c>
      <c r="G32" s="9">
        <v>56</v>
      </c>
      <c r="H32" s="9">
        <v>1586.5</v>
      </c>
      <c r="I32" s="9">
        <v>0</v>
      </c>
      <c r="J32" s="9">
        <v>0</v>
      </c>
      <c r="K32" s="9">
        <v>1642.5</v>
      </c>
      <c r="L32" s="7">
        <v>43810.625</v>
      </c>
      <c r="M32" s="3" t="s">
        <v>185</v>
      </c>
      <c r="N32" s="9">
        <v>1666.5</v>
      </c>
      <c r="O32" s="9">
        <v>0</v>
      </c>
      <c r="P32" s="12" t="s">
        <v>24</v>
      </c>
      <c r="Q32" s="9">
        <v>0</v>
      </c>
      <c r="R32" s="11">
        <v>0</v>
      </c>
      <c r="S32" s="10">
        <v>1666.5</v>
      </c>
      <c r="T32" s="9">
        <v>0</v>
      </c>
      <c r="U32" s="14">
        <v>1</v>
      </c>
      <c r="V32" s="12" t="s">
        <v>166</v>
      </c>
      <c r="W32" s="9"/>
      <c r="X32" s="9"/>
    </row>
    <row r="33" spans="1:24" ht="22" x14ac:dyDescent="0.35">
      <c r="A33" s="3">
        <v>29</v>
      </c>
      <c r="B33" s="3" t="s">
        <v>117</v>
      </c>
      <c r="C33" s="8">
        <v>43833.583333333299</v>
      </c>
      <c r="D33" s="8">
        <v>43833.708333333299</v>
      </c>
      <c r="E33" s="12" t="s">
        <v>29</v>
      </c>
      <c r="F33" s="12" t="s">
        <v>67</v>
      </c>
      <c r="G33" s="9">
        <v>24</v>
      </c>
      <c r="H33" s="9">
        <v>602.5</v>
      </c>
      <c r="I33" s="9">
        <v>0</v>
      </c>
      <c r="J33" s="9">
        <v>0</v>
      </c>
      <c r="K33" s="9">
        <v>626.5</v>
      </c>
      <c r="L33" s="7">
        <v>43812.416666666701</v>
      </c>
      <c r="M33" s="3" t="s">
        <v>177</v>
      </c>
      <c r="N33" s="9">
        <v>618.5</v>
      </c>
      <c r="O33" s="9">
        <v>0</v>
      </c>
      <c r="P33" s="12" t="s">
        <v>24</v>
      </c>
      <c r="Q33" s="9">
        <v>0</v>
      </c>
      <c r="R33" s="11">
        <v>0</v>
      </c>
      <c r="S33" s="10">
        <v>618.5</v>
      </c>
      <c r="T33" s="9">
        <v>0</v>
      </c>
      <c r="U33" s="14">
        <v>1</v>
      </c>
      <c r="V33" s="12" t="s">
        <v>166</v>
      </c>
      <c r="W33" s="9"/>
      <c r="X33" s="9"/>
    </row>
    <row r="34" spans="1:24" x14ac:dyDescent="0.35">
      <c r="A34" s="3">
        <v>30</v>
      </c>
      <c r="B34" s="3" t="s">
        <v>120</v>
      </c>
      <c r="C34" s="8">
        <v>43838.583333333299</v>
      </c>
      <c r="D34" s="8">
        <v>43839.5</v>
      </c>
      <c r="E34" s="12" t="s">
        <v>124</v>
      </c>
      <c r="F34" s="12" t="s">
        <v>67</v>
      </c>
      <c r="G34" s="9">
        <v>48</v>
      </c>
      <c r="H34" s="9">
        <v>602.5</v>
      </c>
      <c r="I34" s="9">
        <v>0</v>
      </c>
      <c r="J34" s="9">
        <v>0</v>
      </c>
      <c r="K34" s="9">
        <v>650.5</v>
      </c>
      <c r="L34" s="7">
        <v>43832.583333333299</v>
      </c>
      <c r="M34" s="3" t="s">
        <v>29</v>
      </c>
      <c r="N34" s="9">
        <v>626.5</v>
      </c>
      <c r="O34" s="9">
        <v>32</v>
      </c>
      <c r="P34" s="12" t="s">
        <v>167</v>
      </c>
      <c r="Q34" s="9">
        <v>0</v>
      </c>
      <c r="R34" s="11">
        <v>0</v>
      </c>
      <c r="S34" s="10">
        <v>626.5</v>
      </c>
      <c r="T34" s="9">
        <v>32</v>
      </c>
      <c r="U34" s="14">
        <v>0.42857143282890298</v>
      </c>
      <c r="V34" s="12" t="s">
        <v>169</v>
      </c>
      <c r="W34" s="9"/>
      <c r="X34" s="9"/>
    </row>
    <row r="35" spans="1:24" x14ac:dyDescent="0.35">
      <c r="A35" s="3">
        <v>31</v>
      </c>
      <c r="B35" s="3" t="s">
        <v>125</v>
      </c>
      <c r="C35" s="8">
        <v>43839.5</v>
      </c>
      <c r="D35" s="8">
        <v>43839.5</v>
      </c>
      <c r="E35" s="12" t="s">
        <v>24</v>
      </c>
      <c r="F35" s="12"/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3"/>
      <c r="M35" s="3" t="s">
        <v>24</v>
      </c>
      <c r="N35" s="9">
        <v>0</v>
      </c>
      <c r="O35" s="9">
        <v>0</v>
      </c>
      <c r="P35" s="12" t="s">
        <v>24</v>
      </c>
      <c r="Q35" s="9">
        <v>0</v>
      </c>
      <c r="R35" s="11">
        <v>0</v>
      </c>
      <c r="S35" s="10">
        <v>0</v>
      </c>
      <c r="T35" s="9">
        <v>0</v>
      </c>
      <c r="U35" s="14">
        <v>0</v>
      </c>
      <c r="V35" s="12" t="s">
        <v>170</v>
      </c>
      <c r="W35" s="9"/>
      <c r="X35" s="9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Blad27"/>
  <dimension ref="A1:X35"/>
  <sheetViews>
    <sheetView topLeftCell="C1" workbookViewId="0">
      <selection activeCell="W5" sqref="W5:X35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150</v>
      </c>
      <c r="C1" s="7">
        <v>43833.708333333299</v>
      </c>
      <c r="E1" s="1" t="s">
        <v>151</v>
      </c>
      <c r="F1" s="4" t="s">
        <v>239</v>
      </c>
    </row>
    <row r="3" spans="1:24" x14ac:dyDescent="0.35">
      <c r="A3" s="24" t="s">
        <v>0</v>
      </c>
      <c r="B3" s="24"/>
      <c r="C3" s="24" t="s">
        <v>2</v>
      </c>
      <c r="D3" s="24"/>
      <c r="E3" s="24"/>
      <c r="F3" s="24" t="s">
        <v>3</v>
      </c>
      <c r="G3" s="24"/>
      <c r="H3" s="24" t="s">
        <v>4</v>
      </c>
      <c r="I3" s="24"/>
      <c r="J3" s="24"/>
      <c r="K3" s="24"/>
      <c r="L3" s="24" t="s">
        <v>152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153</v>
      </c>
      <c r="M4" s="1" t="s">
        <v>154</v>
      </c>
      <c r="N4" s="1" t="s">
        <v>155</v>
      </c>
      <c r="O4" s="1" t="s">
        <v>156</v>
      </c>
      <c r="P4" s="1" t="s">
        <v>157</v>
      </c>
      <c r="Q4" s="1" t="s">
        <v>158</v>
      </c>
      <c r="R4" s="1" t="s">
        <v>159</v>
      </c>
      <c r="S4" s="1" t="s">
        <v>160</v>
      </c>
      <c r="T4" s="1" t="s">
        <v>161</v>
      </c>
      <c r="U4" s="1" t="s">
        <v>162</v>
      </c>
      <c r="V4" s="1" t="s">
        <v>152</v>
      </c>
      <c r="W4" s="1" t="s">
        <v>163</v>
      </c>
      <c r="X4" s="1" t="s">
        <v>164</v>
      </c>
    </row>
    <row r="5" spans="1:24" x14ac:dyDescent="0.35">
      <c r="A5" s="2">
        <v>0</v>
      </c>
      <c r="B5" s="3" t="s">
        <v>18</v>
      </c>
      <c r="C5" s="5">
        <v>43808.375</v>
      </c>
      <c r="D5" s="5">
        <v>43839.5</v>
      </c>
      <c r="E5" s="2" t="s">
        <v>20</v>
      </c>
      <c r="F5" s="2"/>
      <c r="G5" s="6"/>
      <c r="H5" s="6">
        <v>118411.30004882799</v>
      </c>
      <c r="I5" s="6"/>
      <c r="J5" s="6"/>
      <c r="K5" s="6">
        <v>126955.30004882799</v>
      </c>
      <c r="L5" s="2"/>
      <c r="M5" s="2" t="s">
        <v>240</v>
      </c>
      <c r="N5" s="6"/>
      <c r="O5" s="6"/>
      <c r="P5" s="2"/>
      <c r="Q5" s="6"/>
      <c r="R5" s="6"/>
      <c r="S5" s="6">
        <v>126351.30004882799</v>
      </c>
      <c r="T5" s="6"/>
      <c r="U5" s="13">
        <v>1</v>
      </c>
      <c r="V5" s="2"/>
      <c r="W5" s="6"/>
      <c r="X5" s="6"/>
    </row>
    <row r="6" spans="1:24" x14ac:dyDescent="0.35">
      <c r="A6" s="3">
        <v>1</v>
      </c>
      <c r="B6" s="3" t="s">
        <v>21</v>
      </c>
      <c r="C6" s="8">
        <v>43808.375</v>
      </c>
      <c r="D6" s="8">
        <v>43806.708333333299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43808.375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166</v>
      </c>
      <c r="W6" s="9"/>
      <c r="X6" s="9"/>
    </row>
    <row r="7" spans="1:24" ht="22" x14ac:dyDescent="0.35">
      <c r="A7" s="3">
        <v>2</v>
      </c>
      <c r="B7" s="3" t="s">
        <v>25</v>
      </c>
      <c r="C7" s="8">
        <v>43808.375</v>
      </c>
      <c r="D7" s="8">
        <v>43808.5</v>
      </c>
      <c r="E7" s="12" t="s">
        <v>29</v>
      </c>
      <c r="F7" s="12" t="s">
        <v>30</v>
      </c>
      <c r="G7" s="9">
        <v>36</v>
      </c>
      <c r="H7" s="9">
        <v>931.5</v>
      </c>
      <c r="I7" s="9">
        <v>0</v>
      </c>
      <c r="J7" s="9">
        <v>0</v>
      </c>
      <c r="K7" s="9">
        <v>967.5</v>
      </c>
      <c r="L7" s="7">
        <v>43808.375</v>
      </c>
      <c r="M7" s="3" t="s">
        <v>29</v>
      </c>
      <c r="N7" s="9">
        <v>967.5</v>
      </c>
      <c r="O7" s="9">
        <v>0</v>
      </c>
      <c r="P7" s="12" t="s">
        <v>24</v>
      </c>
      <c r="Q7" s="9">
        <v>0</v>
      </c>
      <c r="R7" s="11">
        <v>0</v>
      </c>
      <c r="S7" s="10">
        <v>967.5</v>
      </c>
      <c r="T7" s="9">
        <v>0</v>
      </c>
      <c r="U7" s="14">
        <v>1</v>
      </c>
      <c r="V7" s="12" t="s">
        <v>166</v>
      </c>
      <c r="W7" s="9"/>
      <c r="X7" s="9"/>
    </row>
    <row r="8" spans="1:24" x14ac:dyDescent="0.35">
      <c r="A8" s="3">
        <v>3</v>
      </c>
      <c r="B8" s="3" t="s">
        <v>31</v>
      </c>
      <c r="C8" s="8">
        <v>43808.541666666701</v>
      </c>
      <c r="D8" s="8">
        <v>43813.5</v>
      </c>
      <c r="E8" s="12" t="s">
        <v>35</v>
      </c>
      <c r="F8" s="12" t="s">
        <v>36</v>
      </c>
      <c r="G8" s="9">
        <v>840</v>
      </c>
      <c r="H8" s="9">
        <v>950.5</v>
      </c>
      <c r="I8" s="9">
        <v>0</v>
      </c>
      <c r="J8" s="9">
        <v>0</v>
      </c>
      <c r="K8" s="9">
        <v>1790.5</v>
      </c>
      <c r="L8" s="7">
        <v>43808.541666666701</v>
      </c>
      <c r="M8" s="3" t="s">
        <v>181</v>
      </c>
      <c r="N8" s="9">
        <v>1550.5</v>
      </c>
      <c r="O8" s="9">
        <v>0</v>
      </c>
      <c r="P8" s="12" t="s">
        <v>24</v>
      </c>
      <c r="Q8" s="9">
        <v>0</v>
      </c>
      <c r="R8" s="11">
        <v>0</v>
      </c>
      <c r="S8" s="10">
        <v>1550.5</v>
      </c>
      <c r="T8" s="9">
        <v>0</v>
      </c>
      <c r="U8" s="14">
        <v>1</v>
      </c>
      <c r="V8" s="12" t="s">
        <v>166</v>
      </c>
      <c r="W8" s="9"/>
      <c r="X8" s="9"/>
    </row>
    <row r="9" spans="1:24" x14ac:dyDescent="0.35">
      <c r="A9" s="3">
        <v>4</v>
      </c>
      <c r="B9" s="3" t="s">
        <v>37</v>
      </c>
      <c r="C9" s="8">
        <v>43813.541666666701</v>
      </c>
      <c r="D9" s="8">
        <v>43816.625</v>
      </c>
      <c r="E9" s="12" t="s">
        <v>41</v>
      </c>
      <c r="F9" s="12" t="s">
        <v>42</v>
      </c>
      <c r="G9" s="9">
        <v>640</v>
      </c>
      <c r="H9" s="9">
        <v>8819</v>
      </c>
      <c r="I9" s="9">
        <v>0</v>
      </c>
      <c r="J9" s="9">
        <v>0</v>
      </c>
      <c r="K9" s="9">
        <v>9459</v>
      </c>
      <c r="L9" s="7">
        <v>43812.375</v>
      </c>
      <c r="M9" s="3" t="s">
        <v>185</v>
      </c>
      <c r="N9" s="9">
        <v>9219</v>
      </c>
      <c r="O9" s="9">
        <v>0</v>
      </c>
      <c r="P9" s="12" t="s">
        <v>24</v>
      </c>
      <c r="Q9" s="9">
        <v>0</v>
      </c>
      <c r="R9" s="11">
        <v>0</v>
      </c>
      <c r="S9" s="10">
        <v>9219</v>
      </c>
      <c r="T9" s="9">
        <v>0</v>
      </c>
      <c r="U9" s="14">
        <v>1</v>
      </c>
      <c r="V9" s="12" t="s">
        <v>166</v>
      </c>
      <c r="W9" s="9"/>
      <c r="X9" s="9"/>
    </row>
    <row r="10" spans="1:24" ht="22" x14ac:dyDescent="0.35">
      <c r="A10" s="3">
        <v>5</v>
      </c>
      <c r="B10" s="3" t="s">
        <v>43</v>
      </c>
      <c r="C10" s="8">
        <v>43816.625</v>
      </c>
      <c r="D10" s="8">
        <v>43827.708333333299</v>
      </c>
      <c r="E10" s="12" t="s">
        <v>47</v>
      </c>
      <c r="F10" s="12" t="s">
        <v>42</v>
      </c>
      <c r="G10" s="9">
        <v>2880</v>
      </c>
      <c r="H10" s="9">
        <v>3166.5</v>
      </c>
      <c r="I10" s="9">
        <v>0</v>
      </c>
      <c r="J10" s="9">
        <v>0</v>
      </c>
      <c r="K10" s="9">
        <v>6046.5</v>
      </c>
      <c r="L10" s="7">
        <v>43813.541666666701</v>
      </c>
      <c r="M10" s="3" t="s">
        <v>224</v>
      </c>
      <c r="N10" s="9">
        <v>5806.5</v>
      </c>
      <c r="O10" s="9">
        <v>0</v>
      </c>
      <c r="P10" s="12" t="s">
        <v>24</v>
      </c>
      <c r="Q10" s="9">
        <v>0</v>
      </c>
      <c r="R10" s="11">
        <v>0</v>
      </c>
      <c r="S10" s="10">
        <v>5806.5</v>
      </c>
      <c r="T10" s="9">
        <v>0</v>
      </c>
      <c r="U10" s="14">
        <v>1</v>
      </c>
      <c r="V10" s="12" t="s">
        <v>166</v>
      </c>
      <c r="W10" s="9"/>
      <c r="X10" s="9"/>
    </row>
    <row r="11" spans="1:24" x14ac:dyDescent="0.35">
      <c r="A11" s="3">
        <v>6</v>
      </c>
      <c r="B11" s="3" t="s">
        <v>48</v>
      </c>
      <c r="C11" s="8">
        <v>43830.583333333299</v>
      </c>
      <c r="D11" s="8">
        <v>43832.583333333299</v>
      </c>
      <c r="E11" s="12" t="s">
        <v>51</v>
      </c>
      <c r="F11" s="12" t="s">
        <v>52</v>
      </c>
      <c r="G11" s="9">
        <v>448</v>
      </c>
      <c r="H11" s="9">
        <v>1802.5</v>
      </c>
      <c r="I11" s="9">
        <v>0</v>
      </c>
      <c r="J11" s="9">
        <v>0</v>
      </c>
      <c r="K11" s="9">
        <v>2250.5</v>
      </c>
      <c r="L11" s="7">
        <v>43808.541666666701</v>
      </c>
      <c r="M11" s="3" t="s">
        <v>41</v>
      </c>
      <c r="N11" s="9">
        <v>2314.5</v>
      </c>
      <c r="O11" s="9">
        <v>0</v>
      </c>
      <c r="P11" s="12" t="s">
        <v>24</v>
      </c>
      <c r="Q11" s="9">
        <v>0</v>
      </c>
      <c r="R11" s="11">
        <v>0</v>
      </c>
      <c r="S11" s="10">
        <v>2314.5</v>
      </c>
      <c r="T11" s="9">
        <v>0</v>
      </c>
      <c r="U11" s="14">
        <v>1</v>
      </c>
      <c r="V11" s="12" t="s">
        <v>166</v>
      </c>
      <c r="W11" s="9"/>
      <c r="X11" s="9"/>
    </row>
    <row r="12" spans="1:24" x14ac:dyDescent="0.35">
      <c r="A12" s="3">
        <v>7</v>
      </c>
      <c r="B12" s="3" t="s">
        <v>53</v>
      </c>
      <c r="C12" s="8">
        <v>43815.416666666701</v>
      </c>
      <c r="D12" s="8">
        <v>43822.416666666701</v>
      </c>
      <c r="E12" s="12" t="s">
        <v>56</v>
      </c>
      <c r="F12" s="12" t="s">
        <v>57</v>
      </c>
      <c r="G12" s="9">
        <v>672</v>
      </c>
      <c r="H12" s="9">
        <v>1970.5</v>
      </c>
      <c r="I12" s="9">
        <v>0</v>
      </c>
      <c r="J12" s="9">
        <v>0</v>
      </c>
      <c r="K12" s="9">
        <v>2642.5</v>
      </c>
      <c r="L12" s="7">
        <v>43815.541666666701</v>
      </c>
      <c r="M12" s="3" t="s">
        <v>193</v>
      </c>
      <c r="N12" s="9">
        <v>2866.5</v>
      </c>
      <c r="O12" s="9">
        <v>0</v>
      </c>
      <c r="P12" s="12" t="s">
        <v>24</v>
      </c>
      <c r="Q12" s="9">
        <v>0</v>
      </c>
      <c r="R12" s="11">
        <v>0</v>
      </c>
      <c r="S12" s="10">
        <v>2866.5</v>
      </c>
      <c r="T12" s="9">
        <v>0</v>
      </c>
      <c r="U12" s="14">
        <v>1</v>
      </c>
      <c r="V12" s="12" t="s">
        <v>166</v>
      </c>
      <c r="W12" s="9"/>
      <c r="X12" s="9"/>
    </row>
    <row r="13" spans="1:24" ht="22" x14ac:dyDescent="0.35">
      <c r="A13" s="3">
        <v>8</v>
      </c>
      <c r="B13" s="3" t="s">
        <v>58</v>
      </c>
      <c r="C13" s="8">
        <v>43831.583333333299</v>
      </c>
      <c r="D13" s="8">
        <v>43832.583333333299</v>
      </c>
      <c r="E13" s="12" t="s">
        <v>61</v>
      </c>
      <c r="F13" s="12" t="s">
        <v>57</v>
      </c>
      <c r="G13" s="9">
        <v>112</v>
      </c>
      <c r="H13" s="9">
        <v>602.5</v>
      </c>
      <c r="I13" s="9">
        <v>0</v>
      </c>
      <c r="J13" s="9">
        <v>0</v>
      </c>
      <c r="K13" s="9">
        <v>714.5</v>
      </c>
      <c r="L13" s="7">
        <v>43824.666666666701</v>
      </c>
      <c r="M13" s="3" t="s">
        <v>178</v>
      </c>
      <c r="N13" s="9">
        <v>730.5</v>
      </c>
      <c r="O13" s="9">
        <v>0</v>
      </c>
      <c r="P13" s="12" t="s">
        <v>24</v>
      </c>
      <c r="Q13" s="9">
        <v>0</v>
      </c>
      <c r="R13" s="11">
        <v>0</v>
      </c>
      <c r="S13" s="10">
        <v>730.5</v>
      </c>
      <c r="T13" s="9">
        <v>0</v>
      </c>
      <c r="U13" s="14">
        <v>1</v>
      </c>
      <c r="V13" s="12" t="s">
        <v>166</v>
      </c>
      <c r="W13" s="9"/>
      <c r="X13" s="9"/>
    </row>
    <row r="14" spans="1:24" x14ac:dyDescent="0.35">
      <c r="A14" s="3">
        <v>9</v>
      </c>
      <c r="B14" s="3" t="s">
        <v>62</v>
      </c>
      <c r="C14" s="8">
        <v>43829.583333333299</v>
      </c>
      <c r="D14" s="8">
        <v>43830.583333333299</v>
      </c>
      <c r="E14" s="12" t="s">
        <v>61</v>
      </c>
      <c r="F14" s="12" t="s">
        <v>57</v>
      </c>
      <c r="G14" s="9">
        <v>112</v>
      </c>
      <c r="H14" s="9">
        <v>602.5</v>
      </c>
      <c r="I14" s="9">
        <v>0</v>
      </c>
      <c r="J14" s="9">
        <v>0</v>
      </c>
      <c r="K14" s="9">
        <v>714.5</v>
      </c>
      <c r="L14" s="7">
        <v>43827.458333333299</v>
      </c>
      <c r="M14" s="3" t="s">
        <v>61</v>
      </c>
      <c r="N14" s="9">
        <v>714.5</v>
      </c>
      <c r="O14" s="9">
        <v>0</v>
      </c>
      <c r="P14" s="12" t="s">
        <v>24</v>
      </c>
      <c r="Q14" s="9">
        <v>0</v>
      </c>
      <c r="R14" s="11">
        <v>0</v>
      </c>
      <c r="S14" s="10">
        <v>714.5</v>
      </c>
      <c r="T14" s="9">
        <v>0</v>
      </c>
      <c r="U14" s="14">
        <v>1</v>
      </c>
      <c r="V14" s="12" t="s">
        <v>166</v>
      </c>
      <c r="W14" s="9"/>
      <c r="X14" s="9"/>
    </row>
    <row r="15" spans="1:24" ht="22" x14ac:dyDescent="0.35">
      <c r="A15" s="3">
        <v>10</v>
      </c>
      <c r="B15" s="3" t="s">
        <v>64</v>
      </c>
      <c r="C15" s="8">
        <v>43829.375</v>
      </c>
      <c r="D15" s="8">
        <v>43829.708333333299</v>
      </c>
      <c r="E15" s="12" t="s">
        <v>61</v>
      </c>
      <c r="F15" s="12" t="s">
        <v>67</v>
      </c>
      <c r="G15" s="9">
        <v>56</v>
      </c>
      <c r="H15" s="9">
        <v>602.5</v>
      </c>
      <c r="I15" s="9">
        <v>0</v>
      </c>
      <c r="J15" s="9">
        <v>0</v>
      </c>
      <c r="K15" s="9">
        <v>658.5</v>
      </c>
      <c r="L15" s="7">
        <v>43824.666666666701</v>
      </c>
      <c r="M15" s="3" t="s">
        <v>61</v>
      </c>
      <c r="N15" s="9">
        <v>658.5</v>
      </c>
      <c r="O15" s="9">
        <v>0</v>
      </c>
      <c r="P15" s="12" t="s">
        <v>24</v>
      </c>
      <c r="Q15" s="9">
        <v>0</v>
      </c>
      <c r="R15" s="11">
        <v>0</v>
      </c>
      <c r="S15" s="10">
        <v>658.5</v>
      </c>
      <c r="T15" s="9">
        <v>0</v>
      </c>
      <c r="U15" s="14">
        <v>1</v>
      </c>
      <c r="V15" s="12" t="s">
        <v>166</v>
      </c>
      <c r="W15" s="9"/>
      <c r="X15" s="9"/>
    </row>
    <row r="16" spans="1:24" x14ac:dyDescent="0.35">
      <c r="A16" s="3">
        <v>11</v>
      </c>
      <c r="B16" s="3" t="s">
        <v>68</v>
      </c>
      <c r="C16" s="8">
        <v>43813.416666666701</v>
      </c>
      <c r="D16" s="8">
        <v>43815.416666666701</v>
      </c>
      <c r="E16" s="12" t="s">
        <v>61</v>
      </c>
      <c r="F16" s="12" t="s">
        <v>67</v>
      </c>
      <c r="G16" s="9">
        <v>56</v>
      </c>
      <c r="H16" s="9">
        <v>602.5</v>
      </c>
      <c r="I16" s="9">
        <v>0</v>
      </c>
      <c r="J16" s="9">
        <v>0</v>
      </c>
      <c r="K16" s="9">
        <v>658.5</v>
      </c>
      <c r="L16" s="7">
        <v>43825.666666666701</v>
      </c>
      <c r="M16" s="3" t="s">
        <v>182</v>
      </c>
      <c r="N16" s="9">
        <v>674.5</v>
      </c>
      <c r="O16" s="9">
        <v>0</v>
      </c>
      <c r="P16" s="12" t="s">
        <v>24</v>
      </c>
      <c r="Q16" s="9">
        <v>0</v>
      </c>
      <c r="R16" s="11">
        <v>0</v>
      </c>
      <c r="S16" s="10">
        <v>674.5</v>
      </c>
      <c r="T16" s="9">
        <v>0</v>
      </c>
      <c r="U16" s="14">
        <v>1</v>
      </c>
      <c r="V16" s="12" t="s">
        <v>166</v>
      </c>
      <c r="W16" s="9"/>
      <c r="X16" s="9"/>
    </row>
    <row r="17" spans="1:24" ht="22" x14ac:dyDescent="0.35">
      <c r="A17" s="3">
        <v>13</v>
      </c>
      <c r="B17" s="3" t="s">
        <v>70</v>
      </c>
      <c r="C17" s="8">
        <v>43823.416666666701</v>
      </c>
      <c r="D17" s="8">
        <v>43823.583333333299</v>
      </c>
      <c r="E17" s="12" t="s">
        <v>29</v>
      </c>
      <c r="F17" s="12" t="s">
        <v>67</v>
      </c>
      <c r="G17" s="9">
        <v>24</v>
      </c>
      <c r="H17" s="9">
        <v>602.5</v>
      </c>
      <c r="I17" s="9">
        <v>0</v>
      </c>
      <c r="J17" s="9">
        <v>0</v>
      </c>
      <c r="K17" s="9">
        <v>626.5</v>
      </c>
      <c r="L17" s="7">
        <v>43811.458333333299</v>
      </c>
      <c r="M17" s="3" t="s">
        <v>29</v>
      </c>
      <c r="N17" s="9">
        <v>626.5</v>
      </c>
      <c r="O17" s="9">
        <v>0</v>
      </c>
      <c r="P17" s="12" t="s">
        <v>24</v>
      </c>
      <c r="Q17" s="9">
        <v>0</v>
      </c>
      <c r="R17" s="11">
        <v>0</v>
      </c>
      <c r="S17" s="10">
        <v>626.5</v>
      </c>
      <c r="T17" s="9">
        <v>0</v>
      </c>
      <c r="U17" s="14">
        <v>1</v>
      </c>
      <c r="V17" s="12" t="s">
        <v>166</v>
      </c>
      <c r="W17" s="9"/>
      <c r="X17" s="9"/>
    </row>
    <row r="18" spans="1:24" x14ac:dyDescent="0.35">
      <c r="A18" s="3">
        <v>14</v>
      </c>
      <c r="B18" s="3" t="s">
        <v>74</v>
      </c>
      <c r="C18" s="8">
        <v>43836.583333333299</v>
      </c>
      <c r="D18" s="8">
        <v>43838.583333333299</v>
      </c>
      <c r="E18" s="12" t="s">
        <v>51</v>
      </c>
      <c r="F18" s="12" t="s">
        <v>77</v>
      </c>
      <c r="G18" s="9">
        <v>672</v>
      </c>
      <c r="H18" s="9">
        <v>602.5</v>
      </c>
      <c r="I18" s="9">
        <v>0</v>
      </c>
      <c r="J18" s="9">
        <v>0</v>
      </c>
      <c r="K18" s="9">
        <v>1274.5</v>
      </c>
      <c r="L18" s="7">
        <v>43830.458333333299</v>
      </c>
      <c r="M18" s="3" t="s">
        <v>41</v>
      </c>
      <c r="N18" s="9">
        <v>1370.5</v>
      </c>
      <c r="O18" s="9">
        <v>0</v>
      </c>
      <c r="P18" s="12" t="s">
        <v>24</v>
      </c>
      <c r="Q18" s="9">
        <v>0</v>
      </c>
      <c r="R18" s="11">
        <v>0</v>
      </c>
      <c r="S18" s="10">
        <v>1370.5</v>
      </c>
      <c r="T18" s="9">
        <v>0</v>
      </c>
      <c r="U18" s="14">
        <v>1</v>
      </c>
      <c r="V18" s="12" t="s">
        <v>166</v>
      </c>
      <c r="W18" s="9"/>
      <c r="X18" s="9"/>
    </row>
    <row r="19" spans="1:24" x14ac:dyDescent="0.35">
      <c r="A19" s="3">
        <v>15</v>
      </c>
      <c r="B19" s="3" t="s">
        <v>78</v>
      </c>
      <c r="C19" s="8">
        <v>43829.583333333299</v>
      </c>
      <c r="D19" s="8">
        <v>43830.583333333299</v>
      </c>
      <c r="E19" s="12" t="s">
        <v>61</v>
      </c>
      <c r="F19" s="12" t="s">
        <v>57</v>
      </c>
      <c r="G19" s="9">
        <v>112</v>
      </c>
      <c r="H19" s="9">
        <v>602.5</v>
      </c>
      <c r="I19" s="9">
        <v>0</v>
      </c>
      <c r="J19" s="9">
        <v>0</v>
      </c>
      <c r="K19" s="9">
        <v>714.5</v>
      </c>
      <c r="L19" s="7">
        <v>43824.666666666701</v>
      </c>
      <c r="M19" s="3" t="s">
        <v>182</v>
      </c>
      <c r="N19" s="9">
        <v>746.5</v>
      </c>
      <c r="O19" s="9">
        <v>0</v>
      </c>
      <c r="P19" s="12" t="s">
        <v>24</v>
      </c>
      <c r="Q19" s="9">
        <v>0</v>
      </c>
      <c r="R19" s="11">
        <v>0</v>
      </c>
      <c r="S19" s="10">
        <v>746.5</v>
      </c>
      <c r="T19" s="9">
        <v>0</v>
      </c>
      <c r="U19" s="14">
        <v>1</v>
      </c>
      <c r="V19" s="12" t="s">
        <v>166</v>
      </c>
      <c r="W19" s="9"/>
      <c r="X19" s="9"/>
    </row>
    <row r="20" spans="1:24" x14ac:dyDescent="0.35">
      <c r="A20" s="3">
        <v>16</v>
      </c>
      <c r="B20" s="3" t="s">
        <v>80</v>
      </c>
      <c r="C20" s="8">
        <v>43827.416666666701</v>
      </c>
      <c r="D20" s="8">
        <v>43827.583333333299</v>
      </c>
      <c r="E20" s="12" t="s">
        <v>29</v>
      </c>
      <c r="F20" s="12" t="s">
        <v>57</v>
      </c>
      <c r="G20" s="9">
        <v>48</v>
      </c>
      <c r="H20" s="9">
        <v>602.5</v>
      </c>
      <c r="I20" s="9">
        <v>0</v>
      </c>
      <c r="J20" s="9">
        <v>0</v>
      </c>
      <c r="K20" s="9">
        <v>650.5</v>
      </c>
      <c r="L20" s="7">
        <v>43813.666666666701</v>
      </c>
      <c r="M20" s="3" t="s">
        <v>167</v>
      </c>
      <c r="N20" s="9">
        <v>666.5</v>
      </c>
      <c r="O20" s="9">
        <v>0</v>
      </c>
      <c r="P20" s="12" t="s">
        <v>24</v>
      </c>
      <c r="Q20" s="9">
        <v>0</v>
      </c>
      <c r="R20" s="11">
        <v>0</v>
      </c>
      <c r="S20" s="10">
        <v>666.5</v>
      </c>
      <c r="T20" s="9">
        <v>0</v>
      </c>
      <c r="U20" s="14">
        <v>1</v>
      </c>
      <c r="V20" s="12" t="s">
        <v>166</v>
      </c>
      <c r="W20" s="9"/>
      <c r="X20" s="9"/>
    </row>
    <row r="21" spans="1:24" x14ac:dyDescent="0.35">
      <c r="A21" s="3">
        <v>17</v>
      </c>
      <c r="B21" s="3" t="s">
        <v>82</v>
      </c>
      <c r="C21" s="8">
        <v>43822.416666666701</v>
      </c>
      <c r="D21" s="8">
        <v>43823.416666666701</v>
      </c>
      <c r="E21" s="12" t="s">
        <v>61</v>
      </c>
      <c r="F21" s="12" t="s">
        <v>85</v>
      </c>
      <c r="G21" s="9">
        <v>140</v>
      </c>
      <c r="H21" s="9">
        <v>3302.5</v>
      </c>
      <c r="I21" s="9">
        <v>0</v>
      </c>
      <c r="J21" s="9">
        <v>0</v>
      </c>
      <c r="K21" s="9">
        <v>3442.5</v>
      </c>
      <c r="L21" s="7">
        <v>43810.625</v>
      </c>
      <c r="M21" s="3" t="s">
        <v>167</v>
      </c>
      <c r="N21" s="9">
        <v>3382.5</v>
      </c>
      <c r="O21" s="9">
        <v>0</v>
      </c>
      <c r="P21" s="12" t="s">
        <v>24</v>
      </c>
      <c r="Q21" s="9">
        <v>0</v>
      </c>
      <c r="R21" s="11">
        <v>0</v>
      </c>
      <c r="S21" s="10">
        <v>3382.5</v>
      </c>
      <c r="T21" s="9">
        <v>0</v>
      </c>
      <c r="U21" s="14">
        <v>1</v>
      </c>
      <c r="V21" s="12" t="s">
        <v>166</v>
      </c>
      <c r="W21" s="9"/>
      <c r="X21" s="9"/>
    </row>
    <row r="22" spans="1:24" x14ac:dyDescent="0.35">
      <c r="A22" s="3">
        <v>18</v>
      </c>
      <c r="B22" s="3" t="s">
        <v>86</v>
      </c>
      <c r="C22" s="8">
        <v>43832.583333333299</v>
      </c>
      <c r="D22" s="8">
        <v>43833.583333333299</v>
      </c>
      <c r="E22" s="12" t="s">
        <v>61</v>
      </c>
      <c r="F22" s="12" t="s">
        <v>57</v>
      </c>
      <c r="G22" s="9">
        <v>112</v>
      </c>
      <c r="H22" s="9">
        <v>602.5</v>
      </c>
      <c r="I22" s="9">
        <v>0</v>
      </c>
      <c r="J22" s="9">
        <v>0</v>
      </c>
      <c r="K22" s="9">
        <v>714.5</v>
      </c>
      <c r="L22" s="7">
        <v>43824.666666666701</v>
      </c>
      <c r="M22" s="3" t="s">
        <v>182</v>
      </c>
      <c r="N22" s="9">
        <v>746.5</v>
      </c>
      <c r="O22" s="9">
        <v>0</v>
      </c>
      <c r="P22" s="12" t="s">
        <v>24</v>
      </c>
      <c r="Q22" s="9">
        <v>0</v>
      </c>
      <c r="R22" s="11">
        <v>0</v>
      </c>
      <c r="S22" s="10">
        <v>746.5</v>
      </c>
      <c r="T22" s="9">
        <v>0</v>
      </c>
      <c r="U22" s="14">
        <v>1</v>
      </c>
      <c r="V22" s="12" t="s">
        <v>166</v>
      </c>
      <c r="W22" s="9"/>
      <c r="X22" s="9"/>
    </row>
    <row r="23" spans="1:24" ht="22" x14ac:dyDescent="0.35">
      <c r="A23" s="3">
        <v>19</v>
      </c>
      <c r="B23" s="3" t="s">
        <v>88</v>
      </c>
      <c r="C23" s="8">
        <v>43833.583333333299</v>
      </c>
      <c r="D23" s="8">
        <v>43836.583333333299</v>
      </c>
      <c r="E23" s="12" t="s">
        <v>51</v>
      </c>
      <c r="F23" s="12" t="s">
        <v>77</v>
      </c>
      <c r="G23" s="9">
        <v>672</v>
      </c>
      <c r="H23" s="9">
        <v>2252.5</v>
      </c>
      <c r="I23" s="9">
        <v>0</v>
      </c>
      <c r="J23" s="9">
        <v>0</v>
      </c>
      <c r="K23" s="9">
        <v>2924.5</v>
      </c>
      <c r="L23" s="7">
        <v>43826.416666666701</v>
      </c>
      <c r="M23" s="3" t="s">
        <v>178</v>
      </c>
      <c r="N23" s="9">
        <v>2636.5</v>
      </c>
      <c r="O23" s="9">
        <v>0</v>
      </c>
      <c r="P23" s="12" t="s">
        <v>24</v>
      </c>
      <c r="Q23" s="9">
        <v>0</v>
      </c>
      <c r="R23" s="11">
        <v>0</v>
      </c>
      <c r="S23" s="10">
        <v>2636.5</v>
      </c>
      <c r="T23" s="9">
        <v>0</v>
      </c>
      <c r="U23" s="14">
        <v>1</v>
      </c>
      <c r="V23" s="12" t="s">
        <v>166</v>
      </c>
      <c r="W23" s="9"/>
      <c r="X23" s="9"/>
    </row>
    <row r="24" spans="1:24" x14ac:dyDescent="0.35">
      <c r="A24" s="3">
        <v>20</v>
      </c>
      <c r="B24" s="3" t="s">
        <v>91</v>
      </c>
      <c r="C24" s="8">
        <v>43824.416666666701</v>
      </c>
      <c r="D24" s="8">
        <v>43825.416666666701</v>
      </c>
      <c r="E24" s="12" t="s">
        <v>61</v>
      </c>
      <c r="F24" s="12" t="s">
        <v>67</v>
      </c>
      <c r="G24" s="9">
        <v>56</v>
      </c>
      <c r="H24" s="9">
        <v>28602.5</v>
      </c>
      <c r="I24" s="9">
        <v>0</v>
      </c>
      <c r="J24" s="9">
        <v>0</v>
      </c>
      <c r="K24" s="9">
        <v>28658.5</v>
      </c>
      <c r="L24" s="7">
        <v>43811.458333333299</v>
      </c>
      <c r="M24" s="3" t="s">
        <v>174</v>
      </c>
      <c r="N24" s="9">
        <v>28642.5</v>
      </c>
      <c r="O24" s="9">
        <v>0</v>
      </c>
      <c r="P24" s="12" t="s">
        <v>24</v>
      </c>
      <c r="Q24" s="9">
        <v>0</v>
      </c>
      <c r="R24" s="11">
        <v>0</v>
      </c>
      <c r="S24" s="10">
        <v>28642.5</v>
      </c>
      <c r="T24" s="9">
        <v>0</v>
      </c>
      <c r="U24" s="14">
        <v>1</v>
      </c>
      <c r="V24" s="12" t="s">
        <v>166</v>
      </c>
      <c r="W24" s="9"/>
      <c r="X24" s="9"/>
    </row>
    <row r="25" spans="1:24" ht="22" x14ac:dyDescent="0.35">
      <c r="A25" s="3">
        <v>21</v>
      </c>
      <c r="B25" s="3" t="s">
        <v>95</v>
      </c>
      <c r="C25" s="8">
        <v>43830.583333333299</v>
      </c>
      <c r="D25" s="8">
        <v>43831.583333333299</v>
      </c>
      <c r="E25" s="12" t="s">
        <v>61</v>
      </c>
      <c r="F25" s="12" t="s">
        <v>36</v>
      </c>
      <c r="G25" s="9">
        <v>168</v>
      </c>
      <c r="H25" s="9">
        <v>3677.5</v>
      </c>
      <c r="I25" s="9">
        <v>0</v>
      </c>
      <c r="J25" s="9">
        <v>0</v>
      </c>
      <c r="K25" s="9">
        <v>3845.5</v>
      </c>
      <c r="L25" s="7">
        <v>43827.458333333299</v>
      </c>
      <c r="M25" s="3" t="s">
        <v>124</v>
      </c>
      <c r="N25" s="9">
        <v>3821.5</v>
      </c>
      <c r="O25" s="9">
        <v>0</v>
      </c>
      <c r="P25" s="12" t="s">
        <v>24</v>
      </c>
      <c r="Q25" s="9">
        <v>0</v>
      </c>
      <c r="R25" s="11">
        <v>0</v>
      </c>
      <c r="S25" s="10">
        <v>3821.5</v>
      </c>
      <c r="T25" s="9">
        <v>0</v>
      </c>
      <c r="U25" s="14">
        <v>1</v>
      </c>
      <c r="V25" s="12" t="s">
        <v>166</v>
      </c>
      <c r="W25" s="9"/>
      <c r="X25" s="9"/>
    </row>
    <row r="26" spans="1:24" x14ac:dyDescent="0.35">
      <c r="A26" s="3">
        <v>22</v>
      </c>
      <c r="B26" s="3" t="s">
        <v>98</v>
      </c>
      <c r="C26" s="8">
        <v>43825.416666666701</v>
      </c>
      <c r="D26" s="8">
        <v>43826.416666666701</v>
      </c>
      <c r="E26" s="12" t="s">
        <v>61</v>
      </c>
      <c r="F26" s="12" t="s">
        <v>67</v>
      </c>
      <c r="G26" s="9">
        <v>56</v>
      </c>
      <c r="H26" s="9">
        <v>602.5</v>
      </c>
      <c r="I26" s="9">
        <v>0</v>
      </c>
      <c r="J26" s="9">
        <v>0</v>
      </c>
      <c r="K26" s="9">
        <v>658.5</v>
      </c>
      <c r="L26" s="7">
        <v>43812.375</v>
      </c>
      <c r="M26" s="3" t="s">
        <v>124</v>
      </c>
      <c r="N26" s="9">
        <v>650.5</v>
      </c>
      <c r="O26" s="9">
        <v>0</v>
      </c>
      <c r="P26" s="12" t="s">
        <v>24</v>
      </c>
      <c r="Q26" s="9">
        <v>0</v>
      </c>
      <c r="R26" s="11">
        <v>0</v>
      </c>
      <c r="S26" s="10">
        <v>650.5</v>
      </c>
      <c r="T26" s="9">
        <v>0</v>
      </c>
      <c r="U26" s="14">
        <v>1</v>
      </c>
      <c r="V26" s="12" t="s">
        <v>166</v>
      </c>
      <c r="W26" s="9"/>
      <c r="X26" s="9"/>
    </row>
    <row r="27" spans="1:24" x14ac:dyDescent="0.35">
      <c r="A27" s="3">
        <v>23</v>
      </c>
      <c r="B27" s="3" t="s">
        <v>101</v>
      </c>
      <c r="C27" s="8">
        <v>43832.583333333299</v>
      </c>
      <c r="D27" s="8">
        <v>43833.583333333299</v>
      </c>
      <c r="E27" s="12" t="s">
        <v>61</v>
      </c>
      <c r="F27" s="12" t="s">
        <v>52</v>
      </c>
      <c r="G27" s="9">
        <v>224</v>
      </c>
      <c r="H27" s="9">
        <v>43602.5</v>
      </c>
      <c r="I27" s="9">
        <v>0</v>
      </c>
      <c r="J27" s="9">
        <v>0</v>
      </c>
      <c r="K27" s="9">
        <v>43826.5</v>
      </c>
      <c r="L27" s="7">
        <v>43829.416666666701</v>
      </c>
      <c r="M27" s="3" t="s">
        <v>178</v>
      </c>
      <c r="N27" s="9">
        <v>43858.5</v>
      </c>
      <c r="O27" s="9">
        <v>0</v>
      </c>
      <c r="P27" s="12" t="s">
        <v>24</v>
      </c>
      <c r="Q27" s="9">
        <v>0</v>
      </c>
      <c r="R27" s="11">
        <v>0</v>
      </c>
      <c r="S27" s="10">
        <v>43858.5</v>
      </c>
      <c r="T27" s="9">
        <v>0</v>
      </c>
      <c r="U27" s="14">
        <v>1</v>
      </c>
      <c r="V27" s="12" t="s">
        <v>166</v>
      </c>
      <c r="W27" s="9"/>
      <c r="X27" s="9"/>
    </row>
    <row r="28" spans="1:24" x14ac:dyDescent="0.35">
      <c r="A28" s="3">
        <v>24</v>
      </c>
      <c r="B28" s="3" t="s">
        <v>103</v>
      </c>
      <c r="C28" s="8">
        <v>43826.416666666701</v>
      </c>
      <c r="D28" s="8">
        <v>43827.416666666701</v>
      </c>
      <c r="E28" s="12" t="s">
        <v>61</v>
      </c>
      <c r="F28" s="12" t="s">
        <v>67</v>
      </c>
      <c r="G28" s="9">
        <v>56</v>
      </c>
      <c r="H28" s="9">
        <v>1577.5</v>
      </c>
      <c r="I28" s="9">
        <v>0</v>
      </c>
      <c r="J28" s="9">
        <v>0</v>
      </c>
      <c r="K28" s="9">
        <v>1633.5</v>
      </c>
      <c r="L28" s="7">
        <v>43812.666666666701</v>
      </c>
      <c r="M28" s="3" t="s">
        <v>61</v>
      </c>
      <c r="N28" s="9">
        <v>1633.5</v>
      </c>
      <c r="O28" s="9">
        <v>0</v>
      </c>
      <c r="P28" s="12" t="s">
        <v>24</v>
      </c>
      <c r="Q28" s="9">
        <v>0</v>
      </c>
      <c r="R28" s="11">
        <v>0</v>
      </c>
      <c r="S28" s="10">
        <v>1633.5</v>
      </c>
      <c r="T28" s="9">
        <v>0</v>
      </c>
      <c r="U28" s="14">
        <v>1</v>
      </c>
      <c r="V28" s="12" t="s">
        <v>166</v>
      </c>
      <c r="W28" s="9"/>
      <c r="X28" s="9"/>
    </row>
    <row r="29" spans="1:24" x14ac:dyDescent="0.35">
      <c r="A29" s="3">
        <v>25</v>
      </c>
      <c r="B29" s="3" t="s">
        <v>106</v>
      </c>
      <c r="C29" s="8">
        <v>43813.416666666701</v>
      </c>
      <c r="D29" s="8">
        <v>43815.416666666701</v>
      </c>
      <c r="E29" s="12" t="s">
        <v>61</v>
      </c>
      <c r="F29" s="12" t="s">
        <v>67</v>
      </c>
      <c r="G29" s="9">
        <v>56</v>
      </c>
      <c r="H29" s="9">
        <v>2524.5</v>
      </c>
      <c r="I29" s="9">
        <v>0</v>
      </c>
      <c r="J29" s="9">
        <v>0</v>
      </c>
      <c r="K29" s="9">
        <v>2580.5</v>
      </c>
      <c r="L29" s="7">
        <v>43812.541666666701</v>
      </c>
      <c r="M29" s="3" t="s">
        <v>61</v>
      </c>
      <c r="N29" s="9">
        <v>2580.5</v>
      </c>
      <c r="O29" s="9">
        <v>0</v>
      </c>
      <c r="P29" s="12" t="s">
        <v>24</v>
      </c>
      <c r="Q29" s="9">
        <v>0</v>
      </c>
      <c r="R29" s="11">
        <v>0</v>
      </c>
      <c r="S29" s="10">
        <v>2580.5</v>
      </c>
      <c r="T29" s="9">
        <v>0</v>
      </c>
      <c r="U29" s="14">
        <v>1</v>
      </c>
      <c r="V29" s="12" t="s">
        <v>166</v>
      </c>
      <c r="W29" s="9"/>
      <c r="X29" s="9"/>
    </row>
    <row r="30" spans="1:24" x14ac:dyDescent="0.35">
      <c r="A30" s="3">
        <v>26</v>
      </c>
      <c r="B30" s="3" t="s">
        <v>108</v>
      </c>
      <c r="C30" s="8">
        <v>43829.583333333299</v>
      </c>
      <c r="D30" s="8">
        <v>43830.583333333299</v>
      </c>
      <c r="E30" s="12" t="s">
        <v>61</v>
      </c>
      <c r="F30" s="12" t="s">
        <v>57</v>
      </c>
      <c r="G30" s="9">
        <v>112</v>
      </c>
      <c r="H30" s="9">
        <v>3442.30004882813</v>
      </c>
      <c r="I30" s="9">
        <v>0</v>
      </c>
      <c r="J30" s="9">
        <v>0</v>
      </c>
      <c r="K30" s="9">
        <v>3554.30004882813</v>
      </c>
      <c r="L30" s="7">
        <v>43827.458333333299</v>
      </c>
      <c r="M30" s="3" t="s">
        <v>124</v>
      </c>
      <c r="N30" s="9">
        <v>3538.30004882813</v>
      </c>
      <c r="O30" s="9">
        <v>0</v>
      </c>
      <c r="P30" s="12" t="s">
        <v>24</v>
      </c>
      <c r="Q30" s="9">
        <v>0</v>
      </c>
      <c r="R30" s="11">
        <v>0</v>
      </c>
      <c r="S30" s="10">
        <v>3538.30004882813</v>
      </c>
      <c r="T30" s="9">
        <v>0</v>
      </c>
      <c r="U30" s="14">
        <v>1</v>
      </c>
      <c r="V30" s="12" t="s">
        <v>166</v>
      </c>
      <c r="W30" s="9"/>
      <c r="X30" s="9"/>
    </row>
    <row r="31" spans="1:24" x14ac:dyDescent="0.35">
      <c r="A31" s="3">
        <v>27</v>
      </c>
      <c r="B31" s="3" t="s">
        <v>110</v>
      </c>
      <c r="C31" s="8">
        <v>43823.416666666701</v>
      </c>
      <c r="D31" s="8">
        <v>43824.416666666701</v>
      </c>
      <c r="E31" s="12" t="s">
        <v>61</v>
      </c>
      <c r="F31" s="12" t="s">
        <v>67</v>
      </c>
      <c r="G31" s="9">
        <v>56</v>
      </c>
      <c r="H31" s="9">
        <v>2972.5</v>
      </c>
      <c r="I31" s="9">
        <v>0</v>
      </c>
      <c r="J31" s="9">
        <v>0</v>
      </c>
      <c r="K31" s="9">
        <v>3028.5</v>
      </c>
      <c r="L31" s="7">
        <v>43810.625</v>
      </c>
      <c r="M31" s="3" t="s">
        <v>167</v>
      </c>
      <c r="N31" s="9">
        <v>3004.5</v>
      </c>
      <c r="O31" s="9">
        <v>0</v>
      </c>
      <c r="P31" s="12" t="s">
        <v>24</v>
      </c>
      <c r="Q31" s="9">
        <v>0</v>
      </c>
      <c r="R31" s="11">
        <v>0</v>
      </c>
      <c r="S31" s="10">
        <v>3004.5</v>
      </c>
      <c r="T31" s="9">
        <v>0</v>
      </c>
      <c r="U31" s="14">
        <v>1</v>
      </c>
      <c r="V31" s="12" t="s">
        <v>166</v>
      </c>
      <c r="W31" s="9"/>
      <c r="X31" s="9"/>
    </row>
    <row r="32" spans="1:24" x14ac:dyDescent="0.35">
      <c r="A32" s="3">
        <v>28</v>
      </c>
      <c r="B32" s="3" t="s">
        <v>113</v>
      </c>
      <c r="C32" s="8">
        <v>43832.583333333299</v>
      </c>
      <c r="D32" s="8">
        <v>43833.583333333299</v>
      </c>
      <c r="E32" s="12" t="s">
        <v>61</v>
      </c>
      <c r="F32" s="12" t="s">
        <v>67</v>
      </c>
      <c r="G32" s="9">
        <v>56</v>
      </c>
      <c r="H32" s="9">
        <v>1586.5</v>
      </c>
      <c r="I32" s="9">
        <v>0</v>
      </c>
      <c r="J32" s="9">
        <v>0</v>
      </c>
      <c r="K32" s="9">
        <v>1642.5</v>
      </c>
      <c r="L32" s="7">
        <v>43810.625</v>
      </c>
      <c r="M32" s="3" t="s">
        <v>185</v>
      </c>
      <c r="N32" s="9">
        <v>1666.5</v>
      </c>
      <c r="O32" s="9">
        <v>0</v>
      </c>
      <c r="P32" s="12" t="s">
        <v>24</v>
      </c>
      <c r="Q32" s="9">
        <v>0</v>
      </c>
      <c r="R32" s="11">
        <v>0</v>
      </c>
      <c r="S32" s="10">
        <v>1666.5</v>
      </c>
      <c r="T32" s="9">
        <v>0</v>
      </c>
      <c r="U32" s="14">
        <v>1</v>
      </c>
      <c r="V32" s="12" t="s">
        <v>166</v>
      </c>
      <c r="W32" s="9"/>
      <c r="X32" s="9"/>
    </row>
    <row r="33" spans="1:24" ht="22" x14ac:dyDescent="0.35">
      <c r="A33" s="3">
        <v>29</v>
      </c>
      <c r="B33" s="3" t="s">
        <v>117</v>
      </c>
      <c r="C33" s="8">
        <v>43833.583333333299</v>
      </c>
      <c r="D33" s="8">
        <v>43833.708333333299</v>
      </c>
      <c r="E33" s="12" t="s">
        <v>29</v>
      </c>
      <c r="F33" s="12" t="s">
        <v>67</v>
      </c>
      <c r="G33" s="9">
        <v>24</v>
      </c>
      <c r="H33" s="9">
        <v>602.5</v>
      </c>
      <c r="I33" s="9">
        <v>0</v>
      </c>
      <c r="J33" s="9">
        <v>0</v>
      </c>
      <c r="K33" s="9">
        <v>626.5</v>
      </c>
      <c r="L33" s="7">
        <v>43812.416666666701</v>
      </c>
      <c r="M33" s="3" t="s">
        <v>177</v>
      </c>
      <c r="N33" s="9">
        <v>618.5</v>
      </c>
      <c r="O33" s="9">
        <v>0</v>
      </c>
      <c r="P33" s="12" t="s">
        <v>24</v>
      </c>
      <c r="Q33" s="9">
        <v>0</v>
      </c>
      <c r="R33" s="11">
        <v>0</v>
      </c>
      <c r="S33" s="10">
        <v>618.5</v>
      </c>
      <c r="T33" s="9">
        <v>0</v>
      </c>
      <c r="U33" s="14">
        <v>1</v>
      </c>
      <c r="V33" s="12" t="s">
        <v>166</v>
      </c>
      <c r="W33" s="9"/>
      <c r="X33" s="9"/>
    </row>
    <row r="34" spans="1:24" x14ac:dyDescent="0.35">
      <c r="A34" s="3">
        <v>30</v>
      </c>
      <c r="B34" s="3" t="s">
        <v>120</v>
      </c>
      <c r="C34" s="8">
        <v>43838.583333333299</v>
      </c>
      <c r="D34" s="8">
        <v>43839.5</v>
      </c>
      <c r="E34" s="12" t="s">
        <v>124</v>
      </c>
      <c r="F34" s="12" t="s">
        <v>67</v>
      </c>
      <c r="G34" s="9">
        <v>48</v>
      </c>
      <c r="H34" s="9">
        <v>602.5</v>
      </c>
      <c r="I34" s="9">
        <v>0</v>
      </c>
      <c r="J34" s="9">
        <v>0</v>
      </c>
      <c r="K34" s="9">
        <v>650.5</v>
      </c>
      <c r="L34" s="7">
        <v>43832.583333333299</v>
      </c>
      <c r="M34" s="3" t="s">
        <v>61</v>
      </c>
      <c r="N34" s="9">
        <v>658.5</v>
      </c>
      <c r="O34" s="9">
        <v>0</v>
      </c>
      <c r="P34" s="12" t="s">
        <v>24</v>
      </c>
      <c r="Q34" s="9">
        <v>0</v>
      </c>
      <c r="R34" s="11">
        <v>0</v>
      </c>
      <c r="S34" s="10">
        <v>658.5</v>
      </c>
      <c r="T34" s="9">
        <v>0</v>
      </c>
      <c r="U34" s="14">
        <v>1</v>
      </c>
      <c r="V34" s="12" t="s">
        <v>166</v>
      </c>
      <c r="W34" s="9"/>
      <c r="X34" s="9"/>
    </row>
    <row r="35" spans="1:24" x14ac:dyDescent="0.35">
      <c r="A35" s="3">
        <v>31</v>
      </c>
      <c r="B35" s="3" t="s">
        <v>125</v>
      </c>
      <c r="C35" s="8">
        <v>43839.5</v>
      </c>
      <c r="D35" s="8">
        <v>43839.5</v>
      </c>
      <c r="E35" s="12" t="s">
        <v>24</v>
      </c>
      <c r="F35" s="12"/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7">
        <v>43833.583333333299</v>
      </c>
      <c r="M35" s="3" t="s">
        <v>24</v>
      </c>
      <c r="N35" s="9">
        <v>0</v>
      </c>
      <c r="O35" s="9">
        <v>0</v>
      </c>
      <c r="P35" s="12" t="s">
        <v>24</v>
      </c>
      <c r="Q35" s="9">
        <v>0</v>
      </c>
      <c r="R35" s="11">
        <v>0</v>
      </c>
      <c r="S35" s="10">
        <v>0</v>
      </c>
      <c r="T35" s="9">
        <v>0</v>
      </c>
      <c r="U35" s="14">
        <v>1</v>
      </c>
      <c r="V35" s="12" t="s">
        <v>166</v>
      </c>
      <c r="W35" s="9"/>
      <c r="X35" s="9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Blad28"/>
  <dimension ref="A1:G28"/>
  <sheetViews>
    <sheetView workbookViewId="0"/>
  </sheetViews>
  <sheetFormatPr defaultRowHeight="14.5" x14ac:dyDescent="0.35"/>
  <cols>
    <col min="1" max="1" width="12.7265625" customWidth="1"/>
    <col min="4" max="4" width="8.7265625" customWidth="1"/>
    <col min="7" max="7" width="12.7265625" customWidth="1"/>
  </cols>
  <sheetData>
    <row r="1" spans="1:7" ht="22" x14ac:dyDescent="0.35">
      <c r="A1" s="24" t="s">
        <v>241</v>
      </c>
      <c r="B1" s="24"/>
      <c r="D1" s="24" t="s">
        <v>242</v>
      </c>
      <c r="E1" s="24"/>
      <c r="G1" s="1" t="s">
        <v>243</v>
      </c>
    </row>
    <row r="2" spans="1:7" x14ac:dyDescent="0.35">
      <c r="A2" s="12" t="s">
        <v>244</v>
      </c>
      <c r="B2" s="15" t="s">
        <v>245</v>
      </c>
      <c r="D2" s="12" t="s">
        <v>271</v>
      </c>
      <c r="E2" s="16" t="s">
        <v>255</v>
      </c>
    </row>
    <row r="3" spans="1:7" x14ac:dyDescent="0.35">
      <c r="A3" s="12" t="s">
        <v>246</v>
      </c>
      <c r="B3" s="15" t="s">
        <v>245</v>
      </c>
      <c r="D3" s="12" t="s">
        <v>272</v>
      </c>
      <c r="E3" s="16" t="s">
        <v>255</v>
      </c>
    </row>
    <row r="4" spans="1:7" x14ac:dyDescent="0.35">
      <c r="A4" s="12" t="s">
        <v>247</v>
      </c>
      <c r="B4" s="15" t="s">
        <v>245</v>
      </c>
      <c r="D4" s="12" t="s">
        <v>273</v>
      </c>
      <c r="E4" s="16" t="s">
        <v>255</v>
      </c>
    </row>
    <row r="5" spans="1:7" x14ac:dyDescent="0.35">
      <c r="A5" s="12" t="s">
        <v>248</v>
      </c>
      <c r="B5" s="15" t="s">
        <v>245</v>
      </c>
      <c r="D5" s="12" t="s">
        <v>274</v>
      </c>
      <c r="E5" s="16" t="s">
        <v>255</v>
      </c>
    </row>
    <row r="6" spans="1:7" x14ac:dyDescent="0.35">
      <c r="A6" s="12" t="s">
        <v>249</v>
      </c>
      <c r="B6" s="15" t="s">
        <v>245</v>
      </c>
      <c r="D6" s="12" t="s">
        <v>275</v>
      </c>
      <c r="E6" s="16" t="s">
        <v>255</v>
      </c>
    </row>
    <row r="7" spans="1:7" x14ac:dyDescent="0.35">
      <c r="A7" s="12" t="s">
        <v>250</v>
      </c>
      <c r="B7" s="15" t="s">
        <v>245</v>
      </c>
      <c r="D7" s="12" t="s">
        <v>276</v>
      </c>
      <c r="E7" s="16" t="s">
        <v>255</v>
      </c>
    </row>
    <row r="8" spans="1:7" x14ac:dyDescent="0.35">
      <c r="A8" s="12" t="s">
        <v>251</v>
      </c>
      <c r="B8" s="15" t="s">
        <v>245</v>
      </c>
      <c r="D8" s="12" t="s">
        <v>277</v>
      </c>
      <c r="E8" s="15" t="s">
        <v>245</v>
      </c>
    </row>
    <row r="9" spans="1:7" x14ac:dyDescent="0.35">
      <c r="A9" s="12" t="s">
        <v>252</v>
      </c>
      <c r="B9" s="15" t="s">
        <v>245</v>
      </c>
    </row>
    <row r="10" spans="1:7" x14ac:dyDescent="0.35">
      <c r="A10" s="12" t="s">
        <v>253</v>
      </c>
      <c r="B10" s="15" t="s">
        <v>245</v>
      </c>
    </row>
    <row r="11" spans="1:7" x14ac:dyDescent="0.35">
      <c r="A11" s="12" t="s">
        <v>254</v>
      </c>
      <c r="B11" s="16" t="s">
        <v>255</v>
      </c>
    </row>
    <row r="12" spans="1:7" x14ac:dyDescent="0.35">
      <c r="A12" s="12" t="s">
        <v>256</v>
      </c>
      <c r="B12" s="16" t="s">
        <v>255</v>
      </c>
    </row>
    <row r="13" spans="1:7" x14ac:dyDescent="0.35">
      <c r="A13" s="12" t="s">
        <v>257</v>
      </c>
      <c r="B13" s="16" t="s">
        <v>255</v>
      </c>
    </row>
    <row r="14" spans="1:7" x14ac:dyDescent="0.35">
      <c r="A14" s="12" t="s">
        <v>258</v>
      </c>
      <c r="B14" s="15" t="s">
        <v>245</v>
      </c>
    </row>
    <row r="15" spans="1:7" x14ac:dyDescent="0.35">
      <c r="A15" s="12" t="s">
        <v>259</v>
      </c>
      <c r="B15" s="16" t="s">
        <v>255</v>
      </c>
    </row>
    <row r="16" spans="1:7" x14ac:dyDescent="0.35">
      <c r="A16" s="12" t="s">
        <v>260</v>
      </c>
      <c r="B16" s="16" t="s">
        <v>255</v>
      </c>
    </row>
    <row r="17" spans="1:2" x14ac:dyDescent="0.35">
      <c r="A17" s="12" t="s">
        <v>261</v>
      </c>
      <c r="B17" s="16" t="s">
        <v>255</v>
      </c>
    </row>
    <row r="18" spans="1:2" x14ac:dyDescent="0.35">
      <c r="A18" s="12" t="s">
        <v>262</v>
      </c>
      <c r="B18" s="16" t="s">
        <v>255</v>
      </c>
    </row>
    <row r="19" spans="1:2" x14ac:dyDescent="0.35">
      <c r="A19" s="12" t="s">
        <v>263</v>
      </c>
      <c r="B19" s="15" t="s">
        <v>245</v>
      </c>
    </row>
    <row r="20" spans="1:2" x14ac:dyDescent="0.35">
      <c r="A20" s="12" t="s">
        <v>264</v>
      </c>
      <c r="B20" s="15" t="s">
        <v>245</v>
      </c>
    </row>
    <row r="21" spans="1:2" x14ac:dyDescent="0.35">
      <c r="A21" s="12" t="s">
        <v>265</v>
      </c>
      <c r="B21" s="15" t="s">
        <v>245</v>
      </c>
    </row>
    <row r="22" spans="1:2" x14ac:dyDescent="0.35">
      <c r="A22" s="12" t="s">
        <v>266</v>
      </c>
      <c r="B22" s="15" t="s">
        <v>245</v>
      </c>
    </row>
    <row r="23" spans="1:2" x14ac:dyDescent="0.35">
      <c r="A23" s="12" t="s">
        <v>267</v>
      </c>
      <c r="B23" s="15" t="s">
        <v>245</v>
      </c>
    </row>
    <row r="24" spans="1:2" x14ac:dyDescent="0.35">
      <c r="A24" s="12" t="s">
        <v>268</v>
      </c>
      <c r="B24" s="15" t="s">
        <v>245</v>
      </c>
    </row>
    <row r="25" spans="1:2" x14ac:dyDescent="0.35">
      <c r="A25" s="12" t="s">
        <v>269</v>
      </c>
      <c r="B25" s="15" t="s">
        <v>245</v>
      </c>
    </row>
    <row r="28" spans="1:2" x14ac:dyDescent="0.35">
      <c r="A28" s="17" t="s">
        <v>270</v>
      </c>
    </row>
  </sheetData>
  <mergeCells count="2">
    <mergeCell ref="A1:B1"/>
    <mergeCell ref="D1:E1"/>
  </mergeCells>
  <conditionalFormatting sqref="B2:B25">
    <cfRule type="cellIs" dxfId="3" priority="1" operator="equal">
      <formula>"Yes"</formula>
    </cfRule>
    <cfRule type="cellIs" dxfId="2" priority="2" operator="equal">
      <formula>"No"</formula>
    </cfRule>
  </conditionalFormatting>
  <conditionalFormatting sqref="E2:E8">
    <cfRule type="cellIs" dxfId="1" priority="3" operator="equal">
      <formula>"Yes"</formula>
    </cfRule>
    <cfRule type="cellIs" dxfId="0" priority="4" operator="equal">
      <formula>"No"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Blad29"/>
  <dimension ref="A1:AN25"/>
  <sheetViews>
    <sheetView workbookViewId="0">
      <selection activeCell="E32" sqref="E32"/>
    </sheetView>
  </sheetViews>
  <sheetFormatPr defaultRowHeight="14.5" x14ac:dyDescent="0.35"/>
  <cols>
    <col min="1" max="14" width="15.7265625" customWidth="1"/>
    <col min="15" max="31" width="17.7265625" customWidth="1"/>
  </cols>
  <sheetData>
    <row r="1" spans="1:40" x14ac:dyDescent="0.35">
      <c r="A1" s="24" t="s">
        <v>0</v>
      </c>
      <c r="B1" s="24"/>
      <c r="C1" s="24"/>
      <c r="D1" s="24" t="s">
        <v>278</v>
      </c>
      <c r="E1" s="24"/>
      <c r="F1" s="24"/>
      <c r="G1" s="24"/>
      <c r="H1" s="24" t="s">
        <v>279</v>
      </c>
      <c r="I1" s="24"/>
      <c r="J1" s="24"/>
      <c r="K1" s="24"/>
      <c r="L1" s="24"/>
      <c r="M1" s="24"/>
      <c r="N1" s="24"/>
    </row>
    <row r="2" spans="1:40" ht="30" customHeight="1" x14ac:dyDescent="0.35">
      <c r="A2" s="1" t="s">
        <v>6</v>
      </c>
      <c r="B2" s="1" t="s">
        <v>280</v>
      </c>
      <c r="C2" s="1" t="s">
        <v>281</v>
      </c>
      <c r="D2" s="1" t="s">
        <v>164</v>
      </c>
      <c r="E2" s="1" t="s">
        <v>163</v>
      </c>
      <c r="F2" s="1" t="s">
        <v>282</v>
      </c>
      <c r="G2" s="1" t="s">
        <v>283</v>
      </c>
      <c r="H2" s="1" t="s">
        <v>284</v>
      </c>
      <c r="I2" s="1" t="s">
        <v>285</v>
      </c>
      <c r="J2" s="1" t="s">
        <v>286</v>
      </c>
      <c r="K2" s="1" t="s">
        <v>287</v>
      </c>
      <c r="L2" s="1" t="s">
        <v>288</v>
      </c>
      <c r="M2" s="1" t="s">
        <v>289</v>
      </c>
      <c r="N2" s="1" t="s">
        <v>290</v>
      </c>
      <c r="O2" s="1" t="s">
        <v>291</v>
      </c>
      <c r="P2" s="1" t="s">
        <v>292</v>
      </c>
      <c r="Q2" s="1" t="s">
        <v>293</v>
      </c>
      <c r="R2" s="1" t="s">
        <v>294</v>
      </c>
      <c r="S2" s="1" t="s">
        <v>295</v>
      </c>
      <c r="T2" s="1" t="s">
        <v>295</v>
      </c>
      <c r="U2" s="1" t="s">
        <v>296</v>
      </c>
      <c r="V2" s="1" t="s">
        <v>297</v>
      </c>
      <c r="W2" s="1" t="s">
        <v>298</v>
      </c>
      <c r="X2" s="1" t="s">
        <v>299</v>
      </c>
      <c r="Y2" s="1" t="s">
        <v>300</v>
      </c>
      <c r="Z2" s="1" t="s">
        <v>301</v>
      </c>
      <c r="AA2" s="1" t="s">
        <v>302</v>
      </c>
      <c r="AB2" s="1" t="s">
        <v>303</v>
      </c>
      <c r="AC2" s="1" t="s">
        <v>304</v>
      </c>
      <c r="AD2" s="1" t="s">
        <v>305</v>
      </c>
      <c r="AE2" s="1" t="s">
        <v>306</v>
      </c>
      <c r="AF2" s="1" t="s">
        <v>326</v>
      </c>
      <c r="AG2" s="1" t="s">
        <v>327</v>
      </c>
      <c r="AH2" s="1" t="s">
        <v>328</v>
      </c>
      <c r="AI2" s="1" t="s">
        <v>290</v>
      </c>
      <c r="AJ2" s="1" t="s">
        <v>329</v>
      </c>
      <c r="AK2" s="1" t="s">
        <v>327</v>
      </c>
      <c r="AL2" s="1" t="s">
        <v>330</v>
      </c>
      <c r="AM2" s="1" t="s">
        <v>326</v>
      </c>
      <c r="AN2" s="1" t="s">
        <v>331</v>
      </c>
    </row>
    <row r="3" spans="1:40" x14ac:dyDescent="0.35">
      <c r="A3" s="12" t="s">
        <v>165</v>
      </c>
      <c r="B3" s="8">
        <v>43808.375</v>
      </c>
      <c r="C3" s="8">
        <v>43808.708333333299</v>
      </c>
      <c r="D3" s="9">
        <v>2014</v>
      </c>
      <c r="E3" s="9">
        <v>3966.89999699593</v>
      </c>
      <c r="F3" s="9">
        <v>3944.5</v>
      </c>
      <c r="G3" s="8">
        <v>43813.458333333299</v>
      </c>
      <c r="H3" s="9">
        <v>1952.89999699593</v>
      </c>
      <c r="I3" s="18">
        <v>1.96966236196421</v>
      </c>
      <c r="J3" s="9">
        <v>22.3999969959259</v>
      </c>
      <c r="K3" s="18">
        <v>1.00567879249485</v>
      </c>
      <c r="L3" s="12" t="s">
        <v>307</v>
      </c>
      <c r="M3" s="18">
        <v>5.28571428571429</v>
      </c>
      <c r="N3" s="18">
        <v>0.34922579496272299</v>
      </c>
      <c r="O3" s="8">
        <v>43838.708333333299</v>
      </c>
      <c r="P3" s="8">
        <v>43823.666666666701</v>
      </c>
      <c r="Q3" s="8">
        <v>43823.666666666701</v>
      </c>
      <c r="R3" s="8">
        <v>43838.5</v>
      </c>
      <c r="S3" s="8">
        <v>43823.666666666701</v>
      </c>
      <c r="T3" s="8">
        <v>43823.666666666701</v>
      </c>
      <c r="U3" s="8">
        <v>43834.416666666701</v>
      </c>
      <c r="V3" s="8">
        <v>43813.416666666701</v>
      </c>
      <c r="W3" s="8">
        <v>43813.416666666701</v>
      </c>
      <c r="X3" s="9">
        <v>126932.900051832</v>
      </c>
      <c r="Y3" s="9">
        <v>126238.418266614</v>
      </c>
      <c r="Z3" s="9">
        <v>66385.861741402201</v>
      </c>
      <c r="AA3" s="9">
        <v>27212.575685481799</v>
      </c>
      <c r="AB3" s="9">
        <v>66033.272486193295</v>
      </c>
      <c r="AC3" s="9">
        <v>27081.1872396297</v>
      </c>
      <c r="AD3" s="9">
        <v>106565.20388273901</v>
      </c>
      <c r="AE3" s="9">
        <v>70007.416755846498</v>
      </c>
      <c r="AF3" s="22">
        <f t="shared" ref="AF3:AF25" si="0">M3</f>
        <v>5.28571428571429</v>
      </c>
      <c r="AG3" s="22">
        <f t="shared" ref="AG3" si="1">K3</f>
        <v>1.00567879249485</v>
      </c>
      <c r="AH3" s="22">
        <f t="shared" ref="AH3" si="2">I3</f>
        <v>1.96966236196421</v>
      </c>
      <c r="AI3" s="22">
        <f t="shared" ref="AI3" si="3">N3</f>
        <v>0.34922579496272299</v>
      </c>
      <c r="AJ3" s="23">
        <v>4.25</v>
      </c>
      <c r="AK3" s="19">
        <f t="shared" ref="AK3" si="4">K3</f>
        <v>1.00567879249485</v>
      </c>
      <c r="AL3" s="20">
        <v>1</v>
      </c>
      <c r="AM3" s="21">
        <f>M3</f>
        <v>5.28571428571429</v>
      </c>
      <c r="AN3" s="20">
        <v>1</v>
      </c>
    </row>
    <row r="4" spans="1:40" x14ac:dyDescent="0.35">
      <c r="A4" s="12" t="s">
        <v>172</v>
      </c>
      <c r="B4" s="8">
        <v>43808.708333333299</v>
      </c>
      <c r="C4" s="8">
        <v>43809.708333333299</v>
      </c>
      <c r="D4" s="9">
        <v>2182</v>
      </c>
      <c r="E4" s="9">
        <v>4398.0999979972803</v>
      </c>
      <c r="F4" s="9">
        <v>4336.5</v>
      </c>
      <c r="G4" s="8">
        <v>43813.458333333299</v>
      </c>
      <c r="H4" s="9">
        <v>2216.0999979972798</v>
      </c>
      <c r="I4" s="18">
        <v>2.0156278634268001</v>
      </c>
      <c r="J4" s="9">
        <v>61.5999979972839</v>
      </c>
      <c r="K4" s="18">
        <v>1.01420500357368</v>
      </c>
      <c r="L4" s="12" t="s">
        <v>308</v>
      </c>
      <c r="M4" s="18">
        <v>2.6428571428571401</v>
      </c>
      <c r="N4" s="18">
        <v>0.38924621371401802</v>
      </c>
      <c r="O4" s="8">
        <v>43838.708333333299</v>
      </c>
      <c r="P4" s="8">
        <v>43823.583333333299</v>
      </c>
      <c r="Q4" s="8">
        <v>43823.5</v>
      </c>
      <c r="R4" s="8">
        <v>43837.5</v>
      </c>
      <c r="S4" s="8">
        <v>43823.583333333299</v>
      </c>
      <c r="T4" s="8">
        <v>43823.5</v>
      </c>
      <c r="U4" s="8">
        <v>43836.416666666701</v>
      </c>
      <c r="V4" s="8">
        <v>43819.5</v>
      </c>
      <c r="W4" s="8">
        <v>43819.458333333299</v>
      </c>
      <c r="X4" s="9">
        <v>126893.700050831</v>
      </c>
      <c r="Y4" s="9">
        <v>125177.158071085</v>
      </c>
      <c r="Z4" s="9">
        <v>65139.985739907002</v>
      </c>
      <c r="AA4" s="9">
        <v>50709.494613827897</v>
      </c>
      <c r="AB4" s="9">
        <v>64288.3692233404</v>
      </c>
      <c r="AC4" s="9">
        <v>50059.992243113098</v>
      </c>
      <c r="AD4" s="9">
        <v>105249.017092543</v>
      </c>
      <c r="AE4" s="9">
        <v>95801.504339799794</v>
      </c>
      <c r="AF4" s="22">
        <f t="shared" si="0"/>
        <v>2.6428571428571401</v>
      </c>
      <c r="AG4" s="22">
        <f t="shared" ref="AG4:AG25" si="5">K4</f>
        <v>1.01420500357368</v>
      </c>
      <c r="AH4" s="22">
        <f t="shared" ref="AH4:AH25" si="6">I4</f>
        <v>2.0156278634268001</v>
      </c>
      <c r="AI4" s="22">
        <f t="shared" ref="AI4:AI25" si="7">N4</f>
        <v>0.38924621371401802</v>
      </c>
      <c r="AJ4" s="23">
        <v>3.25</v>
      </c>
      <c r="AK4" s="19">
        <f t="shared" ref="AK4:AK25" si="8">K4</f>
        <v>1.01420500357368</v>
      </c>
      <c r="AL4" s="20">
        <v>1</v>
      </c>
      <c r="AM4" s="21">
        <f t="shared" ref="AM4:AM25" si="9">M4</f>
        <v>2.6428571428571401</v>
      </c>
      <c r="AN4" s="20">
        <v>1</v>
      </c>
    </row>
    <row r="5" spans="1:40" x14ac:dyDescent="0.35">
      <c r="A5" s="12" t="s">
        <v>175</v>
      </c>
      <c r="B5" s="8">
        <v>43809.708333333299</v>
      </c>
      <c r="C5" s="8">
        <v>43810.708333333299</v>
      </c>
      <c r="D5" s="9">
        <v>2350</v>
      </c>
      <c r="E5" s="9">
        <v>12744.0000241995</v>
      </c>
      <c r="F5" s="9">
        <v>12598</v>
      </c>
      <c r="G5" s="8">
        <v>43813.583333333299</v>
      </c>
      <c r="H5" s="9">
        <v>10394.0000241995</v>
      </c>
      <c r="I5" s="18">
        <v>5.4229787337019104</v>
      </c>
      <c r="J5" s="9">
        <v>146.00002419948601</v>
      </c>
      <c r="K5" s="18">
        <v>1.0115891430544099</v>
      </c>
      <c r="L5" s="12" t="s">
        <v>176</v>
      </c>
      <c r="M5" s="18">
        <v>1.8571428571428601</v>
      </c>
      <c r="N5" s="18">
        <v>0.17055165116499399</v>
      </c>
      <c r="O5" s="8">
        <v>43837.416666666701</v>
      </c>
      <c r="P5" s="8">
        <v>43812.708333333299</v>
      </c>
      <c r="Q5" s="8">
        <v>43812.708333333299</v>
      </c>
      <c r="R5" s="8">
        <v>43824.416666666701</v>
      </c>
      <c r="S5" s="8">
        <v>43812.708333333299</v>
      </c>
      <c r="T5" s="8">
        <v>43812.708333333299</v>
      </c>
      <c r="U5" s="8">
        <v>43836.666666666701</v>
      </c>
      <c r="V5" s="8">
        <v>43824.625</v>
      </c>
      <c r="W5" s="8">
        <v>43824.583333333299</v>
      </c>
      <c r="X5" s="9">
        <v>126809.300024629</v>
      </c>
      <c r="Y5" s="9">
        <v>125500.85271328301</v>
      </c>
      <c r="Z5" s="9">
        <v>33658.621041134698</v>
      </c>
      <c r="AA5" s="9">
        <v>74096.392320953906</v>
      </c>
      <c r="AB5" s="9">
        <v>33417.342700282301</v>
      </c>
      <c r="AC5" s="9">
        <v>73391.843768690902</v>
      </c>
      <c r="AD5" s="9">
        <v>72903.869596375895</v>
      </c>
      <c r="AE5" s="9">
        <v>109329.863356003</v>
      </c>
      <c r="AF5" s="22">
        <f t="shared" si="0"/>
        <v>1.8571428571428601</v>
      </c>
      <c r="AG5" s="22">
        <f t="shared" si="5"/>
        <v>1.0115891430544099</v>
      </c>
      <c r="AH5" s="22">
        <f t="shared" si="6"/>
        <v>5.4229787337019104</v>
      </c>
      <c r="AI5" s="22">
        <f t="shared" si="7"/>
        <v>0.17055165116499399</v>
      </c>
      <c r="AJ5" s="23">
        <v>2.5</v>
      </c>
      <c r="AK5" s="19">
        <f t="shared" si="8"/>
        <v>1.0115891430544099</v>
      </c>
      <c r="AL5" s="20">
        <v>1</v>
      </c>
      <c r="AM5" s="21">
        <f t="shared" si="9"/>
        <v>1.8571428571428601</v>
      </c>
      <c r="AN5" s="20">
        <v>1</v>
      </c>
    </row>
    <row r="6" spans="1:40" x14ac:dyDescent="0.35">
      <c r="A6" s="12" t="s">
        <v>179</v>
      </c>
      <c r="B6" s="8">
        <v>43810.708333333299</v>
      </c>
      <c r="C6" s="8">
        <v>43811.708333333299</v>
      </c>
      <c r="D6" s="9">
        <v>2518</v>
      </c>
      <c r="E6" s="9">
        <v>42401.3999986649</v>
      </c>
      <c r="F6" s="9">
        <v>42147</v>
      </c>
      <c r="G6" s="8">
        <v>43824.458333333299</v>
      </c>
      <c r="H6" s="9">
        <v>39883.3999986649</v>
      </c>
      <c r="I6" s="18">
        <v>16.839316917658799</v>
      </c>
      <c r="J6" s="9">
        <v>254.39999866485601</v>
      </c>
      <c r="K6" s="18">
        <v>1.00603601676667</v>
      </c>
      <c r="L6" s="12" t="s">
        <v>47</v>
      </c>
      <c r="M6" s="18">
        <v>3.5714285714285698</v>
      </c>
      <c r="N6" s="18">
        <v>0.65403907299406605</v>
      </c>
      <c r="O6" s="8">
        <v>43829.666666666701</v>
      </c>
      <c r="P6" s="8">
        <v>43809.583333333299</v>
      </c>
      <c r="Q6" s="8">
        <v>43809.583333333299</v>
      </c>
      <c r="R6" s="8">
        <v>43806.708333333299</v>
      </c>
      <c r="S6" s="8">
        <v>43809.583333333299</v>
      </c>
      <c r="T6" s="8">
        <v>43809.625</v>
      </c>
      <c r="U6" s="8">
        <v>43827.416666666701</v>
      </c>
      <c r="V6" s="8">
        <v>43816.625</v>
      </c>
      <c r="W6" s="8">
        <v>43816.625</v>
      </c>
      <c r="X6" s="9">
        <v>126700.90005016301</v>
      </c>
      <c r="Y6" s="9">
        <v>126193.59340319999</v>
      </c>
      <c r="Z6" s="9">
        <v>47168.219118543602</v>
      </c>
      <c r="AA6" s="9">
        <v>65822.092014045702</v>
      </c>
      <c r="AB6" s="9">
        <v>47138.092798726502</v>
      </c>
      <c r="AC6" s="9">
        <v>65680.046152896</v>
      </c>
      <c r="AD6" s="9">
        <v>62410.632220959596</v>
      </c>
      <c r="AE6" s="9">
        <v>97806.990414438405</v>
      </c>
      <c r="AF6" s="22">
        <f t="shared" si="0"/>
        <v>3.5714285714285698</v>
      </c>
      <c r="AG6" s="22">
        <f t="shared" si="5"/>
        <v>1.00603601676667</v>
      </c>
      <c r="AH6" s="22">
        <f t="shared" si="6"/>
        <v>16.839316917658799</v>
      </c>
      <c r="AI6" s="22">
        <f t="shared" si="7"/>
        <v>0.65403907299406605</v>
      </c>
      <c r="AJ6" s="23">
        <v>10.25</v>
      </c>
      <c r="AK6" s="19">
        <f t="shared" si="8"/>
        <v>1.00603601676667</v>
      </c>
      <c r="AL6" s="20">
        <v>1</v>
      </c>
      <c r="AM6" s="21">
        <f t="shared" si="9"/>
        <v>3.5714285714285698</v>
      </c>
      <c r="AN6" s="20">
        <v>1</v>
      </c>
    </row>
    <row r="7" spans="1:40" x14ac:dyDescent="0.35">
      <c r="A7" s="12" t="s">
        <v>184</v>
      </c>
      <c r="B7" s="8">
        <v>43811.708333333299</v>
      </c>
      <c r="C7" s="8">
        <v>43812.708333333299</v>
      </c>
      <c r="D7" s="9">
        <v>2686</v>
      </c>
      <c r="E7" s="9">
        <v>57100.999994158701</v>
      </c>
      <c r="F7" s="9">
        <v>56665</v>
      </c>
      <c r="G7" s="8">
        <v>43824.458333333299</v>
      </c>
      <c r="H7" s="9">
        <v>54414.999994158701</v>
      </c>
      <c r="I7" s="18">
        <v>21.2587490670732</v>
      </c>
      <c r="J7" s="9">
        <v>435.99999415874498</v>
      </c>
      <c r="K7" s="18">
        <v>1.00769434384821</v>
      </c>
      <c r="L7" s="12" t="s">
        <v>309</v>
      </c>
      <c r="M7" s="18">
        <v>2.8571428571428599</v>
      </c>
      <c r="N7" s="18">
        <v>0.85507455824054401</v>
      </c>
      <c r="O7" s="8">
        <v>43825.625</v>
      </c>
      <c r="P7" s="8">
        <v>43809.458333333299</v>
      </c>
      <c r="Q7" s="8">
        <v>43809.458333333299</v>
      </c>
      <c r="R7" s="8">
        <v>43806.708333333299</v>
      </c>
      <c r="S7" s="8">
        <v>43809.458333333299</v>
      </c>
      <c r="T7" s="8">
        <v>43809.458333333299</v>
      </c>
      <c r="U7" s="8">
        <v>43829.416666666701</v>
      </c>
      <c r="V7" s="8">
        <v>43818.583333333299</v>
      </c>
      <c r="W7" s="8">
        <v>43818.583333333299</v>
      </c>
      <c r="X7" s="9">
        <v>126519.300054669</v>
      </c>
      <c r="Y7" s="9">
        <v>125985.921052219</v>
      </c>
      <c r="Z7" s="9">
        <v>59950.908302237003</v>
      </c>
      <c r="AA7" s="9">
        <v>81114.005019134303</v>
      </c>
      <c r="AB7" s="9">
        <v>59925.818443903001</v>
      </c>
      <c r="AC7" s="9">
        <v>80927.322368276698</v>
      </c>
      <c r="AD7" s="9">
        <v>70475.915007362506</v>
      </c>
      <c r="AE7" s="9">
        <v>107372.83175210599</v>
      </c>
      <c r="AF7" s="22">
        <f t="shared" si="0"/>
        <v>2.8571428571428599</v>
      </c>
      <c r="AG7" s="22">
        <f t="shared" si="5"/>
        <v>1.00769434384821</v>
      </c>
      <c r="AH7" s="22">
        <f t="shared" si="6"/>
        <v>21.2587490670732</v>
      </c>
      <c r="AI7" s="22">
        <f t="shared" si="7"/>
        <v>0.85507455824054401</v>
      </c>
      <c r="AJ7" s="23">
        <v>9.25</v>
      </c>
      <c r="AK7" s="19">
        <f t="shared" si="8"/>
        <v>1.00769434384821</v>
      </c>
      <c r="AL7" s="20">
        <v>1</v>
      </c>
      <c r="AM7" s="21">
        <f t="shared" si="9"/>
        <v>2.8571428571428599</v>
      </c>
      <c r="AN7" s="20">
        <v>1</v>
      </c>
    </row>
    <row r="8" spans="1:40" x14ac:dyDescent="0.35">
      <c r="A8" s="12" t="s">
        <v>186</v>
      </c>
      <c r="B8" s="8">
        <v>43812.708333333299</v>
      </c>
      <c r="C8" s="8">
        <v>43813.708333333299</v>
      </c>
      <c r="D8" s="9">
        <v>14960</v>
      </c>
      <c r="E8" s="9">
        <v>61320.5454597473</v>
      </c>
      <c r="F8" s="9">
        <v>60802</v>
      </c>
      <c r="G8" s="8">
        <v>43826.458333333299</v>
      </c>
      <c r="H8" s="9">
        <v>46360.5454597473</v>
      </c>
      <c r="I8" s="18">
        <v>4.0989669424964799</v>
      </c>
      <c r="J8" s="9">
        <v>518.545459747314</v>
      </c>
      <c r="K8" s="18">
        <v>1.00852842767914</v>
      </c>
      <c r="L8" s="12" t="s">
        <v>47</v>
      </c>
      <c r="M8" s="18">
        <v>2.71428571428571</v>
      </c>
      <c r="N8" s="18">
        <v>0.91037939608768903</v>
      </c>
      <c r="O8" s="8">
        <v>43827.5</v>
      </c>
      <c r="P8" s="8">
        <v>43815.625</v>
      </c>
      <c r="Q8" s="8">
        <v>43815.583333333299</v>
      </c>
      <c r="R8" s="8">
        <v>43817.666666666701</v>
      </c>
      <c r="S8" s="8">
        <v>43815.625</v>
      </c>
      <c r="T8" s="8">
        <v>43815.625</v>
      </c>
      <c r="U8" s="8">
        <v>43827.416666666701</v>
      </c>
      <c r="V8" s="8">
        <v>43819.416666666701</v>
      </c>
      <c r="W8" s="8">
        <v>43818.708333333299</v>
      </c>
      <c r="X8" s="9">
        <v>126436.754589081</v>
      </c>
      <c r="Y8" s="9">
        <v>125881.72684530199</v>
      </c>
      <c r="Z8" s="9">
        <v>76814.511325379397</v>
      </c>
      <c r="AA8" s="9">
        <v>84983.225374924499</v>
      </c>
      <c r="AB8" s="9">
        <v>76679.104587153706</v>
      </c>
      <c r="AC8" s="9">
        <v>84778.741469321903</v>
      </c>
      <c r="AD8" s="9">
        <v>101152.487956339</v>
      </c>
      <c r="AE8" s="9">
        <v>109431.86795499201</v>
      </c>
      <c r="AF8" s="22">
        <f t="shared" si="0"/>
        <v>2.71428571428571</v>
      </c>
      <c r="AG8" s="22">
        <f t="shared" si="5"/>
        <v>1.00852842767914</v>
      </c>
      <c r="AH8" s="22">
        <f t="shared" si="6"/>
        <v>4.0989669424964799</v>
      </c>
      <c r="AI8" s="22">
        <f t="shared" si="7"/>
        <v>0.91037939608768903</v>
      </c>
      <c r="AJ8" s="23">
        <v>10.25</v>
      </c>
      <c r="AK8" s="19">
        <f t="shared" si="8"/>
        <v>1.00852842767914</v>
      </c>
      <c r="AL8" s="20">
        <v>1</v>
      </c>
      <c r="AM8" s="21">
        <f t="shared" si="9"/>
        <v>2.71428571428571</v>
      </c>
      <c r="AN8" s="20">
        <v>1</v>
      </c>
    </row>
    <row r="9" spans="1:40" x14ac:dyDescent="0.35">
      <c r="A9" s="12" t="s">
        <v>188</v>
      </c>
      <c r="B9" s="8">
        <v>43813.708333333299</v>
      </c>
      <c r="C9" s="8">
        <v>43815.708333333299</v>
      </c>
      <c r="D9" s="9">
        <v>17322.5</v>
      </c>
      <c r="E9" s="9">
        <v>63680.500016450897</v>
      </c>
      <c r="F9" s="9">
        <v>63164.5</v>
      </c>
      <c r="G9" s="8">
        <v>43829.625</v>
      </c>
      <c r="H9" s="9">
        <v>46358.000016450897</v>
      </c>
      <c r="I9" s="18">
        <v>3.6761726088296101</v>
      </c>
      <c r="J9" s="9">
        <v>516.00001645088196</v>
      </c>
      <c r="K9" s="18">
        <v>1.0081691459039599</v>
      </c>
      <c r="L9" s="12" t="s">
        <v>310</v>
      </c>
      <c r="M9" s="18">
        <v>2.6734693877550999</v>
      </c>
      <c r="N9" s="18">
        <v>0.86770126081612797</v>
      </c>
      <c r="O9" s="8">
        <v>43827.5</v>
      </c>
      <c r="P9" s="8">
        <v>43816.5</v>
      </c>
      <c r="Q9" s="8">
        <v>43816.5</v>
      </c>
      <c r="R9" s="8">
        <v>43817.625</v>
      </c>
      <c r="S9" s="8">
        <v>43816.5</v>
      </c>
      <c r="T9" s="8">
        <v>43816.5</v>
      </c>
      <c r="U9" s="8">
        <v>43825.625</v>
      </c>
      <c r="V9" s="8">
        <v>43819.458333333299</v>
      </c>
      <c r="W9" s="8">
        <v>43819.458333333299</v>
      </c>
      <c r="X9" s="9">
        <v>126439.300032377</v>
      </c>
      <c r="Y9" s="9">
        <v>125926.587383306</v>
      </c>
      <c r="Z9" s="9">
        <v>80376.640659663506</v>
      </c>
      <c r="AA9" s="9">
        <v>86832.1732945533</v>
      </c>
      <c r="AB9" s="9">
        <v>80237.171515086302</v>
      </c>
      <c r="AC9" s="9">
        <v>86640.395280778495</v>
      </c>
      <c r="AD9" s="9">
        <v>104204.86702027199</v>
      </c>
      <c r="AE9" s="9">
        <v>110341.22438275399</v>
      </c>
      <c r="AF9" s="22">
        <f t="shared" si="0"/>
        <v>2.6734693877550999</v>
      </c>
      <c r="AG9" s="22">
        <f t="shared" si="5"/>
        <v>1.0081691459039599</v>
      </c>
      <c r="AH9" s="22">
        <f t="shared" si="6"/>
        <v>3.6761726088296101</v>
      </c>
      <c r="AI9" s="22">
        <f t="shared" si="7"/>
        <v>0.86770126081612797</v>
      </c>
      <c r="AJ9" s="23">
        <v>11.625</v>
      </c>
      <c r="AK9" s="19">
        <f t="shared" si="8"/>
        <v>1.0081691459039599</v>
      </c>
      <c r="AL9" s="20">
        <v>1</v>
      </c>
      <c r="AM9" s="21">
        <f t="shared" si="9"/>
        <v>2.6734693877550999</v>
      </c>
      <c r="AN9" s="20">
        <v>1</v>
      </c>
    </row>
    <row r="10" spans="1:40" x14ac:dyDescent="0.35">
      <c r="A10" s="12" t="s">
        <v>192</v>
      </c>
      <c r="B10" s="8">
        <v>43815.708333333299</v>
      </c>
      <c r="C10" s="8">
        <v>43816.708333333299</v>
      </c>
      <c r="D10" s="9">
        <v>20881</v>
      </c>
      <c r="E10" s="9">
        <v>64069.954566001899</v>
      </c>
      <c r="F10" s="9">
        <v>63556.5</v>
      </c>
      <c r="G10" s="8">
        <v>43829.625</v>
      </c>
      <c r="H10" s="9">
        <v>43188.954566001899</v>
      </c>
      <c r="I10" s="18">
        <v>3.0683374630526301</v>
      </c>
      <c r="J10" s="9">
        <v>513.45456600189198</v>
      </c>
      <c r="K10" s="18">
        <v>1.0080787105331801</v>
      </c>
      <c r="L10" s="12" t="s">
        <v>311</v>
      </c>
      <c r="M10" s="18">
        <v>2.33928571428571</v>
      </c>
      <c r="N10" s="18">
        <v>0.87341330428364905</v>
      </c>
      <c r="O10" s="8">
        <v>43829.416666666701</v>
      </c>
      <c r="P10" s="8">
        <v>43817.708333333299</v>
      </c>
      <c r="Q10" s="8">
        <v>43817.666666666701</v>
      </c>
      <c r="R10" s="8">
        <v>43819.666666666701</v>
      </c>
      <c r="S10" s="8">
        <v>43817.708333333299</v>
      </c>
      <c r="T10" s="8">
        <v>43817.708333333299</v>
      </c>
      <c r="U10" s="8">
        <v>43826.625</v>
      </c>
      <c r="V10" s="8">
        <v>43820.625</v>
      </c>
      <c r="W10" s="8">
        <v>43820.625</v>
      </c>
      <c r="X10" s="9">
        <v>126441.845482826</v>
      </c>
      <c r="Y10" s="9">
        <v>125937.884336116</v>
      </c>
      <c r="Z10" s="9">
        <v>84051.424772799597</v>
      </c>
      <c r="AA10" s="9">
        <v>90438.785091895203</v>
      </c>
      <c r="AB10" s="9">
        <v>83887.179101396498</v>
      </c>
      <c r="AC10" s="9">
        <v>90223.351319255598</v>
      </c>
      <c r="AD10" s="9">
        <v>107837.886258628</v>
      </c>
      <c r="AE10" s="9">
        <v>112904.65430282999</v>
      </c>
      <c r="AF10" s="22">
        <f t="shared" si="0"/>
        <v>2.33928571428571</v>
      </c>
      <c r="AG10" s="22">
        <f t="shared" si="5"/>
        <v>1.0080787105331801</v>
      </c>
      <c r="AH10" s="22">
        <f t="shared" si="6"/>
        <v>3.0683374630526301</v>
      </c>
      <c r="AI10" s="22">
        <f t="shared" si="7"/>
        <v>0.87341330428364905</v>
      </c>
      <c r="AJ10" s="23">
        <v>10.625</v>
      </c>
      <c r="AK10" s="19">
        <f t="shared" si="8"/>
        <v>1.0080787105331801</v>
      </c>
      <c r="AL10" s="20">
        <v>1</v>
      </c>
      <c r="AM10" s="21">
        <f t="shared" si="9"/>
        <v>2.33928571428571</v>
      </c>
      <c r="AN10" s="20">
        <v>1</v>
      </c>
    </row>
    <row r="11" spans="1:40" x14ac:dyDescent="0.35">
      <c r="A11" s="12" t="s">
        <v>196</v>
      </c>
      <c r="B11" s="8">
        <v>43816.708333333299</v>
      </c>
      <c r="C11" s="8">
        <v>43817.708333333299</v>
      </c>
      <c r="D11" s="9">
        <v>21273</v>
      </c>
      <c r="E11" s="9">
        <v>64459.409077644297</v>
      </c>
      <c r="F11" s="9">
        <v>63948.5</v>
      </c>
      <c r="G11" s="8">
        <v>43829.625</v>
      </c>
      <c r="H11" s="9">
        <v>43186.409077644297</v>
      </c>
      <c r="I11" s="18">
        <v>3.0301043142783999</v>
      </c>
      <c r="J11" s="9">
        <v>510.90907764434797</v>
      </c>
      <c r="K11" s="18">
        <v>1.0079893832950599</v>
      </c>
      <c r="L11" s="12" t="s">
        <v>312</v>
      </c>
      <c r="M11" s="18">
        <v>2.07936507936508</v>
      </c>
      <c r="N11" s="18">
        <v>0.87912534719517399</v>
      </c>
      <c r="O11" s="8">
        <v>43829.416666666701</v>
      </c>
      <c r="P11" s="8">
        <v>43817.708333333299</v>
      </c>
      <c r="Q11" s="8">
        <v>43817.708333333299</v>
      </c>
      <c r="R11" s="8">
        <v>43818.416666666701</v>
      </c>
      <c r="S11" s="8">
        <v>43817.708333333299</v>
      </c>
      <c r="T11" s="8">
        <v>43817.708333333299</v>
      </c>
      <c r="U11" s="8">
        <v>43827.625</v>
      </c>
      <c r="V11" s="8">
        <v>43823.416666666701</v>
      </c>
      <c r="W11" s="8">
        <v>43823.416666666701</v>
      </c>
      <c r="X11" s="9">
        <v>126444.390971184</v>
      </c>
      <c r="Y11" s="9">
        <v>125949.044853844</v>
      </c>
      <c r="Z11" s="9">
        <v>84573.496531205805</v>
      </c>
      <c r="AA11" s="9">
        <v>94003.775810569306</v>
      </c>
      <c r="AB11" s="9">
        <v>84410.021592403893</v>
      </c>
      <c r="AC11" s="9">
        <v>93765.555922077503</v>
      </c>
      <c r="AD11" s="9">
        <v>108196.123655175</v>
      </c>
      <c r="AE11" s="9">
        <v>115079.73208623601</v>
      </c>
      <c r="AF11" s="22">
        <f t="shared" si="0"/>
        <v>2.07936507936508</v>
      </c>
      <c r="AG11" s="22">
        <f t="shared" si="5"/>
        <v>1.0079893832950599</v>
      </c>
      <c r="AH11" s="22">
        <f t="shared" si="6"/>
        <v>3.0301043142783999</v>
      </c>
      <c r="AI11" s="22">
        <f t="shared" si="7"/>
        <v>0.87912534719517399</v>
      </c>
      <c r="AJ11" s="23">
        <v>9.625</v>
      </c>
      <c r="AK11" s="19">
        <f t="shared" si="8"/>
        <v>1.0079893832950599</v>
      </c>
      <c r="AL11" s="20">
        <v>1</v>
      </c>
      <c r="AM11" s="21">
        <f t="shared" si="9"/>
        <v>2.07936507936508</v>
      </c>
      <c r="AN11" s="20">
        <v>1</v>
      </c>
    </row>
    <row r="12" spans="1:40" x14ac:dyDescent="0.35">
      <c r="A12" s="12" t="s">
        <v>200</v>
      </c>
      <c r="B12" s="8">
        <v>43817.708333333299</v>
      </c>
      <c r="C12" s="8">
        <v>43818.708333333299</v>
      </c>
      <c r="D12" s="9">
        <v>21665</v>
      </c>
      <c r="E12" s="9">
        <v>64848.8636751175</v>
      </c>
      <c r="F12" s="9">
        <v>64340.5</v>
      </c>
      <c r="G12" s="8">
        <v>43829.625</v>
      </c>
      <c r="H12" s="9">
        <v>43183.8636751175</v>
      </c>
      <c r="I12" s="18">
        <v>2.99325472767678</v>
      </c>
      <c r="J12" s="9">
        <v>508.36367511749302</v>
      </c>
      <c r="K12" s="18">
        <v>1.00790114585863</v>
      </c>
      <c r="L12" s="12" t="s">
        <v>313</v>
      </c>
      <c r="M12" s="18">
        <v>1.8714285714285701</v>
      </c>
      <c r="N12" s="18">
        <v>0.88483739136555795</v>
      </c>
      <c r="O12" s="8">
        <v>43829.416666666701</v>
      </c>
      <c r="P12" s="8">
        <v>43818.416666666701</v>
      </c>
      <c r="Q12" s="8">
        <v>43818.416666666701</v>
      </c>
      <c r="R12" s="8">
        <v>43816.5</v>
      </c>
      <c r="S12" s="8">
        <v>43818.416666666701</v>
      </c>
      <c r="T12" s="8">
        <v>43818.416666666701</v>
      </c>
      <c r="U12" s="8">
        <v>43829.625</v>
      </c>
      <c r="V12" s="8">
        <v>43824.625</v>
      </c>
      <c r="W12" s="8">
        <v>43824.583333333299</v>
      </c>
      <c r="X12" s="9">
        <v>126446.936373711</v>
      </c>
      <c r="Y12" s="9">
        <v>125960.071154274</v>
      </c>
      <c r="Z12" s="9">
        <v>85089.297554531702</v>
      </c>
      <c r="AA12" s="9">
        <v>97527.145390532402</v>
      </c>
      <c r="AB12" s="9">
        <v>84926.643432604003</v>
      </c>
      <c r="AC12" s="9">
        <v>97266.988403047304</v>
      </c>
      <c r="AD12" s="9">
        <v>108545.254588804</v>
      </c>
      <c r="AE12" s="9">
        <v>116946.029008884</v>
      </c>
      <c r="AF12" s="22">
        <f t="shared" si="0"/>
        <v>1.8714285714285701</v>
      </c>
      <c r="AG12" s="22">
        <f t="shared" si="5"/>
        <v>1.00790114585863</v>
      </c>
      <c r="AH12" s="22">
        <f t="shared" si="6"/>
        <v>2.99325472767678</v>
      </c>
      <c r="AI12" s="22">
        <f t="shared" si="7"/>
        <v>0.88483739136555795</v>
      </c>
      <c r="AJ12" s="23">
        <v>8.625</v>
      </c>
      <c r="AK12" s="19">
        <f t="shared" si="8"/>
        <v>1.00790114585863</v>
      </c>
      <c r="AL12" s="20">
        <v>1</v>
      </c>
      <c r="AM12" s="21">
        <f t="shared" si="9"/>
        <v>1.8714285714285701</v>
      </c>
      <c r="AN12" s="20">
        <v>1</v>
      </c>
    </row>
    <row r="13" spans="1:40" x14ac:dyDescent="0.35">
      <c r="A13" s="12" t="s">
        <v>205</v>
      </c>
      <c r="B13" s="8">
        <v>43818.708333333299</v>
      </c>
      <c r="C13" s="8">
        <v>43819.708333333299</v>
      </c>
      <c r="D13" s="9">
        <v>22057</v>
      </c>
      <c r="E13" s="9">
        <v>65238.318120956399</v>
      </c>
      <c r="F13" s="9">
        <v>64732.5</v>
      </c>
      <c r="G13" s="8">
        <v>43829.625</v>
      </c>
      <c r="H13" s="9">
        <v>43181.318120956399</v>
      </c>
      <c r="I13" s="18">
        <v>2.9577149259172302</v>
      </c>
      <c r="J13" s="9">
        <v>505.81812095642101</v>
      </c>
      <c r="K13" s="18">
        <v>1.0078139747569801</v>
      </c>
      <c r="L13" s="12" t="s">
        <v>314</v>
      </c>
      <c r="M13" s="18">
        <v>1.7012987012987</v>
      </c>
      <c r="N13" s="18">
        <v>0.89054943331195702</v>
      </c>
      <c r="O13" s="8">
        <v>43829.416666666701</v>
      </c>
      <c r="P13" s="8">
        <v>43818.458333333299</v>
      </c>
      <c r="Q13" s="8">
        <v>43818.416666666701</v>
      </c>
      <c r="R13" s="8">
        <v>43813.666666666701</v>
      </c>
      <c r="S13" s="8">
        <v>43818.458333333299</v>
      </c>
      <c r="T13" s="8">
        <v>43818.458333333299</v>
      </c>
      <c r="U13" s="8">
        <v>43830.625</v>
      </c>
      <c r="V13" s="8">
        <v>43826.416666666701</v>
      </c>
      <c r="W13" s="8">
        <v>43826.416666666701</v>
      </c>
      <c r="X13" s="9">
        <v>126449.481927872</v>
      </c>
      <c r="Y13" s="9">
        <v>125970.966099613</v>
      </c>
      <c r="Z13" s="9">
        <v>85598.940300608898</v>
      </c>
      <c r="AA13" s="9">
        <v>101008.893957604</v>
      </c>
      <c r="AB13" s="9">
        <v>85437.154651807607</v>
      </c>
      <c r="AC13" s="9">
        <v>100727.62892878</v>
      </c>
      <c r="AD13" s="9">
        <v>108885.62602793401</v>
      </c>
      <c r="AE13" s="9">
        <v>118562.760879116</v>
      </c>
      <c r="AF13" s="22">
        <f t="shared" si="0"/>
        <v>1.7012987012987</v>
      </c>
      <c r="AG13" s="22">
        <f t="shared" si="5"/>
        <v>1.0078139747569801</v>
      </c>
      <c r="AH13" s="22">
        <f t="shared" si="6"/>
        <v>2.9577149259172302</v>
      </c>
      <c r="AI13" s="22">
        <f t="shared" si="7"/>
        <v>0.89054943331195702</v>
      </c>
      <c r="AJ13" s="23">
        <v>7.625</v>
      </c>
      <c r="AK13" s="19">
        <f t="shared" si="8"/>
        <v>1.0078139747569801</v>
      </c>
      <c r="AL13" s="20">
        <v>1</v>
      </c>
      <c r="AM13" s="21">
        <f t="shared" si="9"/>
        <v>1.7012987012987</v>
      </c>
      <c r="AN13" s="20">
        <v>1</v>
      </c>
    </row>
    <row r="14" spans="1:40" x14ac:dyDescent="0.35">
      <c r="A14" s="12" t="s">
        <v>210</v>
      </c>
      <c r="B14" s="8">
        <v>43819.708333333299</v>
      </c>
      <c r="C14" s="8">
        <v>43820.708333333299</v>
      </c>
      <c r="D14" s="9">
        <v>22449</v>
      </c>
      <c r="E14" s="9">
        <v>65627.772718429595</v>
      </c>
      <c r="F14" s="9">
        <v>65124.5</v>
      </c>
      <c r="G14" s="8">
        <v>43829.625</v>
      </c>
      <c r="H14" s="9">
        <v>43178.772718429602</v>
      </c>
      <c r="I14" s="18">
        <v>2.92341630889704</v>
      </c>
      <c r="J14" s="9">
        <v>503.27271842956497</v>
      </c>
      <c r="K14" s="18">
        <v>1.0077278553912801</v>
      </c>
      <c r="L14" s="12" t="s">
        <v>315</v>
      </c>
      <c r="M14" s="18">
        <v>1.55952380952381</v>
      </c>
      <c r="N14" s="18">
        <v>0.89626147748234197</v>
      </c>
      <c r="O14" s="8">
        <v>43829.416666666701</v>
      </c>
      <c r="P14" s="8">
        <v>43818.5</v>
      </c>
      <c r="Q14" s="8">
        <v>43818.458333333299</v>
      </c>
      <c r="R14" s="8">
        <v>43812.458333333299</v>
      </c>
      <c r="S14" s="8">
        <v>43818.5</v>
      </c>
      <c r="T14" s="8">
        <v>43818.5</v>
      </c>
      <c r="U14" s="8">
        <v>43831.625</v>
      </c>
      <c r="V14" s="8">
        <v>43827.583333333299</v>
      </c>
      <c r="W14" s="8">
        <v>43827.583333333299</v>
      </c>
      <c r="X14" s="9">
        <v>126452.027330399</v>
      </c>
      <c r="Y14" s="9">
        <v>125981.73144626799</v>
      </c>
      <c r="Z14" s="9">
        <v>86102.534207360804</v>
      </c>
      <c r="AA14" s="9">
        <v>104449.02134163</v>
      </c>
      <c r="AB14" s="9">
        <v>85941.662188312694</v>
      </c>
      <c r="AC14" s="9">
        <v>104147.457568599</v>
      </c>
      <c r="AD14" s="9">
        <v>109217.566725749</v>
      </c>
      <c r="AE14" s="9">
        <v>119974.90501797599</v>
      </c>
      <c r="AF14" s="22">
        <f t="shared" si="0"/>
        <v>1.55952380952381</v>
      </c>
      <c r="AG14" s="22">
        <f t="shared" si="5"/>
        <v>1.0077278553912801</v>
      </c>
      <c r="AH14" s="22">
        <f t="shared" si="6"/>
        <v>2.92341630889704</v>
      </c>
      <c r="AI14" s="22">
        <f t="shared" si="7"/>
        <v>0.89626147748234197</v>
      </c>
      <c r="AJ14" s="23">
        <v>6.625</v>
      </c>
      <c r="AK14" s="19">
        <f t="shared" si="8"/>
        <v>1.0077278553912801</v>
      </c>
      <c r="AL14" s="20">
        <v>1</v>
      </c>
      <c r="AM14" s="21">
        <f t="shared" si="9"/>
        <v>1.55952380952381</v>
      </c>
      <c r="AN14" s="20">
        <v>1</v>
      </c>
    </row>
    <row r="15" spans="1:40" x14ac:dyDescent="0.35">
      <c r="A15" s="12" t="s">
        <v>215</v>
      </c>
      <c r="B15" s="8">
        <v>43820.708333333299</v>
      </c>
      <c r="C15" s="8">
        <v>43822.708333333299</v>
      </c>
      <c r="D15" s="9">
        <v>26167.5</v>
      </c>
      <c r="E15" s="9">
        <v>66017.227315902695</v>
      </c>
      <c r="F15" s="9">
        <v>65516.5</v>
      </c>
      <c r="G15" s="8">
        <v>43829.625</v>
      </c>
      <c r="H15" s="9">
        <v>39849.727315902703</v>
      </c>
      <c r="I15" s="18">
        <v>2.5228710161804799</v>
      </c>
      <c r="J15" s="9">
        <v>500.72731590271002</v>
      </c>
      <c r="K15" s="18">
        <v>1.0076427665687699</v>
      </c>
      <c r="L15" s="12" t="s">
        <v>316</v>
      </c>
      <c r="M15" s="18">
        <v>1.43956043956044</v>
      </c>
      <c r="N15" s="18">
        <v>0.90197352165272604</v>
      </c>
      <c r="O15" s="8">
        <v>43829.666666666701</v>
      </c>
      <c r="P15" s="8">
        <v>43819.666666666701</v>
      </c>
      <c r="Q15" s="8">
        <v>43819.666666666701</v>
      </c>
      <c r="R15" s="8">
        <v>43816.583333333299</v>
      </c>
      <c r="S15" s="8">
        <v>43819.666666666701</v>
      </c>
      <c r="T15" s="8">
        <v>43819.666666666701</v>
      </c>
      <c r="U15" s="8">
        <v>43832.625</v>
      </c>
      <c r="V15" s="8">
        <v>43829.708333333299</v>
      </c>
      <c r="W15" s="8">
        <v>43829.708333333299</v>
      </c>
      <c r="X15" s="9">
        <v>126454.57273292499</v>
      </c>
      <c r="Y15" s="9">
        <v>125992.369777175</v>
      </c>
      <c r="Z15" s="9">
        <v>89670.756139968304</v>
      </c>
      <c r="AA15" s="9">
        <v>107847.527623635</v>
      </c>
      <c r="AB15" s="9">
        <v>89487.5509928221</v>
      </c>
      <c r="AC15" s="9">
        <v>107526.455341397</v>
      </c>
      <c r="AD15" s="9">
        <v>112009.6801992</v>
      </c>
      <c r="AE15" s="9">
        <v>121217.23833500801</v>
      </c>
      <c r="AF15" s="22">
        <f t="shared" si="0"/>
        <v>1.43956043956044</v>
      </c>
      <c r="AG15" s="22">
        <f t="shared" si="5"/>
        <v>1.0076427665687699</v>
      </c>
      <c r="AH15" s="22">
        <f t="shared" si="6"/>
        <v>2.5228710161804799</v>
      </c>
      <c r="AI15" s="22">
        <f t="shared" si="7"/>
        <v>0.90197352165272604</v>
      </c>
      <c r="AJ15" s="23">
        <v>5.625</v>
      </c>
      <c r="AK15" s="19">
        <f t="shared" si="8"/>
        <v>1.0076427665687699</v>
      </c>
      <c r="AL15" s="20">
        <v>1</v>
      </c>
      <c r="AM15" s="21">
        <f t="shared" si="9"/>
        <v>1.43956043956044</v>
      </c>
      <c r="AN15" s="20">
        <v>1</v>
      </c>
    </row>
    <row r="16" spans="1:40" x14ac:dyDescent="0.35">
      <c r="A16" s="12" t="s">
        <v>219</v>
      </c>
      <c r="B16" s="8">
        <v>43822.708333333299</v>
      </c>
      <c r="C16" s="8">
        <v>43823.708333333299</v>
      </c>
      <c r="D16" s="9">
        <v>30114.5</v>
      </c>
      <c r="E16" s="9">
        <v>66406.681913375898</v>
      </c>
      <c r="F16" s="9">
        <v>65908.5</v>
      </c>
      <c r="G16" s="8">
        <v>43829.625</v>
      </c>
      <c r="H16" s="9">
        <v>36292.181913375898</v>
      </c>
      <c r="I16" s="18">
        <v>2.2051397802844401</v>
      </c>
      <c r="J16" s="9">
        <v>498.18191337585398</v>
      </c>
      <c r="K16" s="18">
        <v>1.0075586899015401</v>
      </c>
      <c r="L16" s="12" t="s">
        <v>317</v>
      </c>
      <c r="M16" s="18">
        <v>1.33673469387755</v>
      </c>
      <c r="N16" s="18">
        <v>0.907685565823111</v>
      </c>
      <c r="O16" s="8">
        <v>43830.583333333299</v>
      </c>
      <c r="P16" s="8">
        <v>43822.5</v>
      </c>
      <c r="Q16" s="8">
        <v>43822.458333333299</v>
      </c>
      <c r="R16" s="8">
        <v>43819.583333333299</v>
      </c>
      <c r="S16" s="8">
        <v>43822.5</v>
      </c>
      <c r="T16" s="8">
        <v>43822.5</v>
      </c>
      <c r="U16" s="8">
        <v>43833.625</v>
      </c>
      <c r="V16" s="8">
        <v>43831.583333333299</v>
      </c>
      <c r="W16" s="8">
        <v>43831.5</v>
      </c>
      <c r="X16" s="9">
        <v>126457.11813545199</v>
      </c>
      <c r="Y16" s="9">
        <v>126002.883327059</v>
      </c>
      <c r="Z16" s="9">
        <v>93366.450138490603</v>
      </c>
      <c r="AA16" s="9">
        <v>111204.412803621</v>
      </c>
      <c r="AB16" s="9">
        <v>93160.461015962006</v>
      </c>
      <c r="AC16" s="9">
        <v>110864.603557647</v>
      </c>
      <c r="AD16" s="9">
        <v>114461.01095831901</v>
      </c>
      <c r="AE16" s="9">
        <v>122317.073460531</v>
      </c>
      <c r="AF16" s="22">
        <f t="shared" si="0"/>
        <v>1.33673469387755</v>
      </c>
      <c r="AG16" s="22">
        <f t="shared" si="5"/>
        <v>1.0075586899015401</v>
      </c>
      <c r="AH16" s="22">
        <f t="shared" si="6"/>
        <v>2.2051397802844401</v>
      </c>
      <c r="AI16" s="22">
        <f t="shared" si="7"/>
        <v>0.907685565823111</v>
      </c>
      <c r="AJ16" s="23">
        <v>4.625</v>
      </c>
      <c r="AK16" s="19">
        <f t="shared" si="8"/>
        <v>1.0075586899015401</v>
      </c>
      <c r="AL16" s="20">
        <v>1</v>
      </c>
      <c r="AM16" s="21">
        <f t="shared" si="9"/>
        <v>1.33673469387755</v>
      </c>
      <c r="AN16" s="20">
        <v>1</v>
      </c>
    </row>
    <row r="17" spans="1:40" x14ac:dyDescent="0.35">
      <c r="A17" s="12" t="s">
        <v>222</v>
      </c>
      <c r="B17" s="8">
        <v>43823.708333333299</v>
      </c>
      <c r="C17" s="8">
        <v>43824.708333333299</v>
      </c>
      <c r="D17" s="9">
        <v>59053</v>
      </c>
      <c r="E17" s="9">
        <v>69161.388889431997</v>
      </c>
      <c r="F17" s="9">
        <v>68662.5</v>
      </c>
      <c r="G17" s="8">
        <v>43830.625</v>
      </c>
      <c r="H17" s="9">
        <v>10108.388889432001</v>
      </c>
      <c r="I17" s="18">
        <v>1.17117485799929</v>
      </c>
      <c r="J17" s="9">
        <v>498.88888943195298</v>
      </c>
      <c r="K17" s="18">
        <v>1.00726581306291</v>
      </c>
      <c r="L17" s="12" t="s">
        <v>317</v>
      </c>
      <c r="M17" s="18">
        <v>1.3142857142857101</v>
      </c>
      <c r="N17" s="18">
        <v>0.88143472759673203</v>
      </c>
      <c r="O17" s="8">
        <v>43837.458333333299</v>
      </c>
      <c r="P17" s="8">
        <v>43834.5</v>
      </c>
      <c r="Q17" s="8">
        <v>43834.458333333299</v>
      </c>
      <c r="R17" s="8">
        <v>43836.666666666701</v>
      </c>
      <c r="S17" s="8">
        <v>43834.5</v>
      </c>
      <c r="T17" s="8">
        <v>43834.5</v>
      </c>
      <c r="U17" s="8">
        <v>43833.625</v>
      </c>
      <c r="V17" s="8">
        <v>43831.666666666701</v>
      </c>
      <c r="W17" s="8">
        <v>43831.666666666701</v>
      </c>
      <c r="X17" s="9">
        <v>126456.411159396</v>
      </c>
      <c r="Y17" s="9">
        <v>126039.520454666</v>
      </c>
      <c r="Z17" s="9">
        <v>118009.453415757</v>
      </c>
      <c r="AA17" s="9">
        <v>112636.12805606201</v>
      </c>
      <c r="AB17" s="9">
        <v>117653.494011503</v>
      </c>
      <c r="AC17" s="9">
        <v>112318.92860681099</v>
      </c>
      <c r="AD17" s="9">
        <v>124231.023915732</v>
      </c>
      <c r="AE17" s="9">
        <v>122742.73275414899</v>
      </c>
      <c r="AF17" s="22">
        <f t="shared" si="0"/>
        <v>1.3142857142857101</v>
      </c>
      <c r="AG17" s="22">
        <f t="shared" si="5"/>
        <v>1.00726581306291</v>
      </c>
      <c r="AH17" s="22">
        <f t="shared" si="6"/>
        <v>1.17117485799929</v>
      </c>
      <c r="AI17" s="22">
        <f t="shared" si="7"/>
        <v>0.88143472759673203</v>
      </c>
      <c r="AJ17" s="23">
        <v>4.625</v>
      </c>
      <c r="AK17" s="19">
        <f t="shared" si="8"/>
        <v>1.00726581306291</v>
      </c>
      <c r="AL17" s="20">
        <v>1</v>
      </c>
      <c r="AM17" s="21">
        <f t="shared" si="9"/>
        <v>1.3142857142857101</v>
      </c>
      <c r="AN17" s="20">
        <v>1</v>
      </c>
    </row>
    <row r="18" spans="1:40" x14ac:dyDescent="0.35">
      <c r="A18" s="12" t="s">
        <v>225</v>
      </c>
      <c r="B18" s="8">
        <v>43824.708333333299</v>
      </c>
      <c r="C18" s="8">
        <v>43825.708333333299</v>
      </c>
      <c r="D18" s="9">
        <v>59991.5</v>
      </c>
      <c r="E18" s="9">
        <v>70090.3333348632</v>
      </c>
      <c r="F18" s="9">
        <v>69657</v>
      </c>
      <c r="G18" s="8">
        <v>43830.625</v>
      </c>
      <c r="H18" s="9">
        <v>10098.8333348632</v>
      </c>
      <c r="I18" s="18">
        <v>1.16833773676043</v>
      </c>
      <c r="J18" s="9">
        <v>433.333334863186</v>
      </c>
      <c r="K18" s="18">
        <v>1.0062209589110001</v>
      </c>
      <c r="L18" s="12" t="s">
        <v>318</v>
      </c>
      <c r="M18" s="18">
        <v>1.2321428571428601</v>
      </c>
      <c r="N18" s="18">
        <v>0.89148363694013</v>
      </c>
      <c r="O18" s="8">
        <v>43837.458333333299</v>
      </c>
      <c r="P18" s="8">
        <v>43834.5</v>
      </c>
      <c r="Q18" s="8">
        <v>43834.458333333299</v>
      </c>
      <c r="R18" s="8">
        <v>43836.625</v>
      </c>
      <c r="S18" s="8">
        <v>43834.5</v>
      </c>
      <c r="T18" s="8">
        <v>43834.5</v>
      </c>
      <c r="U18" s="8">
        <v>43834.625</v>
      </c>
      <c r="V18" s="8">
        <v>43833.458333333299</v>
      </c>
      <c r="W18" s="8">
        <v>43833.458333333299</v>
      </c>
      <c r="X18" s="9">
        <v>126521.966713965</v>
      </c>
      <c r="Y18" s="9">
        <v>126170.39917974699</v>
      </c>
      <c r="Z18" s="9">
        <v>118328.685356702</v>
      </c>
      <c r="AA18" s="9">
        <v>115808.277333073</v>
      </c>
      <c r="AB18" s="9">
        <v>118027.77276682699</v>
      </c>
      <c r="AC18" s="9">
        <v>115522.94716037399</v>
      </c>
      <c r="AD18" s="9">
        <v>124406.22061493801</v>
      </c>
      <c r="AE18" s="9">
        <v>123741.72320674099</v>
      </c>
      <c r="AF18" s="22">
        <f t="shared" si="0"/>
        <v>1.2321428571428601</v>
      </c>
      <c r="AG18" s="22">
        <f t="shared" si="5"/>
        <v>1.0062209589110001</v>
      </c>
      <c r="AH18" s="22">
        <f t="shared" si="6"/>
        <v>1.16833773676043</v>
      </c>
      <c r="AI18" s="22">
        <f t="shared" si="7"/>
        <v>0.89148363694013</v>
      </c>
      <c r="AJ18" s="23">
        <v>3.625</v>
      </c>
      <c r="AK18" s="19">
        <f t="shared" si="8"/>
        <v>1.0062209589110001</v>
      </c>
      <c r="AL18" s="20">
        <v>1</v>
      </c>
      <c r="AM18" s="21">
        <f t="shared" si="9"/>
        <v>1.2321428571428601</v>
      </c>
      <c r="AN18" s="20">
        <v>1</v>
      </c>
    </row>
    <row r="19" spans="1:40" x14ac:dyDescent="0.35">
      <c r="A19" s="12" t="s">
        <v>227</v>
      </c>
      <c r="B19" s="8">
        <v>43825.708333333299</v>
      </c>
      <c r="C19" s="8">
        <v>43826.708333333299</v>
      </c>
      <c r="D19" s="9">
        <v>61905</v>
      </c>
      <c r="E19" s="9">
        <v>72915.277778148695</v>
      </c>
      <c r="F19" s="9">
        <v>72285.5</v>
      </c>
      <c r="G19" s="8">
        <v>43830.625</v>
      </c>
      <c r="H19" s="9">
        <v>11010.2777781487</v>
      </c>
      <c r="I19" s="18">
        <v>1.1778576492714401</v>
      </c>
      <c r="J19" s="9">
        <v>629.77777814865101</v>
      </c>
      <c r="K19" s="18">
        <v>1.0087123666316</v>
      </c>
      <c r="L19" s="12" t="s">
        <v>319</v>
      </c>
      <c r="M19" s="18">
        <v>1.1596638655462199</v>
      </c>
      <c r="N19" s="18">
        <v>0.892240175930202</v>
      </c>
      <c r="O19" s="8">
        <v>43836.708333333299</v>
      </c>
      <c r="P19" s="8">
        <v>43834.458333333299</v>
      </c>
      <c r="Q19" s="8">
        <v>43834.416666666701</v>
      </c>
      <c r="R19" s="8">
        <v>43836.5</v>
      </c>
      <c r="S19" s="8">
        <v>43834.458333333299</v>
      </c>
      <c r="T19" s="8">
        <v>43834.458333333299</v>
      </c>
      <c r="U19" s="8">
        <v>43836.625</v>
      </c>
      <c r="V19" s="8">
        <v>43834.625</v>
      </c>
      <c r="W19" s="8">
        <v>43834.583333333299</v>
      </c>
      <c r="X19" s="9">
        <v>126325.52227067899</v>
      </c>
      <c r="Y19" s="9">
        <v>125858.772280914</v>
      </c>
      <c r="Z19" s="9">
        <v>118165.426410552</v>
      </c>
      <c r="AA19" s="9">
        <v>118885.22934935401</v>
      </c>
      <c r="AB19" s="9">
        <v>117769.156122666</v>
      </c>
      <c r="AC19" s="9">
        <v>118482.742039338</v>
      </c>
      <c r="AD19" s="9">
        <v>124120.39218769201</v>
      </c>
      <c r="AE19" s="9">
        <v>124301.943905359</v>
      </c>
      <c r="AF19" s="22">
        <f t="shared" si="0"/>
        <v>1.1596638655462199</v>
      </c>
      <c r="AG19" s="22">
        <f t="shared" si="5"/>
        <v>1.0087123666316</v>
      </c>
      <c r="AH19" s="22">
        <f t="shared" si="6"/>
        <v>1.1778576492714401</v>
      </c>
      <c r="AI19" s="22">
        <f t="shared" si="7"/>
        <v>0.892240175930202</v>
      </c>
      <c r="AJ19" s="23">
        <v>2.625</v>
      </c>
      <c r="AK19" s="19">
        <f t="shared" si="8"/>
        <v>1.0087123666316</v>
      </c>
      <c r="AL19" s="20">
        <v>1</v>
      </c>
      <c r="AM19" s="21">
        <f t="shared" si="9"/>
        <v>1.1596638655462199</v>
      </c>
      <c r="AN19" s="20">
        <v>1</v>
      </c>
    </row>
    <row r="20" spans="1:40" x14ac:dyDescent="0.35">
      <c r="A20" s="12" t="s">
        <v>229</v>
      </c>
      <c r="B20" s="8">
        <v>43826.708333333299</v>
      </c>
      <c r="C20" s="8">
        <v>43827.708333333299</v>
      </c>
      <c r="D20" s="9">
        <v>62843.5</v>
      </c>
      <c r="E20" s="9">
        <v>81125.133378505707</v>
      </c>
      <c r="F20" s="9">
        <v>80391.800048828096</v>
      </c>
      <c r="G20" s="8">
        <v>43832.625</v>
      </c>
      <c r="H20" s="9">
        <v>18281.6333785057</v>
      </c>
      <c r="I20" s="18">
        <v>1.2909073074941</v>
      </c>
      <c r="J20" s="9">
        <v>733.33332967758201</v>
      </c>
      <c r="K20" s="18">
        <v>1.0091219916612399</v>
      </c>
      <c r="L20" s="12" t="s">
        <v>318</v>
      </c>
      <c r="M20" s="18">
        <v>1.2063492063492101</v>
      </c>
      <c r="N20" s="18">
        <v>0.63916150003588001</v>
      </c>
      <c r="O20" s="8">
        <v>43834.5</v>
      </c>
      <c r="P20" s="8">
        <v>43832.458333333299</v>
      </c>
      <c r="Q20" s="8">
        <v>43831.708333333299</v>
      </c>
      <c r="R20" s="8">
        <v>43833.416666666701</v>
      </c>
      <c r="S20" s="8">
        <v>43832.458333333299</v>
      </c>
      <c r="T20" s="8">
        <v>43832.458333333299</v>
      </c>
      <c r="U20" s="8">
        <v>43834.625</v>
      </c>
      <c r="V20" s="8">
        <v>43833.625</v>
      </c>
      <c r="W20" s="8">
        <v>43833.625</v>
      </c>
      <c r="X20" s="9">
        <v>126221.96671915099</v>
      </c>
      <c r="Y20" s="9">
        <v>125807.683409843</v>
      </c>
      <c r="Z20" s="9">
        <v>115894.090882775</v>
      </c>
      <c r="AA20" s="9">
        <v>118382.59610449</v>
      </c>
      <c r="AB20" s="9">
        <v>115573.166749104</v>
      </c>
      <c r="AC20" s="9">
        <v>118039.177045459</v>
      </c>
      <c r="AD20" s="9">
        <v>123405.472126811</v>
      </c>
      <c r="AE20" s="9">
        <v>124099.20994741601</v>
      </c>
      <c r="AF20" s="22">
        <f t="shared" si="0"/>
        <v>1.2063492063492101</v>
      </c>
      <c r="AG20" s="22">
        <f t="shared" si="5"/>
        <v>1.0091219916612399</v>
      </c>
      <c r="AH20" s="22">
        <f t="shared" si="6"/>
        <v>1.2909073074941</v>
      </c>
      <c r="AI20" s="22">
        <f t="shared" si="7"/>
        <v>0.63916150003588001</v>
      </c>
      <c r="AJ20" s="23">
        <v>3.625</v>
      </c>
      <c r="AK20" s="19">
        <f t="shared" si="8"/>
        <v>1.0091219916612399</v>
      </c>
      <c r="AL20" s="20">
        <v>1</v>
      </c>
      <c r="AM20" s="21">
        <f t="shared" si="9"/>
        <v>1.2063492063492101</v>
      </c>
      <c r="AN20" s="20">
        <v>1</v>
      </c>
    </row>
    <row r="21" spans="1:40" x14ac:dyDescent="0.35">
      <c r="A21" s="12" t="s">
        <v>231</v>
      </c>
      <c r="B21" s="8">
        <v>43827.708333333299</v>
      </c>
      <c r="C21" s="8">
        <v>43829.708333333299</v>
      </c>
      <c r="D21" s="9">
        <v>68293.300048828096</v>
      </c>
      <c r="E21" s="9">
        <v>124974.30004882799</v>
      </c>
      <c r="F21" s="9">
        <v>124258.30004882799</v>
      </c>
      <c r="G21" s="8">
        <v>43836.5</v>
      </c>
      <c r="H21" s="9">
        <v>56681</v>
      </c>
      <c r="I21" s="18">
        <v>1.8299642858007199</v>
      </c>
      <c r="J21" s="9">
        <v>716</v>
      </c>
      <c r="K21" s="18">
        <v>1.00576219053149</v>
      </c>
      <c r="L21" s="12" t="s">
        <v>199</v>
      </c>
      <c r="M21" s="18">
        <v>1.28571428571429</v>
      </c>
      <c r="N21" s="18">
        <v>0.99955193655439101</v>
      </c>
      <c r="O21" s="8">
        <v>43825.416666666701</v>
      </c>
      <c r="P21" s="8">
        <v>43824.708333333299</v>
      </c>
      <c r="Q21" s="8">
        <v>43824.666666666701</v>
      </c>
      <c r="R21" s="8">
        <v>43820.625</v>
      </c>
      <c r="S21" s="8">
        <v>43824.708333333299</v>
      </c>
      <c r="T21" s="8">
        <v>43824.708333333299</v>
      </c>
      <c r="U21" s="8">
        <v>43832.708333333299</v>
      </c>
      <c r="V21" s="8">
        <v>43832.458333333299</v>
      </c>
      <c r="W21" s="8">
        <v>43832.458333333299</v>
      </c>
      <c r="X21" s="9">
        <v>126239.30004882799</v>
      </c>
      <c r="Y21" s="9">
        <v>126227.950547375</v>
      </c>
      <c r="Z21" s="9">
        <v>125340.834836731</v>
      </c>
      <c r="AA21" s="9">
        <v>125799.07782660599</v>
      </c>
      <c r="AB21" s="9">
        <v>125334.63280233101</v>
      </c>
      <c r="AC21" s="9">
        <v>125790.250436587</v>
      </c>
      <c r="AD21" s="9">
        <v>125950.590826056</v>
      </c>
      <c r="AE21" s="9">
        <v>126124.083077895</v>
      </c>
      <c r="AF21" s="22">
        <f t="shared" si="0"/>
        <v>1.28571428571429</v>
      </c>
      <c r="AG21" s="22">
        <f t="shared" si="5"/>
        <v>1.00576219053149</v>
      </c>
      <c r="AH21" s="22">
        <f t="shared" si="6"/>
        <v>1.8299642858007199</v>
      </c>
      <c r="AI21" s="22">
        <f t="shared" si="7"/>
        <v>0.99955193655439101</v>
      </c>
      <c r="AJ21" s="23">
        <v>5.375</v>
      </c>
      <c r="AK21" s="19">
        <f t="shared" si="8"/>
        <v>1.00576219053149</v>
      </c>
      <c r="AL21" s="20">
        <v>1</v>
      </c>
      <c r="AM21" s="21">
        <f t="shared" si="9"/>
        <v>1.28571428571429</v>
      </c>
      <c r="AN21" s="20">
        <v>1</v>
      </c>
    </row>
    <row r="22" spans="1:40" x14ac:dyDescent="0.35">
      <c r="A22" s="12" t="s">
        <v>233</v>
      </c>
      <c r="B22" s="8">
        <v>43829.708333333299</v>
      </c>
      <c r="C22" s="8">
        <v>43830.708333333299</v>
      </c>
      <c r="D22" s="9">
        <v>74133.300048828096</v>
      </c>
      <c r="E22" s="9">
        <v>125842.80004882799</v>
      </c>
      <c r="F22" s="9">
        <v>125164.80004882799</v>
      </c>
      <c r="G22" s="8">
        <v>43837.458333333299</v>
      </c>
      <c r="H22" s="9">
        <v>51709.5</v>
      </c>
      <c r="I22" s="18">
        <v>1.6975205469868699</v>
      </c>
      <c r="J22" s="9">
        <v>678</v>
      </c>
      <c r="K22" s="18">
        <v>1.00541685841175</v>
      </c>
      <c r="L22" s="12" t="s">
        <v>320</v>
      </c>
      <c r="M22" s="18">
        <v>1.26428571428571</v>
      </c>
      <c r="N22" s="18">
        <v>0.99976166415628798</v>
      </c>
      <c r="O22" s="8">
        <v>43826.458333333299</v>
      </c>
      <c r="P22" s="8">
        <v>43826.416666666701</v>
      </c>
      <c r="Q22" s="8">
        <v>43825.708333333299</v>
      </c>
      <c r="R22" s="8">
        <v>43823.5</v>
      </c>
      <c r="S22" s="8">
        <v>43826.416666666701</v>
      </c>
      <c r="T22" s="8">
        <v>43826.416666666701</v>
      </c>
      <c r="U22" s="8">
        <v>43833.416666666701</v>
      </c>
      <c r="V22" s="8">
        <v>43832.625</v>
      </c>
      <c r="W22" s="8">
        <v>43832.625</v>
      </c>
      <c r="X22" s="9">
        <v>126277.30004882799</v>
      </c>
      <c r="Y22" s="9">
        <v>126271.30626134299</v>
      </c>
      <c r="Z22" s="9">
        <v>125820.167668369</v>
      </c>
      <c r="AA22" s="9">
        <v>126044.74355165299</v>
      </c>
      <c r="AB22" s="9">
        <v>125816.63676119001</v>
      </c>
      <c r="AC22" s="9">
        <v>126040.002702795</v>
      </c>
      <c r="AD22" s="9">
        <v>126137.403155919</v>
      </c>
      <c r="AE22" s="9">
        <v>126217.11735931601</v>
      </c>
      <c r="AF22" s="22">
        <f t="shared" si="0"/>
        <v>1.26428571428571</v>
      </c>
      <c r="AG22" s="22">
        <f t="shared" si="5"/>
        <v>1.00541685841175</v>
      </c>
      <c r="AH22" s="22">
        <f t="shared" si="6"/>
        <v>1.6975205469868699</v>
      </c>
      <c r="AI22" s="22">
        <f t="shared" si="7"/>
        <v>0.99976166415628798</v>
      </c>
      <c r="AJ22" s="23">
        <v>5.25</v>
      </c>
      <c r="AK22" s="19">
        <f t="shared" si="8"/>
        <v>1.00541685841175</v>
      </c>
      <c r="AL22" s="20">
        <v>1</v>
      </c>
      <c r="AM22" s="21">
        <f t="shared" si="9"/>
        <v>1.26428571428571</v>
      </c>
      <c r="AN22" s="20">
        <v>1</v>
      </c>
    </row>
    <row r="23" spans="1:40" x14ac:dyDescent="0.35">
      <c r="A23" s="12" t="s">
        <v>235</v>
      </c>
      <c r="B23" s="8">
        <v>43830.708333333299</v>
      </c>
      <c r="C23" s="8">
        <v>43831.708333333299</v>
      </c>
      <c r="D23" s="9">
        <v>75103.800048828096</v>
      </c>
      <c r="E23" s="9">
        <v>126136.80004882799</v>
      </c>
      <c r="F23" s="9">
        <v>125500.80004882799</v>
      </c>
      <c r="G23" s="8">
        <v>43838.416666666701</v>
      </c>
      <c r="H23" s="9">
        <v>51033</v>
      </c>
      <c r="I23" s="18">
        <v>1.6794995721497601</v>
      </c>
      <c r="J23" s="9">
        <v>636</v>
      </c>
      <c r="K23" s="18">
        <v>1.00506769677765</v>
      </c>
      <c r="L23" s="12" t="s">
        <v>321</v>
      </c>
      <c r="M23" s="18">
        <v>1.24489795918367</v>
      </c>
      <c r="N23" s="18">
        <v>0.99980976658367204</v>
      </c>
      <c r="O23" s="8">
        <v>43826.5</v>
      </c>
      <c r="P23" s="8">
        <v>43826.458333333299</v>
      </c>
      <c r="Q23" s="8">
        <v>43826.458333333299</v>
      </c>
      <c r="R23" s="8">
        <v>43823.416666666701</v>
      </c>
      <c r="S23" s="8">
        <v>43826.458333333299</v>
      </c>
      <c r="T23" s="8">
        <v>43826.458333333299</v>
      </c>
      <c r="U23" s="8">
        <v>43833.458333333299</v>
      </c>
      <c r="V23" s="8">
        <v>43832.708333333299</v>
      </c>
      <c r="W23" s="8">
        <v>43832.708333333299</v>
      </c>
      <c r="X23" s="9">
        <v>126319.30004882799</v>
      </c>
      <c r="Y23" s="9">
        <v>126315.173053377</v>
      </c>
      <c r="Z23" s="9">
        <v>125988.147597808</v>
      </c>
      <c r="AA23" s="9">
        <v>126158.283655386</v>
      </c>
      <c r="AB23" s="9">
        <v>125985.690320939</v>
      </c>
      <c r="AC23" s="9">
        <v>126154.96852789199</v>
      </c>
      <c r="AD23" s="9">
        <v>126218.811432103</v>
      </c>
      <c r="AE23" s="9">
        <v>126278.078080587</v>
      </c>
      <c r="AF23" s="22">
        <f t="shared" si="0"/>
        <v>1.24489795918367</v>
      </c>
      <c r="AG23" s="22">
        <f t="shared" si="5"/>
        <v>1.00506769677765</v>
      </c>
      <c r="AH23" s="22">
        <f t="shared" si="6"/>
        <v>1.6794995721497601</v>
      </c>
      <c r="AI23" s="22">
        <f t="shared" si="7"/>
        <v>0.99980976658367204</v>
      </c>
      <c r="AJ23" s="23">
        <v>5.125</v>
      </c>
      <c r="AK23" s="19">
        <f t="shared" si="8"/>
        <v>1.00506769677765</v>
      </c>
      <c r="AL23" s="20">
        <v>1</v>
      </c>
      <c r="AM23" s="21">
        <f t="shared" si="9"/>
        <v>1.24489795918367</v>
      </c>
      <c r="AN23" s="20">
        <v>1</v>
      </c>
    </row>
    <row r="24" spans="1:40" x14ac:dyDescent="0.35">
      <c r="A24" s="12" t="s">
        <v>237</v>
      </c>
      <c r="B24" s="8">
        <v>43831.708333333299</v>
      </c>
      <c r="C24" s="8">
        <v>43832.708333333299</v>
      </c>
      <c r="D24" s="9">
        <v>121255.30004882799</v>
      </c>
      <c r="E24" s="9">
        <v>126927.871477604</v>
      </c>
      <c r="F24" s="9">
        <v>126319.30004882799</v>
      </c>
      <c r="G24" s="8">
        <v>43838.708333333299</v>
      </c>
      <c r="H24" s="9">
        <v>5672.5714287757901</v>
      </c>
      <c r="I24" s="18">
        <v>1.04678204933303</v>
      </c>
      <c r="J24" s="9">
        <v>608.57142877578701</v>
      </c>
      <c r="K24" s="18">
        <v>1.0048177232500499</v>
      </c>
      <c r="L24" s="12" t="s">
        <v>35</v>
      </c>
      <c r="M24" s="18">
        <v>1.22727272727273</v>
      </c>
      <c r="N24" s="18">
        <v>0.99997298876460805</v>
      </c>
      <c r="O24" s="8">
        <v>43838.416666666701</v>
      </c>
      <c r="P24" s="8">
        <v>43838.416666666701</v>
      </c>
      <c r="Q24" s="8">
        <v>43838.416666666701</v>
      </c>
      <c r="R24" s="8">
        <v>43838.5</v>
      </c>
      <c r="S24" s="8">
        <v>43838.416666666701</v>
      </c>
      <c r="T24" s="8">
        <v>43838.416666666701</v>
      </c>
      <c r="U24" s="8">
        <v>43833.5</v>
      </c>
      <c r="V24" s="8">
        <v>43833.458333333299</v>
      </c>
      <c r="W24" s="8">
        <v>43833.458333333299</v>
      </c>
      <c r="X24" s="9">
        <v>126346.728620052</v>
      </c>
      <c r="Y24" s="9">
        <v>126346.597110364</v>
      </c>
      <c r="Z24" s="9">
        <v>126345.50280158001</v>
      </c>
      <c r="AA24" s="9">
        <v>126341.649255011</v>
      </c>
      <c r="AB24" s="9">
        <v>126345.377169231</v>
      </c>
      <c r="AC24" s="9">
        <v>126341.542098969</v>
      </c>
      <c r="AD24" s="9">
        <v>126346.370996898</v>
      </c>
      <c r="AE24" s="9">
        <v>126345.43970686699</v>
      </c>
      <c r="AF24" s="22">
        <f t="shared" si="0"/>
        <v>1.22727272727273</v>
      </c>
      <c r="AG24" s="22">
        <f t="shared" si="5"/>
        <v>1.0048177232500499</v>
      </c>
      <c r="AH24" s="22">
        <f t="shared" si="6"/>
        <v>1.04678204933303</v>
      </c>
      <c r="AI24" s="22">
        <f t="shared" si="7"/>
        <v>0.99997298876460805</v>
      </c>
      <c r="AJ24" s="23">
        <v>5</v>
      </c>
      <c r="AK24" s="19">
        <f t="shared" si="8"/>
        <v>1.0048177232500499</v>
      </c>
      <c r="AL24" s="20">
        <v>1</v>
      </c>
      <c r="AM24" s="21">
        <f t="shared" si="9"/>
        <v>1.22727272727273</v>
      </c>
      <c r="AN24" s="20">
        <v>1</v>
      </c>
    </row>
    <row r="25" spans="1:40" x14ac:dyDescent="0.35">
      <c r="A25" s="12" t="s">
        <v>239</v>
      </c>
      <c r="B25" s="8">
        <v>43832.708333333299</v>
      </c>
      <c r="C25" s="8">
        <v>43833.708333333299</v>
      </c>
      <c r="D25" s="9">
        <v>124502.30004882799</v>
      </c>
      <c r="E25" s="9">
        <v>126955.30004882799</v>
      </c>
      <c r="F25" s="9">
        <v>126351.30004882799</v>
      </c>
      <c r="G25" s="8">
        <v>43839.5</v>
      </c>
      <c r="H25" s="9">
        <v>2453</v>
      </c>
      <c r="I25" s="18">
        <v>1.0197024472563001</v>
      </c>
      <c r="J25" s="9">
        <v>604</v>
      </c>
      <c r="K25" s="18">
        <v>1.0047803227965699</v>
      </c>
      <c r="L25" s="12" t="s">
        <v>204</v>
      </c>
      <c r="M25" s="18">
        <v>1.1925465838509299</v>
      </c>
      <c r="N25" s="18">
        <v>1</v>
      </c>
      <c r="O25" s="8">
        <v>43838.666666666701</v>
      </c>
      <c r="P25" s="8">
        <v>43838.666666666701</v>
      </c>
      <c r="Q25" s="8">
        <v>43838.625</v>
      </c>
      <c r="R25" s="8">
        <v>43838.708333333299</v>
      </c>
      <c r="S25" s="8">
        <v>43838.666666666701</v>
      </c>
      <c r="T25" s="8">
        <v>43838.666666666701</v>
      </c>
      <c r="U25" s="8">
        <v>43833.708333333299</v>
      </c>
      <c r="V25" s="8">
        <v>43833.708333333299</v>
      </c>
      <c r="W25" s="8">
        <v>43833.708333333299</v>
      </c>
      <c r="X25" s="9">
        <v>126351.30004882799</v>
      </c>
      <c r="Y25" s="9">
        <v>126351.30004882799</v>
      </c>
      <c r="Z25" s="9">
        <v>126351.30004882799</v>
      </c>
      <c r="AA25" s="9">
        <v>126351.30004882799</v>
      </c>
      <c r="AB25" s="9">
        <v>126351.30004882799</v>
      </c>
      <c r="AC25" s="9">
        <v>126351.30004882799</v>
      </c>
      <c r="AD25" s="9">
        <v>126351.30004882799</v>
      </c>
      <c r="AE25" s="9">
        <v>126351.30004882799</v>
      </c>
      <c r="AF25" s="22">
        <f t="shared" si="0"/>
        <v>1.1925465838509299</v>
      </c>
      <c r="AG25" s="22">
        <f t="shared" si="5"/>
        <v>1.0047803227965699</v>
      </c>
      <c r="AH25" s="22">
        <f t="shared" si="6"/>
        <v>1.0197024472563001</v>
      </c>
      <c r="AI25" s="22">
        <f t="shared" si="7"/>
        <v>1</v>
      </c>
      <c r="AJ25" s="23">
        <v>4.375</v>
      </c>
      <c r="AK25" s="19">
        <f t="shared" si="8"/>
        <v>1.0047803227965699</v>
      </c>
      <c r="AL25" s="20">
        <v>1</v>
      </c>
      <c r="AM25" s="21">
        <f t="shared" si="9"/>
        <v>1.1925465838509299</v>
      </c>
      <c r="AN25" s="20">
        <v>1</v>
      </c>
    </row>
  </sheetData>
  <mergeCells count="3">
    <mergeCell ref="A1:C1"/>
    <mergeCell ref="D1:G1"/>
    <mergeCell ref="H1:N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D84E7-1DC3-4A1F-85C9-34180394A5A3}">
  <sheetPr codeName="Blad30"/>
  <dimension ref="A1"/>
  <sheetViews>
    <sheetView topLeftCell="B1" workbookViewId="0">
      <selection activeCell="B1" sqref="B1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D6038-D259-4244-ABF9-D4186C52E18B}">
  <sheetPr codeName="Blad31"/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E72CE-AFC2-4DBB-BE2F-9E2A92D770B5}">
  <sheetPr codeName="Blad32"/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C8A0A-72B6-46F5-9473-61908429BBD3}">
  <sheetPr codeName="Blad33"/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F41A3-7AFE-4F33-BCC1-5D03D161C8A6}">
  <sheetPr codeName="Blad34"/>
  <dimension ref="A1"/>
  <sheetViews>
    <sheetView workbookViewId="0">
      <selection activeCell="M32" sqref="M3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2132E-C61B-48FC-AE30-62E0FEC26FCC}">
  <sheetPr codeName="Blad35"/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5CBCD-660C-4868-A20A-644AB7C4CD4C}">
  <sheetPr codeName="Blad36"/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Baseline Schedule</vt:lpstr>
      <vt:lpstr>Gantt chart</vt:lpstr>
      <vt:lpstr>Resources</vt:lpstr>
      <vt:lpstr>Risk Analysis</vt:lpstr>
      <vt:lpstr>Project Control - TP1</vt:lpstr>
      <vt:lpstr>TP2</vt:lpstr>
      <vt:lpstr>TP3</vt:lpstr>
      <vt:lpstr>TP4</vt:lpstr>
      <vt:lpstr>TP5</vt:lpstr>
      <vt:lpstr>TP6</vt:lpstr>
      <vt:lpstr>TP7</vt:lpstr>
      <vt:lpstr>TP8</vt:lpstr>
      <vt:lpstr>TP9</vt:lpstr>
      <vt:lpstr>TP10</vt:lpstr>
      <vt:lpstr>TP11</vt:lpstr>
      <vt:lpstr>TP12</vt:lpstr>
      <vt:lpstr>TP13</vt:lpstr>
      <vt:lpstr>TP14</vt:lpstr>
      <vt:lpstr>TP15</vt:lpstr>
      <vt:lpstr>TP16</vt:lpstr>
      <vt:lpstr>TP17</vt:lpstr>
      <vt:lpstr>TP18</vt:lpstr>
      <vt:lpstr>TP19</vt:lpstr>
      <vt:lpstr>TP20</vt:lpstr>
      <vt:lpstr>TP21</vt:lpstr>
      <vt:lpstr>TP22</vt:lpstr>
      <vt:lpstr>TP23</vt:lpstr>
      <vt:lpstr>Agenda</vt:lpstr>
      <vt:lpstr>Tracking Overview</vt:lpstr>
      <vt:lpstr>AC, EV, PV</vt:lpstr>
      <vt:lpstr>CPI, SPI(t)</vt:lpstr>
      <vt:lpstr>SPI, SPI(t), p-factor</vt:lpstr>
      <vt:lpstr>CV</vt:lpstr>
      <vt:lpstr>SV(t)</vt:lpstr>
      <vt:lpstr>CPI</vt:lpstr>
      <vt:lpstr>SPI(t)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Amin Azimi</cp:lastModifiedBy>
  <dcterms:created xsi:type="dcterms:W3CDTF">2020-02-17T10:40:59Z</dcterms:created>
  <dcterms:modified xsi:type="dcterms:W3CDTF">2026-07-15T09:44:11Z</dcterms:modified>
</cp:coreProperties>
</file>