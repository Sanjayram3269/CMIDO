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E5E39932-D977-4D43-A4FE-49444807FD81}" xr6:coauthVersionLast="47" xr6:coauthVersionMax="47" xr10:uidLastSave="{00000000-0000-0000-0000-000000000000}"/>
  <bookViews>
    <workbookView xWindow="38280" yWindow="-120" windowWidth="29040" windowHeight="15720" firstSheet="15" activeTab="2" xr2:uid="{00000000-000D-0000-FFFF-FFFF00000000}"/>
  </bookViews>
  <sheets>
    <sheet name="Baseline Schedule" sheetId="1" r:id="rId1"/>
    <sheet name="Gantt chart" sheetId="25" r:id="rId2"/>
    <sheet name="Resources" sheetId="2" r:id="rId3"/>
    <sheet name="Risk Analysis" sheetId="3" r:id="rId4"/>
    <sheet name="Project Control - TP1" sheetId="4" r:id="rId5"/>
    <sheet name="TP2" sheetId="5" r:id="rId6"/>
    <sheet name="TP3" sheetId="6" r:id="rId7"/>
    <sheet name="TP4" sheetId="7" r:id="rId8"/>
    <sheet name="TP5" sheetId="8" r:id="rId9"/>
    <sheet name="TP6" sheetId="9" r:id="rId10"/>
    <sheet name="TP7" sheetId="10" r:id="rId11"/>
    <sheet name="TP8" sheetId="11" r:id="rId12"/>
    <sheet name="TP9" sheetId="12" r:id="rId13"/>
    <sheet name="TP10" sheetId="13" r:id="rId14"/>
    <sheet name="TP11" sheetId="14" r:id="rId15"/>
    <sheet name="TP12" sheetId="15" r:id="rId16"/>
    <sheet name="TP13" sheetId="16" r:id="rId17"/>
    <sheet name="TP14" sheetId="17" r:id="rId18"/>
    <sheet name="TP15" sheetId="18" r:id="rId19"/>
    <sheet name="TP16" sheetId="19" r:id="rId20"/>
    <sheet name="TP17" sheetId="20" r:id="rId21"/>
    <sheet name="TP18" sheetId="21" r:id="rId22"/>
    <sheet name="TP19" sheetId="22" r:id="rId23"/>
    <sheet name="Agenda" sheetId="23" r:id="rId24"/>
    <sheet name="Tracking Overview" sheetId="24" r:id="rId25"/>
    <sheet name="AC, EV, PV" sheetId="26" r:id="rId26"/>
    <sheet name="CPI, SPI(t)" sheetId="27" r:id="rId27"/>
    <sheet name="SPI, SPI(t), p-factor" sheetId="28" r:id="rId28"/>
    <sheet name="CV" sheetId="29" r:id="rId29"/>
    <sheet name="SV(t)" sheetId="30" r:id="rId30"/>
    <sheet name="CPI" sheetId="31" r:id="rId31"/>
    <sheet name="SPI(t)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4" i="24" l="1"/>
  <c r="AM5" i="24"/>
  <c r="AM6" i="24"/>
  <c r="AM7" i="24"/>
  <c r="AM8" i="24"/>
  <c r="AM9" i="24"/>
  <c r="AM10" i="24"/>
  <c r="AM11" i="24"/>
  <c r="AM12" i="24"/>
  <c r="AM13" i="24"/>
  <c r="AM14" i="24"/>
  <c r="AM15" i="24"/>
  <c r="AM16" i="24"/>
  <c r="AM17" i="24"/>
  <c r="AM18" i="24"/>
  <c r="AM19" i="24"/>
  <c r="AM20" i="24"/>
  <c r="AM21" i="24"/>
  <c r="AM3" i="24"/>
  <c r="AK4" i="24"/>
  <c r="AK5" i="24"/>
  <c r="AK6" i="24"/>
  <c r="AK7" i="24"/>
  <c r="AK8" i="24"/>
  <c r="AK9" i="24"/>
  <c r="AK10" i="24"/>
  <c r="AK11" i="24"/>
  <c r="AK12" i="24"/>
  <c r="AK13" i="24"/>
  <c r="AK14" i="24"/>
  <c r="AK15" i="24"/>
  <c r="AK16" i="24"/>
  <c r="AK17" i="24"/>
  <c r="AK18" i="24"/>
  <c r="AK19" i="24"/>
  <c r="AK20" i="24"/>
  <c r="AK21" i="24"/>
  <c r="AK3" i="24"/>
  <c r="AI4" i="24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3" i="24"/>
  <c r="AH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3" i="24"/>
  <c r="AG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3" i="24"/>
  <c r="AF4" i="24"/>
  <c r="AF5" i="24"/>
  <c r="AF6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3" i="24"/>
</calcChain>
</file>

<file path=xl/sharedStrings.xml><?xml version="1.0" encoding="utf-8"?>
<sst xmlns="http://schemas.openxmlformats.org/spreadsheetml/2006/main" count="3808" uniqueCount="369">
  <si>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</si>
  <si>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</si>
  <si>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</si>
  <si>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</si>
  <si>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</si>
  <si>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</si>
  <si>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</si>
  <si>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</si>
  <si>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</si>
  <si>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</si>
  <si>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</si>
  <si>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</si>
  <si>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</si>
  <si>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</si>
  <si>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</si>
  <si>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</si>
  <si>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</si>
  <si>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</si>
  <si>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Landing Gear Project</t>
  </si>
  <si>
    <t>1</t>
  </si>
  <si>
    <t>320d</t>
  </si>
  <si>
    <t>Feasibilty Study</t>
  </si>
  <si>
    <t>1.1</t>
  </si>
  <si>
    <t>45d</t>
  </si>
  <si>
    <t>Feasiblity Study</t>
  </si>
  <si>
    <t>1.1.1</t>
  </si>
  <si>
    <t>FS3</t>
  </si>
  <si>
    <t>Consultant</t>
  </si>
  <si>
    <t>Market Research</t>
  </si>
  <si>
    <t>1.2</t>
  </si>
  <si>
    <t>30d</t>
  </si>
  <si>
    <t>Specifying the size of Single and Twin engined light aircrafts replacement in the market</t>
  </si>
  <si>
    <t>1.2.1</t>
  </si>
  <si>
    <t>1FS</t>
  </si>
  <si>
    <t>FS4;FS5</t>
  </si>
  <si>
    <t>10d</t>
  </si>
  <si>
    <t>Consultant;Engineers</t>
  </si>
  <si>
    <t>Calculation of the potential annual demand volumes for landing gear struts according to each of the different retail prices</t>
  </si>
  <si>
    <t>1.2.2</t>
  </si>
  <si>
    <t>3FS</t>
  </si>
  <si>
    <t>FS6</t>
  </si>
  <si>
    <t>15d</t>
  </si>
  <si>
    <t>Calculation of the annual sales volumes actually achievable, taking into account the maximum capacity of the factory set by the directors</t>
  </si>
  <si>
    <t>1.2.3</t>
  </si>
  <si>
    <t>FS7</t>
  </si>
  <si>
    <t>Engineers</t>
  </si>
  <si>
    <t>Calculation of the total annual trade sales revenues and fixed/variable/total costs for each retail</t>
  </si>
  <si>
    <t>1.2.4</t>
  </si>
  <si>
    <t>4FS</t>
  </si>
  <si>
    <t>FS9</t>
  </si>
  <si>
    <t>5d</t>
  </si>
  <si>
    <t>Calculation of the-trade price at which the company should sell at to generate the maximum profit</t>
  </si>
  <si>
    <t>1.2.5</t>
  </si>
  <si>
    <t>5FS</t>
  </si>
  <si>
    <t>Business Plan, Financial Analysis, and Team Selection</t>
  </si>
  <si>
    <t>1.3</t>
  </si>
  <si>
    <t>50d</t>
  </si>
  <si>
    <t>Preparation of Business Plan</t>
  </si>
  <si>
    <t>1.3.1</t>
  </si>
  <si>
    <t>7FS;6FS</t>
  </si>
  <si>
    <t>FS10;FS11</t>
  </si>
  <si>
    <t>Financial Analysis</t>
  </si>
  <si>
    <t>1.3.2</t>
  </si>
  <si>
    <t>9FS</t>
  </si>
  <si>
    <t>FS13</t>
  </si>
  <si>
    <t>Team Selection (Recruitment of Management Team and Staff)</t>
  </si>
  <si>
    <t>1.3.3</t>
  </si>
  <si>
    <t>20d</t>
  </si>
  <si>
    <t>Process Analysis</t>
  </si>
  <si>
    <t>1.4</t>
  </si>
  <si>
    <t>65d</t>
  </si>
  <si>
    <t>Preparation of  Bill of Materials (BOM) file</t>
  </si>
  <si>
    <t>1.4.1</t>
  </si>
  <si>
    <t>11FS;10FS</t>
  </si>
  <si>
    <t>FS14;FS15;FS16</t>
  </si>
  <si>
    <t>Engineers;Workers</t>
  </si>
  <si>
    <t>Calculation of Machine Requirements</t>
  </si>
  <si>
    <t>1.4.2</t>
  </si>
  <si>
    <t>13FS</t>
  </si>
  <si>
    <t>FS18</t>
  </si>
  <si>
    <t>Engineers;Workers[0.40 #1]</t>
  </si>
  <si>
    <t>Calculation of Labour Requirements</t>
  </si>
  <si>
    <t>1.4.3</t>
  </si>
  <si>
    <t>Calculation of Factory Capacity</t>
  </si>
  <si>
    <t>1.4.4</t>
  </si>
  <si>
    <t>Workers[0.20 #1];Consultant</t>
  </si>
  <si>
    <t>Productivity Analysis</t>
  </si>
  <si>
    <t>1.5</t>
  </si>
  <si>
    <t>Creation the Line of Balance for the Landing Gear System and its Level 1 Sub-Assemblies</t>
  </si>
  <si>
    <t>1.5.1</t>
  </si>
  <si>
    <t>16FS;15FS;14FS</t>
  </si>
  <si>
    <t>FS19</t>
  </si>
  <si>
    <t>Workers[0.20 #1];The Graduates</t>
  </si>
  <si>
    <t>Defining implication of this MPS on the capacity of the factory</t>
  </si>
  <si>
    <t>1.5.2</t>
  </si>
  <si>
    <t>18FS</t>
  </si>
  <si>
    <t>FS20</t>
  </si>
  <si>
    <t>Workers[0.60 #1]</t>
  </si>
  <si>
    <t>Assisting of line of balance in solution providing for problems</t>
  </si>
  <si>
    <t>1.5.3</t>
  </si>
  <si>
    <t>19FS</t>
  </si>
  <si>
    <t>FS22;FS23</t>
  </si>
  <si>
    <t>Workers[0.40 #1];The Graduates</t>
  </si>
  <si>
    <t>Start to Production</t>
  </si>
  <si>
    <t>1.6</t>
  </si>
  <si>
    <t>85d</t>
  </si>
  <si>
    <t>Identifying Production Site</t>
  </si>
  <si>
    <t>1.6.1</t>
  </si>
  <si>
    <t>20FS</t>
  </si>
  <si>
    <t>FS24</t>
  </si>
  <si>
    <t>25d</t>
  </si>
  <si>
    <t>Consultant;Workers[0.40 #1]</t>
  </si>
  <si>
    <t>Supplier Selection</t>
  </si>
  <si>
    <t>1.6.2</t>
  </si>
  <si>
    <t>Engineers;Workers[0.60 #1]</t>
  </si>
  <si>
    <t>Ordering Machines and Raw Materials</t>
  </si>
  <si>
    <t>1.6.3</t>
  </si>
  <si>
    <t>22FS;23FS</t>
  </si>
  <si>
    <t>FS25</t>
  </si>
  <si>
    <t>Workers</t>
  </si>
  <si>
    <t>Manufacturing Trials</t>
  </si>
  <si>
    <t>1.6.4</t>
  </si>
  <si>
    <t>24FS</t>
  </si>
  <si>
    <t>FS33</t>
  </si>
  <si>
    <t>Workers;The Graduates</t>
  </si>
  <si>
    <t>Finish</t>
  </si>
  <si>
    <t>1.7</t>
  </si>
  <si>
    <t>25FS</t>
  </si>
  <si>
    <t>0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</si>
  <si>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</si>
  <si>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</si>
  <si>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</si>
  <si>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</si>
  <si>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</si>
  <si>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</si>
  <si>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</si>
  <si>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1;3;4;6;7;9;10;11;16;22;</t>
  </si>
  <si>
    <t>3;4;5;6;7;13;14;15;23;</t>
  </si>
  <si>
    <t>13;14[0.40 Workers];15[0.40 Workers];16[0.20 Workers];18[0.20 Workers];19[0.60 Workers];20[0.40 Workers];22[0.40 Workers];23[0.60 Workers];24;25;</t>
  </si>
  <si>
    <t>The Graduates</t>
  </si>
  <si>
    <t>18;20;25;</t>
  </si>
  <si>
    <t>Activity Duration Distribution Profiles</t>
  </si>
  <si>
    <t>Description</t>
  </si>
  <si>
    <t>Optimistic</t>
  </si>
  <si>
    <t>Most Probable</t>
  </si>
  <si>
    <t>Pessimistic</t>
  </si>
  <si>
    <t>2560h</t>
  </si>
  <si>
    <t>360h</t>
  </si>
  <si>
    <t>standard - symmetric</t>
  </si>
  <si>
    <t>240h</t>
  </si>
  <si>
    <t>80h</t>
  </si>
  <si>
    <t>120h</t>
  </si>
  <si>
    <t>40h</t>
  </si>
  <si>
    <t>400h</t>
  </si>
  <si>
    <t>160h</t>
  </si>
  <si>
    <t>520h</t>
  </si>
  <si>
    <t>680h</t>
  </si>
  <si>
    <t>200h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</si>
  <si>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</si>
  <si>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</si>
  <si>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</si>
  <si>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</si>
  <si>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</si>
  <si>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</si>
  <si>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</si>
  <si>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</si>
  <si>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</si>
  <si>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</si>
  <si>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</si>
  <si>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</si>
  <si>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</si>
  <si>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</si>
  <si>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</si>
  <si>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6.08.2018 17:00</t>
  </si>
  <si>
    <t>21d 6h</t>
  </si>
  <si>
    <t>Started</t>
  </si>
  <si>
    <t>Not Started</t>
  </si>
  <si>
    <t>27.08.2018 17:00</t>
  </si>
  <si>
    <t>6d 6h</t>
  </si>
  <si>
    <t>17.09.2018 17:00</t>
  </si>
  <si>
    <t>36d 6h</t>
  </si>
  <si>
    <t>Finished</t>
  </si>
  <si>
    <t>8d 2h</t>
  </si>
  <si>
    <t>6d 3h</t>
  </si>
  <si>
    <t>8.10.2018 17:00</t>
  </si>
  <si>
    <t>60d</t>
  </si>
  <si>
    <t>23d 2h</t>
  </si>
  <si>
    <t>14d 5h</t>
  </si>
  <si>
    <t>8d 5h</t>
  </si>
  <si>
    <t>1d 5h</t>
  </si>
  <si>
    <t>8d 4h</t>
  </si>
  <si>
    <t>1h</t>
  </si>
  <si>
    <t>3d 1h</t>
  </si>
  <si>
    <t>29.10.2018 17:00</t>
  </si>
  <si>
    <t>75d</t>
  </si>
  <si>
    <t>29d 2h</t>
  </si>
  <si>
    <t>10d 2h</t>
  </si>
  <si>
    <t>4d 3h</t>
  </si>
  <si>
    <t>3d 2h</t>
  </si>
  <si>
    <t>9d</t>
  </si>
  <si>
    <t>23d 7h</t>
  </si>
  <si>
    <t>19.11.2018 17:00</t>
  </si>
  <si>
    <t>90d</t>
  </si>
  <si>
    <t>24d</t>
  </si>
  <si>
    <t>8d 7h</t>
  </si>
  <si>
    <t>10.12.2018 17:00</t>
  </si>
  <si>
    <t>105d</t>
  </si>
  <si>
    <t>39d</t>
  </si>
  <si>
    <t>32d 7h</t>
  </si>
  <si>
    <t>6d 1h</t>
  </si>
  <si>
    <t>16d 3h</t>
  </si>
  <si>
    <t>5d 6h</t>
  </si>
  <si>
    <t>31.12.2018 17:00</t>
  </si>
  <si>
    <t>120d</t>
  </si>
  <si>
    <t>54d</t>
  </si>
  <si>
    <t>21d 1h</t>
  </si>
  <si>
    <t>1d 3h</t>
  </si>
  <si>
    <t>11d 7h</t>
  </si>
  <si>
    <t>21.01.2019 17:00</t>
  </si>
  <si>
    <t>135d</t>
  </si>
  <si>
    <t>55d 3h</t>
  </si>
  <si>
    <t>22d 4h</t>
  </si>
  <si>
    <t>13d 5h</t>
  </si>
  <si>
    <t>12d</t>
  </si>
  <si>
    <t>11.02.2019 17:00</t>
  </si>
  <si>
    <t>150d</t>
  </si>
  <si>
    <t>28d 5h</t>
  </si>
  <si>
    <t>25d 5h</t>
  </si>
  <si>
    <t>3d</t>
  </si>
  <si>
    <t>2d 3h</t>
  </si>
  <si>
    <t>15d 7h</t>
  </si>
  <si>
    <t>4.03.2019 17:00</t>
  </si>
  <si>
    <t>165d</t>
  </si>
  <si>
    <t>43d 5h</t>
  </si>
  <si>
    <t>11d 2h</t>
  </si>
  <si>
    <t>5d 3h</t>
  </si>
  <si>
    <t>18d</t>
  </si>
  <si>
    <t>7h</t>
  </si>
  <si>
    <t>25.03.2019 17:00</t>
  </si>
  <si>
    <t>180d</t>
  </si>
  <si>
    <t>44d 4h</t>
  </si>
  <si>
    <t>18d 7h</t>
  </si>
  <si>
    <t>14d 1h</t>
  </si>
  <si>
    <t>10d 4h</t>
  </si>
  <si>
    <t>3d 5h</t>
  </si>
  <si>
    <t>3d 3h</t>
  </si>
  <si>
    <t>15.04.2019 17:00</t>
  </si>
  <si>
    <t>195d</t>
  </si>
  <si>
    <t>26d</t>
  </si>
  <si>
    <t>7d</t>
  </si>
  <si>
    <t>33d 2h</t>
  </si>
  <si>
    <t>6.05.2019 17:00</t>
  </si>
  <si>
    <t>210d</t>
  </si>
  <si>
    <t>18d 1h</t>
  </si>
  <si>
    <t>18d 2h</t>
  </si>
  <si>
    <t>9d 7h</t>
  </si>
  <si>
    <t>27.05.2019 17:00</t>
  </si>
  <si>
    <t>225d</t>
  </si>
  <si>
    <t>33d 1h</t>
  </si>
  <si>
    <t>17.06.2019 17:00</t>
  </si>
  <si>
    <t>240d</t>
  </si>
  <si>
    <t>48d 1h</t>
  </si>
  <si>
    <t>36d 3h</t>
  </si>
  <si>
    <t>11d 6h</t>
  </si>
  <si>
    <t>12d 4h</t>
  </si>
  <si>
    <t>8.07.2019 17:00</t>
  </si>
  <si>
    <t>255d</t>
  </si>
  <si>
    <t>63d 1h</t>
  </si>
  <si>
    <t>24d 2h</t>
  </si>
  <si>
    <t>2d 4h</t>
  </si>
  <si>
    <t>19d</t>
  </si>
  <si>
    <t>29.07.2019 17:00</t>
  </si>
  <si>
    <t>270d</t>
  </si>
  <si>
    <t>78d 1h</t>
  </si>
  <si>
    <t>17d 4h</t>
  </si>
  <si>
    <t>4d</t>
  </si>
  <si>
    <t>19.08.2019 17:00</t>
  </si>
  <si>
    <t>274d</t>
  </si>
  <si>
    <t>82d 1h</t>
  </si>
  <si>
    <t>21d 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</si>
  <si>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</si>
  <si>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</si>
  <si>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</si>
  <si>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</si>
  <si>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</si>
  <si>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</si>
  <si>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</si>
  <si>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</si>
  <si>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</si>
  <si>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</si>
  <si>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</si>
  <si>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</si>
  <si>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</si>
  <si>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</si>
  <si>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</si>
  <si>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</si>
  <si>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</si>
  <si>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</si>
  <si>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</si>
  <si>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</si>
  <si>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</si>
  <si>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</si>
  <si>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</si>
  <si>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</si>
  <si>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</si>
  <si>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</si>
  <si>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</si>
  <si>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</si>
  <si>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</si>
  <si>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</si>
  <si>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</si>
  <si>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</si>
  <si>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</si>
  <si>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</si>
  <si>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</si>
  <si>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</si>
  <si>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</si>
  <si>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</si>
  <si>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</si>
  <si>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</si>
  <si>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</si>
  <si>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</si>
  <si>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</si>
  <si>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</si>
  <si>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</si>
  <si>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</si>
  <si>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</si>
  <si>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</si>
  <si>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</si>
  <si>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</si>
  <si>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</si>
  <si>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</si>
  <si>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</si>
  <si>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</si>
  <si>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</si>
  <si>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</si>
  <si>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</si>
  <si>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</si>
  <si>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</si>
  <si>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</si>
  <si>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</si>
  <si>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</si>
  <si>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</si>
  <si>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</si>
  <si>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</si>
  <si>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</si>
  <si>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9d 6h</t>
  </si>
  <si>
    <t>4d 5h</t>
  </si>
  <si>
    <t>14d</t>
  </si>
  <si>
    <t>26d 4h</t>
  </si>
  <si>
    <t>24d 4h</t>
  </si>
  <si>
    <t>35d 2h</t>
  </si>
  <si>
    <t>43d 6h</t>
  </si>
  <si>
    <t>41d</t>
  </si>
  <si>
    <t>33d 4h</t>
  </si>
  <si>
    <t>41d 7h</t>
  </si>
  <si>
    <t>51d 6h</t>
  </si>
  <si>
    <t>47d 2h</t>
  </si>
  <si>
    <t>35d</t>
  </si>
  <si>
    <t>Baseline duration (in calendar days)</t>
  </si>
  <si>
    <t>Optimistic (%)</t>
  </si>
  <si>
    <t>Most probable (%)</t>
  </si>
  <si>
    <t>Pessimistic (%)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</si>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</sst>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"/>
    <numFmt numFmtId="165" formatCode="#,##0.00\€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  <xf numFmtId="9" fontId="2" fillId="6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2" fillId="9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BE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  <a:ln>
              <a:noFill/>
            </a:ln>
          </c:spPr>
          <c:invertIfNegative val="0"/>
          <c:cat>
            <c:strRef>
              <c:f>('Baseline Schedule'!$B$5,'Baseline Schedule'!$B$7:$B$11,'Baseline Schedule'!$B$13:$B$15,'Baseline Schedule'!$B$17:$B$20,'Baseline Schedule'!$B$22:$B$24,'Baseline Schedule'!$B$26:$B$30)</c:f>
              <c:strCache>
                <c:ptCount val="21"/>
                <c:pt idx="0">
                  <c:v>Feasiblity Study</c:v>
                </c:pt>
                <c:pt idx="1">
                  <c:v>Specifying the size of Single and Twin engined light aircrafts replacement in the market</c:v>
                </c:pt>
                <c:pt idx="2">
                  <c:v>Calculation of the potential annual demand volumes for landing gear struts according to each of the different retail prices</c:v>
                </c:pt>
                <c:pt idx="3">
                  <c:v>Calculation of the annual sales volumes actually achievable, taking into account the maximum capacity of the factory set by the directors</c:v>
                </c:pt>
                <c:pt idx="4">
                  <c:v>Calculation of the total annual trade sales revenues and fixed/variable/total costs for each retail</c:v>
                </c:pt>
                <c:pt idx="5">
                  <c:v>Calculation of the-trade price at which the company should sell at to generate the maximum profit</c:v>
                </c:pt>
                <c:pt idx="6">
                  <c:v>Preparation of Business Plan</c:v>
                </c:pt>
                <c:pt idx="7">
                  <c:v>Financial Analysis</c:v>
                </c:pt>
                <c:pt idx="8">
                  <c:v>Team Selection (Recruitment of Management Team and Staff)</c:v>
                </c:pt>
                <c:pt idx="9">
                  <c:v>Preparation of  Bill of Materials (BOM) file</c:v>
                </c:pt>
                <c:pt idx="10">
                  <c:v>Calculation of Machine Requirements</c:v>
                </c:pt>
                <c:pt idx="11">
                  <c:v>Calculation of Labour Requirements</c:v>
                </c:pt>
                <c:pt idx="12">
                  <c:v>Calculation of Factory Capacity</c:v>
                </c:pt>
                <c:pt idx="13">
                  <c:v>Creation the Line of Balance for the Landing Gear System and its Level 1 Sub-Assemblies</c:v>
                </c:pt>
                <c:pt idx="14">
                  <c:v>Defining implication of this MPS on the capacity of the factory</c:v>
                </c:pt>
                <c:pt idx="15">
                  <c:v>Assisting of line of balance in solution providing for problems</c:v>
                </c:pt>
                <c:pt idx="16">
                  <c:v>Identifying Production Site</c:v>
                </c:pt>
                <c:pt idx="17">
                  <c:v>Supplier Selection</c:v>
                </c:pt>
                <c:pt idx="18">
                  <c:v>Ordering Machines and Raw Materials</c:v>
                </c:pt>
                <c:pt idx="19">
                  <c:v>Manufacturing Trials</c:v>
                </c:pt>
                <c:pt idx="20">
                  <c:v>Finish</c:v>
                </c:pt>
              </c:strCache>
            </c:strRef>
          </c:cat>
          <c:val>
            <c:numRef>
              <c:f>('Baseline Schedule'!$F$5,'Baseline Schedule'!$F$7:$F$11,'Baseline Schedule'!$F$13:$F$15,'Baseline Schedule'!$F$17:$F$20,'Baseline Schedule'!$F$22:$F$24,'Baseline Schedule'!$F$26:$F$30)</c:f>
              <c:numCache>
                <c:formatCode>dd/mm/yyyy\ h:mm</c:formatCode>
                <c:ptCount val="21"/>
                <c:pt idx="0">
                  <c:v>43298.333333333299</c:v>
                </c:pt>
                <c:pt idx="1">
                  <c:v>43361.333333333299</c:v>
                </c:pt>
                <c:pt idx="2">
                  <c:v>43375.333333333299</c:v>
                </c:pt>
                <c:pt idx="3">
                  <c:v>43375.333333333299</c:v>
                </c:pt>
                <c:pt idx="4">
                  <c:v>43396.333333333299</c:v>
                </c:pt>
                <c:pt idx="5">
                  <c:v>43396.333333333299</c:v>
                </c:pt>
                <c:pt idx="6">
                  <c:v>43403.333333333299</c:v>
                </c:pt>
                <c:pt idx="7">
                  <c:v>43452.333333333299</c:v>
                </c:pt>
                <c:pt idx="8">
                  <c:v>43445.333333333299</c:v>
                </c:pt>
                <c:pt idx="9">
                  <c:v>43473.333333333299</c:v>
                </c:pt>
                <c:pt idx="10">
                  <c:v>43543.333333333299</c:v>
                </c:pt>
                <c:pt idx="11">
                  <c:v>43550.333333333299</c:v>
                </c:pt>
                <c:pt idx="12">
                  <c:v>43536.333333333299</c:v>
                </c:pt>
                <c:pt idx="13">
                  <c:v>43564.333333333299</c:v>
                </c:pt>
                <c:pt idx="14">
                  <c:v>43592.333333333299</c:v>
                </c:pt>
                <c:pt idx="15">
                  <c:v>43606.333333333299</c:v>
                </c:pt>
                <c:pt idx="16">
                  <c:v>43627.333333333299</c:v>
                </c:pt>
                <c:pt idx="17">
                  <c:v>43648.333333333299</c:v>
                </c:pt>
                <c:pt idx="18">
                  <c:v>43662.333333333299</c:v>
                </c:pt>
                <c:pt idx="19">
                  <c:v>43725.333333333299</c:v>
                </c:pt>
                <c:pt idx="20">
                  <c:v>43745.708333333299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3-49A4-9631-2755AA816013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('Baseline Schedule'!$B$5,'Baseline Schedule'!$B$7:$B$11,'Baseline Schedule'!$B$13:$B$15,'Baseline Schedule'!$B$17:$B$20,'Baseline Schedule'!$B$22:$B$24,'Baseline Schedule'!$B$26:$B$30)</c:f>
              <c:strCache>
                <c:ptCount val="21"/>
                <c:pt idx="0">
                  <c:v>Feasiblity Study</c:v>
                </c:pt>
                <c:pt idx="1">
                  <c:v>Specifying the size of Single and Twin engined light aircrafts replacement in the market</c:v>
                </c:pt>
                <c:pt idx="2">
                  <c:v>Calculation of the potential annual demand volumes for landing gear struts according to each of the different retail prices</c:v>
                </c:pt>
                <c:pt idx="3">
                  <c:v>Calculation of the annual sales volumes actually achievable, taking into account the maximum capacity of the factory set by the directors</c:v>
                </c:pt>
                <c:pt idx="4">
                  <c:v>Calculation of the total annual trade sales revenues and fixed/variable/total costs for each retail</c:v>
                </c:pt>
                <c:pt idx="5">
                  <c:v>Calculation of the-trade price at which the company should sell at to generate the maximum profit</c:v>
                </c:pt>
                <c:pt idx="6">
                  <c:v>Preparation of Business Plan</c:v>
                </c:pt>
                <c:pt idx="7">
                  <c:v>Financial Analysis</c:v>
                </c:pt>
                <c:pt idx="8">
                  <c:v>Team Selection (Recruitment of Management Team and Staff)</c:v>
                </c:pt>
                <c:pt idx="9">
                  <c:v>Preparation of  Bill of Materials (BOM) file</c:v>
                </c:pt>
                <c:pt idx="10">
                  <c:v>Calculation of Machine Requirements</c:v>
                </c:pt>
                <c:pt idx="11">
                  <c:v>Calculation of Labour Requirements</c:v>
                </c:pt>
                <c:pt idx="12">
                  <c:v>Calculation of Factory Capacity</c:v>
                </c:pt>
                <c:pt idx="13">
                  <c:v>Creation the Line of Balance for the Landing Gear System and its Level 1 Sub-Assemblies</c:v>
                </c:pt>
                <c:pt idx="14">
                  <c:v>Defining implication of this MPS on the capacity of the factory</c:v>
                </c:pt>
                <c:pt idx="15">
                  <c:v>Assisting of line of balance in solution providing for problems</c:v>
                </c:pt>
                <c:pt idx="16">
                  <c:v>Identifying Production Site</c:v>
                </c:pt>
                <c:pt idx="17">
                  <c:v>Supplier Selection</c:v>
                </c:pt>
                <c:pt idx="18">
                  <c:v>Ordering Machines and Raw Materials</c:v>
                </c:pt>
                <c:pt idx="19">
                  <c:v>Manufacturing Trials</c:v>
                </c:pt>
                <c:pt idx="20">
                  <c:v>Finish</c:v>
                </c:pt>
              </c:strCache>
            </c:strRef>
          </c:cat>
          <c:val>
            <c:numRef>
              <c:f>('Baseline Schedule'!$Q$5,'Baseline Schedule'!$Q$7:$Q$11,'Baseline Schedule'!$Q$13:$Q$15,'Baseline Schedule'!$Q$17:$Q$20,'Baseline Schedule'!$Q$22:$Q$24,'Baseline Schedule'!$Q$26:$Q$31,'Baseline Schedule'!$Q$31)</c:f>
              <c:numCache>
                <c:formatCode>General</c:formatCode>
                <c:ptCount val="23"/>
                <c:pt idx="0">
                  <c:v>62.375</c:v>
                </c:pt>
                <c:pt idx="1">
                  <c:v>13.375</c:v>
                </c:pt>
                <c:pt idx="2">
                  <c:v>20.375</c:v>
                </c:pt>
                <c:pt idx="3">
                  <c:v>20.375</c:v>
                </c:pt>
                <c:pt idx="4">
                  <c:v>6.375</c:v>
                </c:pt>
                <c:pt idx="5">
                  <c:v>6.375</c:v>
                </c:pt>
                <c:pt idx="6">
                  <c:v>41.375</c:v>
                </c:pt>
                <c:pt idx="7">
                  <c:v>20.375</c:v>
                </c:pt>
                <c:pt idx="8">
                  <c:v>27.375</c:v>
                </c:pt>
                <c:pt idx="9">
                  <c:v>62.375</c:v>
                </c:pt>
                <c:pt idx="10">
                  <c:v>20.375</c:v>
                </c:pt>
                <c:pt idx="11">
                  <c:v>13.375</c:v>
                </c:pt>
                <c:pt idx="12">
                  <c:v>27.375</c:v>
                </c:pt>
                <c:pt idx="13">
                  <c:v>27.375</c:v>
                </c:pt>
                <c:pt idx="14">
                  <c:v>13.375</c:v>
                </c:pt>
                <c:pt idx="15">
                  <c:v>20.375</c:v>
                </c:pt>
                <c:pt idx="16">
                  <c:v>34.375</c:v>
                </c:pt>
                <c:pt idx="17">
                  <c:v>13.375</c:v>
                </c:pt>
                <c:pt idx="18">
                  <c:v>62.375</c:v>
                </c:pt>
                <c:pt idx="19">
                  <c:v>20.375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3-49A4-9631-2755AA81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6290816"/>
        <c:axId val="216539136"/>
      </c:barChart>
      <c:catAx>
        <c:axId val="216290816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216539136"/>
        <c:crosses val="autoZero"/>
        <c:auto val="1"/>
        <c:lblAlgn val="ctr"/>
        <c:lblOffset val="100"/>
        <c:noMultiLvlLbl val="0"/>
      </c:catAx>
      <c:valAx>
        <c:axId val="216539136"/>
        <c:scaling>
          <c:orientation val="minMax"/>
          <c:min val="43298.333330000001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216290816"/>
        <c:crosses val="autoZero"/>
        <c:crossBetween val="between"/>
        <c:majorUnit val="7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Resources!$B$3:$B$6</c:f>
              <c:strCache>
                <c:ptCount val="4"/>
                <c:pt idx="0">
                  <c:v>Consultant</c:v>
                </c:pt>
                <c:pt idx="1">
                  <c:v>Engineers</c:v>
                </c:pt>
                <c:pt idx="2">
                  <c:v>Workers</c:v>
                </c:pt>
                <c:pt idx="3">
                  <c:v>The Graduates</c:v>
                </c:pt>
              </c:strCache>
            </c:strRef>
          </c:cat>
          <c:val>
            <c:numRef>
              <c:f>Resources!$H$3:$H$6</c:f>
              <c:numCache>
                <c:formatCode>#,##0.00\€</c:formatCode>
                <c:ptCount val="4"/>
                <c:pt idx="0">
                  <c:v>7650000</c:v>
                </c:pt>
                <c:pt idx="1">
                  <c:v>1627500</c:v>
                </c:pt>
                <c:pt idx="2">
                  <c:v>1270000</c:v>
                </c:pt>
                <c:pt idx="3">
                  <c:v>1015000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3-4990-99CA-500ADF731C2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nl-B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BE"/>
              <a:t>Risk</a:t>
            </a:r>
            <a:r>
              <a:rPr lang="nl-BE" baseline="0"/>
              <a:t> analysis</a:t>
            </a:r>
            <a:endParaRPr lang="nl-BE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Analysis'!$B$7:$B$11,'Risk Analysis'!$B$13:$B$15,'Risk Analysis'!$B$17:$B$20,'Risk Analysis'!$B$22:$B$24,'Risk Analysis'!$B$26:$B$30)</c:f>
              <c:strCache>
                <c:ptCount val="21"/>
                <c:pt idx="0">
                  <c:v>Feasiblity Study</c:v>
                </c:pt>
                <c:pt idx="1">
                  <c:v>Specifying the size of Single and Twin engined light aircrafts replacement in the market</c:v>
                </c:pt>
                <c:pt idx="2">
                  <c:v>Calculation of the potential annual demand volumes for landing gear struts according to each of the different retail prices</c:v>
                </c:pt>
                <c:pt idx="3">
                  <c:v>Calculation of the annual sales volumes actually achievable, taking into account the maximum capacity of the factory set by the directors</c:v>
                </c:pt>
                <c:pt idx="4">
                  <c:v>Calculation of the total annual trade sales revenues and fixed/variable/total costs for each retail</c:v>
                </c:pt>
                <c:pt idx="5">
                  <c:v>Calculation of the-trade price at which the company should sell at to generate the maximum profit</c:v>
                </c:pt>
                <c:pt idx="6">
                  <c:v>Preparation of Business Plan</c:v>
                </c:pt>
                <c:pt idx="7">
                  <c:v>Financial Analysis</c:v>
                </c:pt>
                <c:pt idx="8">
                  <c:v>Team Selection (Recruitment of Management Team and Staff)</c:v>
                </c:pt>
                <c:pt idx="9">
                  <c:v>Preparation of  Bill of Materials (BOM) file</c:v>
                </c:pt>
                <c:pt idx="10">
                  <c:v>Calculation of Machine Requirements</c:v>
                </c:pt>
                <c:pt idx="11">
                  <c:v>Calculation of Labour Requirements</c:v>
                </c:pt>
                <c:pt idx="12">
                  <c:v>Calculation of Factory Capacity</c:v>
                </c:pt>
                <c:pt idx="13">
                  <c:v>Creation the Line of Balance for the Landing Gear System and its Level 1 Sub-Assemblies</c:v>
                </c:pt>
                <c:pt idx="14">
                  <c:v>Defining implication of this MPS on the capacity of the factory</c:v>
                </c:pt>
                <c:pt idx="15">
                  <c:v>Assisting of line of balance in solution providing for problems</c:v>
                </c:pt>
                <c:pt idx="16">
                  <c:v>Identifying Production Site</c:v>
                </c:pt>
                <c:pt idx="17">
                  <c:v>Supplier Selection</c:v>
                </c:pt>
                <c:pt idx="18">
                  <c:v>Ordering Machines and Raw Materials</c:v>
                </c:pt>
                <c:pt idx="19">
                  <c:v>Manufacturing Trials</c:v>
                </c:pt>
                <c:pt idx="20">
                  <c:v>Finish</c:v>
                </c:pt>
              </c:strCache>
            </c:strRef>
          </c:cat>
          <c:val>
            <c:numRef>
              <c:f>('Risk Analysis'!$W$5,'Risk Analysis'!$W$7:$W$11,'Risk Analysis'!$W$13:$W$15,'Risk Analysis'!$W$17:$W$20,'Risk Analysis'!$W$22:$W$24,'Risk Analysis'!$W$26:$W$30)</c:f>
              <c:numCache>
                <c:formatCode>General</c:formatCode>
                <c:ptCount val="21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2-4C8D-8310-95EF6C108709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Analysis'!$B$7:$B$11,'Risk Analysis'!$B$13:$B$15,'Risk Analysis'!$B$17:$B$20,'Risk Analysis'!$B$22:$B$24,'Risk Analysis'!$B$26:$B$30)</c:f>
              <c:strCache>
                <c:ptCount val="21"/>
                <c:pt idx="0">
                  <c:v>Feasiblity Study</c:v>
                </c:pt>
                <c:pt idx="1">
                  <c:v>Specifying the size of Single and Twin engined light aircrafts replacement in the market</c:v>
                </c:pt>
                <c:pt idx="2">
                  <c:v>Calculation of the potential annual demand volumes for landing gear struts according to each of the different retail prices</c:v>
                </c:pt>
                <c:pt idx="3">
                  <c:v>Calculation of the annual sales volumes actually achievable, taking into account the maximum capacity of the factory set by the directors</c:v>
                </c:pt>
                <c:pt idx="4">
                  <c:v>Calculation of the total annual trade sales revenues and fixed/variable/total costs for each retail</c:v>
                </c:pt>
                <c:pt idx="5">
                  <c:v>Calculation of the-trade price at which the company should sell at to generate the maximum profit</c:v>
                </c:pt>
                <c:pt idx="6">
                  <c:v>Preparation of Business Plan</c:v>
                </c:pt>
                <c:pt idx="7">
                  <c:v>Financial Analysis</c:v>
                </c:pt>
                <c:pt idx="8">
                  <c:v>Team Selection (Recruitment of Management Team and Staff)</c:v>
                </c:pt>
                <c:pt idx="9">
                  <c:v>Preparation of  Bill of Materials (BOM) file</c:v>
                </c:pt>
                <c:pt idx="10">
                  <c:v>Calculation of Machine Requirements</c:v>
                </c:pt>
                <c:pt idx="11">
                  <c:v>Calculation of Labour Requirements</c:v>
                </c:pt>
                <c:pt idx="12">
                  <c:v>Calculation of Factory Capacity</c:v>
                </c:pt>
                <c:pt idx="13">
                  <c:v>Creation the Line of Balance for the Landing Gear System and its Level 1 Sub-Assemblies</c:v>
                </c:pt>
                <c:pt idx="14">
                  <c:v>Defining implication of this MPS on the capacity of the factory</c:v>
                </c:pt>
                <c:pt idx="15">
                  <c:v>Assisting of line of balance in solution providing for problems</c:v>
                </c:pt>
                <c:pt idx="16">
                  <c:v>Identifying Production Site</c:v>
                </c:pt>
                <c:pt idx="17">
                  <c:v>Supplier Selection</c:v>
                </c:pt>
                <c:pt idx="18">
                  <c:v>Ordering Machines and Raw Materials</c:v>
                </c:pt>
                <c:pt idx="19">
                  <c:v>Manufacturing Trials</c:v>
                </c:pt>
                <c:pt idx="20">
                  <c:v>Finish</c:v>
                </c:pt>
              </c:strCache>
            </c:strRef>
          </c:cat>
          <c:val>
            <c:numRef>
              <c:f>('Risk Analysis'!$X$5,'Risk Analysis'!$X$7:$X$11,'Risk Analysis'!$X$13:$X$15,'Risk Analysis'!$X$17:$X$20,'Risk Analysis'!$X$22:$X$24,'Risk Analysis'!$X$26:$X$30)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2-4C8D-8310-95EF6C108709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Analysis'!$B$7:$B$11,'Risk Analysis'!$B$13:$B$15,'Risk Analysis'!$B$17:$B$20,'Risk Analysis'!$B$22:$B$24,'Risk Analysis'!$B$26:$B$30)</c:f>
              <c:strCache>
                <c:ptCount val="21"/>
                <c:pt idx="0">
                  <c:v>Feasiblity Study</c:v>
                </c:pt>
                <c:pt idx="1">
                  <c:v>Specifying the size of Single and Twin engined light aircrafts replacement in the market</c:v>
                </c:pt>
                <c:pt idx="2">
                  <c:v>Calculation of the potential annual demand volumes for landing gear struts according to each of the different retail prices</c:v>
                </c:pt>
                <c:pt idx="3">
                  <c:v>Calculation of the annual sales volumes actually achievable, taking into account the maximum capacity of the factory set by the directors</c:v>
                </c:pt>
                <c:pt idx="4">
                  <c:v>Calculation of the total annual trade sales revenues and fixed/variable/total costs for each retail</c:v>
                </c:pt>
                <c:pt idx="5">
                  <c:v>Calculation of the-trade price at which the company should sell at to generate the maximum profit</c:v>
                </c:pt>
                <c:pt idx="6">
                  <c:v>Preparation of Business Plan</c:v>
                </c:pt>
                <c:pt idx="7">
                  <c:v>Financial Analysis</c:v>
                </c:pt>
                <c:pt idx="8">
                  <c:v>Team Selection (Recruitment of Management Team and Staff)</c:v>
                </c:pt>
                <c:pt idx="9">
                  <c:v>Preparation of  Bill of Materials (BOM) file</c:v>
                </c:pt>
                <c:pt idx="10">
                  <c:v>Calculation of Machine Requirements</c:v>
                </c:pt>
                <c:pt idx="11">
                  <c:v>Calculation of Labour Requirements</c:v>
                </c:pt>
                <c:pt idx="12">
                  <c:v>Calculation of Factory Capacity</c:v>
                </c:pt>
                <c:pt idx="13">
                  <c:v>Creation the Line of Balance for the Landing Gear System and its Level 1 Sub-Assemblies</c:v>
                </c:pt>
                <c:pt idx="14">
                  <c:v>Defining implication of this MPS on the capacity of the factory</c:v>
                </c:pt>
                <c:pt idx="15">
                  <c:v>Assisting of line of balance in solution providing for problems</c:v>
                </c:pt>
                <c:pt idx="16">
                  <c:v>Identifying Production Site</c:v>
                </c:pt>
                <c:pt idx="17">
                  <c:v>Supplier Selection</c:v>
                </c:pt>
                <c:pt idx="18">
                  <c:v>Ordering Machines and Raw Materials</c:v>
                </c:pt>
                <c:pt idx="19">
                  <c:v>Manufacturing Trials</c:v>
                </c:pt>
                <c:pt idx="20">
                  <c:v>Finish</c:v>
                </c:pt>
              </c:strCache>
            </c:strRef>
          </c:cat>
          <c:val>
            <c:numRef>
              <c:f>('Risk Analysis'!$Y$5,'Risk Analysis'!$Y$7:$Y$11,'Risk Analysis'!$Y$13:$Y$15,'Risk Analysis'!$Y$17:$Y$20,'Risk Analysis'!$Y$22:$Y$24,'Risk Analysis'!$Y$26:$Y$30)</c:f>
              <c:numCache>
                <c:formatCode>General</c:formatCode>
                <c:ptCount val="2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2-4C8D-8310-95EF6C108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748672"/>
        <c:axId val="290762752"/>
      </c:barChart>
      <c:catAx>
        <c:axId val="29074867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nl-BE"/>
                  <a:t>Activities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90762752"/>
        <c:crosses val="autoZero"/>
        <c:auto val="1"/>
        <c:lblAlgn val="ctr"/>
        <c:lblOffset val="100"/>
        <c:noMultiLvlLbl val="0"/>
      </c:catAx>
      <c:valAx>
        <c:axId val="29076275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74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Overview'!$F$3:$F$21</c:f>
              <c:numCache>
                <c:formatCode>#,##0.00\€</c:formatCode>
                <c:ptCount val="19"/>
                <c:pt idx="0">
                  <c:v>605000</c:v>
                </c:pt>
                <c:pt idx="1">
                  <c:v>1205000</c:v>
                </c:pt>
                <c:pt idx="2">
                  <c:v>1916500</c:v>
                </c:pt>
                <c:pt idx="3">
                  <c:v>2837500</c:v>
                </c:pt>
                <c:pt idx="4">
                  <c:v>3689500</c:v>
                </c:pt>
                <c:pt idx="5">
                  <c:v>4289500</c:v>
                </c:pt>
                <c:pt idx="6">
                  <c:v>5144500</c:v>
                </c:pt>
                <c:pt idx="7">
                  <c:v>5974500</c:v>
                </c:pt>
                <c:pt idx="8">
                  <c:v>6319500</c:v>
                </c:pt>
                <c:pt idx="9">
                  <c:v>6805500</c:v>
                </c:pt>
                <c:pt idx="10">
                  <c:v>7591000</c:v>
                </c:pt>
                <c:pt idx="11">
                  <c:v>7884600</c:v>
                </c:pt>
                <c:pt idx="12">
                  <c:v>8317000</c:v>
                </c:pt>
                <c:pt idx="13">
                  <c:v>9078400</c:v>
                </c:pt>
                <c:pt idx="14">
                  <c:v>9726400</c:v>
                </c:pt>
                <c:pt idx="15">
                  <c:v>9970800</c:v>
                </c:pt>
                <c:pt idx="16">
                  <c:v>10155800</c:v>
                </c:pt>
                <c:pt idx="17">
                  <c:v>10575800</c:v>
                </c:pt>
                <c:pt idx="18">
                  <c:v>10687800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A-4369-BCDA-2D178B788AB4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Overview'!$E$3:$E$21</c:f>
              <c:numCache>
                <c:formatCode>#,##0.00\€</c:formatCode>
                <c:ptCount val="19"/>
                <c:pt idx="0">
                  <c:v>739693.90273094201</c:v>
                </c:pt>
                <c:pt idx="1">
                  <c:v>1474387.8054618801</c:v>
                </c:pt>
                <c:pt idx="2">
                  <c:v>2110833.3468437199</c:v>
                </c:pt>
                <c:pt idx="3">
                  <c:v>3216341.4422422601</c:v>
                </c:pt>
                <c:pt idx="4">
                  <c:v>4196017.1031951904</c:v>
                </c:pt>
                <c:pt idx="5">
                  <c:v>4743545.6562042199</c:v>
                </c:pt>
                <c:pt idx="6">
                  <c:v>5653464.8919105502</c:v>
                </c:pt>
                <c:pt idx="7">
                  <c:v>6440833.34445953</c:v>
                </c:pt>
                <c:pt idx="8">
                  <c:v>6973536.6117954301</c:v>
                </c:pt>
                <c:pt idx="9">
                  <c:v>7702875.63335896</c:v>
                </c:pt>
                <c:pt idx="10">
                  <c:v>8598430.4504394494</c:v>
                </c:pt>
                <c:pt idx="11">
                  <c:v>9106857.1424484309</c:v>
                </c:pt>
                <c:pt idx="12">
                  <c:v>9655448.0642676391</c:v>
                </c:pt>
                <c:pt idx="13">
                  <c:v>10215644.3190575</c:v>
                </c:pt>
                <c:pt idx="14">
                  <c:v>10661005.170345301</c:v>
                </c:pt>
                <c:pt idx="15">
                  <c:v>10941932.9893589</c:v>
                </c:pt>
                <c:pt idx="16">
                  <c:v>11191337.210685</c:v>
                </c:pt>
                <c:pt idx="17">
                  <c:v>11484360.4528904</c:v>
                </c:pt>
                <c:pt idx="18">
                  <c:v>11562500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A-4369-BCDA-2D178B788AB4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Overview'!$D$3:$D$21</c:f>
              <c:numCache>
                <c:formatCode>#,##0.00\€</c:formatCode>
                <c:ptCount val="19"/>
                <c:pt idx="0">
                  <c:v>605000</c:v>
                </c:pt>
                <c:pt idx="1">
                  <c:v>1205000</c:v>
                </c:pt>
                <c:pt idx="2">
                  <c:v>1805000</c:v>
                </c:pt>
                <c:pt idx="3">
                  <c:v>2677500</c:v>
                </c:pt>
                <c:pt idx="4">
                  <c:v>3862500</c:v>
                </c:pt>
                <c:pt idx="5">
                  <c:v>4467500</c:v>
                </c:pt>
                <c:pt idx="6">
                  <c:v>5067500</c:v>
                </c:pt>
                <c:pt idx="7">
                  <c:v>6077500</c:v>
                </c:pt>
                <c:pt idx="8">
                  <c:v>6695000</c:v>
                </c:pt>
                <c:pt idx="9">
                  <c:v>6995000</c:v>
                </c:pt>
                <c:pt idx="10">
                  <c:v>7295000</c:v>
                </c:pt>
                <c:pt idx="11">
                  <c:v>7905500</c:v>
                </c:pt>
                <c:pt idx="12">
                  <c:v>8752000</c:v>
                </c:pt>
                <c:pt idx="13">
                  <c:v>9076000</c:v>
                </c:pt>
                <c:pt idx="14">
                  <c:v>9255000</c:v>
                </c:pt>
                <c:pt idx="15">
                  <c:v>9712000</c:v>
                </c:pt>
                <c:pt idx="16">
                  <c:v>10457500</c:v>
                </c:pt>
                <c:pt idx="17">
                  <c:v>10847500</c:v>
                </c:pt>
                <c:pt idx="18">
                  <c:v>10967500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A-4369-BCDA-2D178B78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202240"/>
        <c:axId val="320204160"/>
      </c:lineChart>
      <c:catAx>
        <c:axId val="32020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204160"/>
        <c:crosses val="autoZero"/>
        <c:auto val="1"/>
        <c:lblAlgn val="ctr"/>
        <c:lblOffset val="100"/>
        <c:noMultiLvlLbl val="0"/>
      </c:catAx>
      <c:valAx>
        <c:axId val="320204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320202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Overview'!$AG$3:$AG$21</c:f>
              <c:numCache>
                <c:formatCode>0.0000</c:formatCode>
                <c:ptCount val="19"/>
                <c:pt idx="0">
                  <c:v>1.2226345499685001</c:v>
                </c:pt>
                <c:pt idx="1">
                  <c:v>1.22355834478165</c:v>
                </c:pt>
                <c:pt idx="2">
                  <c:v>1.1014001287992301</c:v>
                </c:pt>
                <c:pt idx="3">
                  <c:v>1.13351240255234</c:v>
                </c:pt>
                <c:pt idx="4">
                  <c:v>1.1372861100949201</c:v>
                </c:pt>
                <c:pt idx="5">
                  <c:v>1.10585048518574</c:v>
                </c:pt>
                <c:pt idx="6">
                  <c:v>1.09893379179912</c:v>
                </c:pt>
                <c:pt idx="7">
                  <c:v>1.0780539533784499</c:v>
                </c:pt>
                <c:pt idx="8">
                  <c:v>1.10349499355889</c:v>
                </c:pt>
                <c:pt idx="9">
                  <c:v>1.1318603531495</c:v>
                </c:pt>
                <c:pt idx="10">
                  <c:v>1.1327137992938301</c:v>
                </c:pt>
                <c:pt idx="11">
                  <c:v>1.1550182815169301</c:v>
                </c:pt>
                <c:pt idx="12">
                  <c:v>1.1609291889224</c:v>
                </c:pt>
                <c:pt idx="13">
                  <c:v>1.12526924557824</c:v>
                </c:pt>
                <c:pt idx="14">
                  <c:v>1.096089526479</c:v>
                </c:pt>
                <c:pt idx="15">
                  <c:v>1.09739770022053</c:v>
                </c:pt>
                <c:pt idx="16">
                  <c:v>1.1019651047367001</c:v>
                </c:pt>
                <c:pt idx="17">
                  <c:v>1.0859093830150299</c:v>
                </c:pt>
                <c:pt idx="18">
                  <c:v>1.0818409775632001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A-4B17-B95E-5ACF671F97D3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Overview'!$AF$3:$AF$21</c:f>
              <c:numCache>
                <c:formatCode>0.0000</c:formatCode>
                <c:ptCount val="19"/>
                <c:pt idx="0">
                  <c:v>1.2250000000000001</c:v>
                </c:pt>
                <c:pt idx="1">
                  <c:v>1.2250000000000001</c:v>
                </c:pt>
                <c:pt idx="2">
                  <c:v>1.12777777777778</c:v>
                </c:pt>
                <c:pt idx="3">
                  <c:v>1.1416666666666699</c:v>
                </c:pt>
                <c:pt idx="4">
                  <c:v>1.1100000000000001</c:v>
                </c:pt>
                <c:pt idx="5">
                  <c:v>1.0777777777777799</c:v>
                </c:pt>
                <c:pt idx="6">
                  <c:v>1.0928571428571401</c:v>
                </c:pt>
                <c:pt idx="7">
                  <c:v>1.03854166666667</c:v>
                </c:pt>
                <c:pt idx="8">
                  <c:v>1.1037037037037001</c:v>
                </c:pt>
                <c:pt idx="9">
                  <c:v>1.1766666666666701</c:v>
                </c:pt>
                <c:pt idx="10">
                  <c:v>1.14848484848485</c:v>
                </c:pt>
                <c:pt idx="11">
                  <c:v>1.19583333333333</c:v>
                </c:pt>
                <c:pt idx="12">
                  <c:v>1.22435897435897</c:v>
                </c:pt>
                <c:pt idx="13">
                  <c:v>1.1952380952381001</c:v>
                </c:pt>
                <c:pt idx="14">
                  <c:v>1.14888888888889</c:v>
                </c:pt>
                <c:pt idx="15">
                  <c:v>1.1744791666666701</c:v>
                </c:pt>
                <c:pt idx="16">
                  <c:v>1.20294117647059</c:v>
                </c:pt>
                <c:pt idx="17">
                  <c:v>1.175</c:v>
                </c:pt>
                <c:pt idx="18">
                  <c:v>1.12280701754386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A-4B17-B95E-5ACF671F9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653056"/>
        <c:axId val="368654976"/>
      </c:lineChart>
      <c:catAx>
        <c:axId val="36865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8654976"/>
        <c:crosses val="autoZero"/>
        <c:auto val="1"/>
        <c:lblAlgn val="ctr"/>
        <c:lblOffset val="100"/>
        <c:noMultiLvlLbl val="0"/>
      </c:catAx>
      <c:valAx>
        <c:axId val="368654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368653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Overview'!$AF$3:$AF$21</c:f>
              <c:numCache>
                <c:formatCode>0.0000</c:formatCode>
                <c:ptCount val="19"/>
                <c:pt idx="0">
                  <c:v>1.2250000000000001</c:v>
                </c:pt>
                <c:pt idx="1">
                  <c:v>1.2250000000000001</c:v>
                </c:pt>
                <c:pt idx="2">
                  <c:v>1.12777777777778</c:v>
                </c:pt>
                <c:pt idx="3">
                  <c:v>1.1416666666666699</c:v>
                </c:pt>
                <c:pt idx="4">
                  <c:v>1.1100000000000001</c:v>
                </c:pt>
                <c:pt idx="5">
                  <c:v>1.0777777777777799</c:v>
                </c:pt>
                <c:pt idx="6">
                  <c:v>1.0928571428571401</c:v>
                </c:pt>
                <c:pt idx="7">
                  <c:v>1.03854166666667</c:v>
                </c:pt>
                <c:pt idx="8">
                  <c:v>1.1037037037037001</c:v>
                </c:pt>
                <c:pt idx="9">
                  <c:v>1.1766666666666701</c:v>
                </c:pt>
                <c:pt idx="10">
                  <c:v>1.14848484848485</c:v>
                </c:pt>
                <c:pt idx="11">
                  <c:v>1.19583333333333</c:v>
                </c:pt>
                <c:pt idx="12">
                  <c:v>1.22435897435897</c:v>
                </c:pt>
                <c:pt idx="13">
                  <c:v>1.1952380952381001</c:v>
                </c:pt>
                <c:pt idx="14">
                  <c:v>1.14888888888889</c:v>
                </c:pt>
                <c:pt idx="15">
                  <c:v>1.1744791666666701</c:v>
                </c:pt>
                <c:pt idx="16">
                  <c:v>1.20294117647059</c:v>
                </c:pt>
                <c:pt idx="17">
                  <c:v>1.175</c:v>
                </c:pt>
                <c:pt idx="18">
                  <c:v>1.12280701754386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B-439A-931C-D278A74D4A89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Overview'!$AH$3:$AH$21</c:f>
              <c:numCache>
                <c:formatCode>0.0000</c:formatCode>
                <c:ptCount val="19"/>
                <c:pt idx="0">
                  <c:v>1.2226345499685001</c:v>
                </c:pt>
                <c:pt idx="1">
                  <c:v>1.22355834478165</c:v>
                </c:pt>
                <c:pt idx="2">
                  <c:v>1.16943675725414</c:v>
                </c:pt>
                <c:pt idx="3">
                  <c:v>1.20124797095883</c:v>
                </c:pt>
                <c:pt idx="4">
                  <c:v>1.0863474700828999</c:v>
                </c:pt>
                <c:pt idx="5">
                  <c:v>1.0617897383781101</c:v>
                </c:pt>
                <c:pt idx="6">
                  <c:v>1.1156319470963101</c:v>
                </c:pt>
                <c:pt idx="7">
                  <c:v>1.05978335573172</c:v>
                </c:pt>
                <c:pt idx="8">
                  <c:v>1.0416036761456899</c:v>
                </c:pt>
                <c:pt idx="9">
                  <c:v>1.1011973743186501</c:v>
                </c:pt>
                <c:pt idx="10">
                  <c:v>1.17867449629054</c:v>
                </c:pt>
                <c:pt idx="11">
                  <c:v>1.15196472613351</c:v>
                </c:pt>
                <c:pt idx="12">
                  <c:v>1.1032276124620199</c:v>
                </c:pt>
                <c:pt idx="13">
                  <c:v>1.1255668046559599</c:v>
                </c:pt>
                <c:pt idx="14">
                  <c:v>1.1519184408801</c:v>
                </c:pt>
                <c:pt idx="15">
                  <c:v>1.12664054668028</c:v>
                </c:pt>
                <c:pt idx="16">
                  <c:v>1.0701732929175201</c:v>
                </c:pt>
                <c:pt idx="17">
                  <c:v>1.0587103436635501</c:v>
                </c:pt>
                <c:pt idx="18">
                  <c:v>1.0542511967175701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B-439A-931C-D278A74D4A89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Overview'!$AI$3:$AI$21</c:f>
              <c:numCache>
                <c:formatCode>0.0000</c:formatCode>
                <c:ptCount val="19"/>
                <c:pt idx="0">
                  <c:v>0.99958635504181403</c:v>
                </c:pt>
                <c:pt idx="1">
                  <c:v>0.99958495285551396</c:v>
                </c:pt>
                <c:pt idx="2">
                  <c:v>0.99732263021200995</c:v>
                </c:pt>
                <c:pt idx="3">
                  <c:v>0.98582692592572896</c:v>
                </c:pt>
                <c:pt idx="4">
                  <c:v>0.99964671904590596</c:v>
                </c:pt>
                <c:pt idx="5">
                  <c:v>0.99916706818414402</c:v>
                </c:pt>
                <c:pt idx="6">
                  <c:v>0.99528649271561698</c:v>
                </c:pt>
                <c:pt idx="7">
                  <c:v>0.99663952608910999</c:v>
                </c:pt>
                <c:pt idx="8">
                  <c:v>0.99979019523948798</c:v>
                </c:pt>
                <c:pt idx="9">
                  <c:v>0.98207253645162695</c:v>
                </c:pt>
                <c:pt idx="10">
                  <c:v>0.99793401353789701</c:v>
                </c:pt>
                <c:pt idx="11">
                  <c:v>0.99996235313251303</c:v>
                </c:pt>
                <c:pt idx="12">
                  <c:v>0.992833247877693</c:v>
                </c:pt>
                <c:pt idx="13">
                  <c:v>0.98502024164986202</c:v>
                </c:pt>
                <c:pt idx="14">
                  <c:v>0.99702884184160401</c:v>
                </c:pt>
                <c:pt idx="15">
                  <c:v>0.99994818271500097</c:v>
                </c:pt>
                <c:pt idx="16">
                  <c:v>0.99998545420051099</c:v>
                </c:pt>
                <c:pt idx="17">
                  <c:v>0.999900783848365</c:v>
                </c:pt>
                <c:pt idx="18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1B-439A-931C-D278A74D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624704"/>
        <c:axId val="321643264"/>
      </c:lineChart>
      <c:catAx>
        <c:axId val="32162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1643264"/>
        <c:crosses val="autoZero"/>
        <c:auto val="1"/>
        <c:lblAlgn val="ctr"/>
        <c:lblOffset val="100"/>
        <c:noMultiLvlLbl val="0"/>
      </c:catAx>
      <c:valAx>
        <c:axId val="321643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321624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Overview'!$J$3:$J$21</c:f>
              <c:numCache>
                <c:formatCode>#,##0.00\€</c:formatCode>
                <c:ptCount val="19"/>
                <c:pt idx="0">
                  <c:v>134693.90273094201</c:v>
                </c:pt>
                <c:pt idx="1">
                  <c:v>269387.80546188302</c:v>
                </c:pt>
                <c:pt idx="2">
                  <c:v>194333.34684371899</c:v>
                </c:pt>
                <c:pt idx="3">
                  <c:v>378841.44224226498</c:v>
                </c:pt>
                <c:pt idx="4">
                  <c:v>506517.10319519002</c:v>
                </c:pt>
                <c:pt idx="5">
                  <c:v>454045.65620422398</c:v>
                </c:pt>
                <c:pt idx="6">
                  <c:v>508964.89191055298</c:v>
                </c:pt>
                <c:pt idx="7">
                  <c:v>466333.34445953398</c:v>
                </c:pt>
                <c:pt idx="8">
                  <c:v>654036.61179542495</c:v>
                </c:pt>
                <c:pt idx="9">
                  <c:v>897375.63335895503</c:v>
                </c:pt>
                <c:pt idx="10">
                  <c:v>1007430.45043945</c:v>
                </c:pt>
                <c:pt idx="11">
                  <c:v>1222257.1424484299</c:v>
                </c:pt>
                <c:pt idx="12">
                  <c:v>1338448.06426764</c:v>
                </c:pt>
                <c:pt idx="13">
                  <c:v>1137244.3190574599</c:v>
                </c:pt>
                <c:pt idx="14">
                  <c:v>934605.17034530605</c:v>
                </c:pt>
                <c:pt idx="15">
                  <c:v>971132.98935890198</c:v>
                </c:pt>
                <c:pt idx="16">
                  <c:v>1035537.21068501</c:v>
                </c:pt>
                <c:pt idx="17">
                  <c:v>908560.452890396</c:v>
                </c:pt>
                <c:pt idx="18">
                  <c:v>874700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1-4DEE-BF35-BA28572CC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685632"/>
        <c:axId val="369687552"/>
      </c:lineChart>
      <c:catAx>
        <c:axId val="369685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9687552"/>
        <c:crosses val="autoZero"/>
        <c:auto val="1"/>
        <c:lblAlgn val="ctr"/>
        <c:lblOffset val="100"/>
        <c:noMultiLvlLbl val="0"/>
      </c:catAx>
      <c:valAx>
        <c:axId val="369687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369685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Overview'!$AJ$3:$AJ$21</c:f>
              <c:numCache>
                <c:formatCode>General</c:formatCode>
                <c:ptCount val="19"/>
                <c:pt idx="0">
                  <c:v>3.375</c:v>
                </c:pt>
                <c:pt idx="1">
                  <c:v>6.75</c:v>
                </c:pt>
                <c:pt idx="2">
                  <c:v>5.75</c:v>
                </c:pt>
                <c:pt idx="3">
                  <c:v>8.5</c:v>
                </c:pt>
                <c:pt idx="4">
                  <c:v>8.25</c:v>
                </c:pt>
                <c:pt idx="5">
                  <c:v>7</c:v>
                </c:pt>
                <c:pt idx="6">
                  <c:v>9.75</c:v>
                </c:pt>
                <c:pt idx="7">
                  <c:v>4.625</c:v>
                </c:pt>
                <c:pt idx="8">
                  <c:v>14</c:v>
                </c:pt>
                <c:pt idx="9">
                  <c:v>26.5</c:v>
                </c:pt>
                <c:pt idx="10">
                  <c:v>24.5</c:v>
                </c:pt>
                <c:pt idx="11">
                  <c:v>35.25</c:v>
                </c:pt>
                <c:pt idx="12">
                  <c:v>43.75</c:v>
                </c:pt>
                <c:pt idx="13">
                  <c:v>41</c:v>
                </c:pt>
                <c:pt idx="14">
                  <c:v>33.4</c:v>
                </c:pt>
                <c:pt idx="15">
                  <c:v>41.875</c:v>
                </c:pt>
                <c:pt idx="16">
                  <c:v>51.75</c:v>
                </c:pt>
                <c:pt idx="17">
                  <c:v>47.25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B-4688-B2A3-92E978ED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820608"/>
        <c:axId val="370822528"/>
      </c:lineChart>
      <c:catAx>
        <c:axId val="37082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0822528"/>
        <c:crosses val="autoZero"/>
        <c:auto val="1"/>
        <c:lblAlgn val="ctr"/>
        <c:lblOffset val="100"/>
        <c:noMultiLvlLbl val="0"/>
      </c:catAx>
      <c:valAx>
        <c:axId val="370822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082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Overview'!$AK$3:$AK$21</c:f>
              <c:numCache>
                <c:formatCode>0.0000</c:formatCode>
                <c:ptCount val="19"/>
                <c:pt idx="0">
                  <c:v>1.2226345499685001</c:v>
                </c:pt>
                <c:pt idx="1">
                  <c:v>1.22355834478165</c:v>
                </c:pt>
                <c:pt idx="2">
                  <c:v>1.1014001287992301</c:v>
                </c:pt>
                <c:pt idx="3">
                  <c:v>1.13351240255234</c:v>
                </c:pt>
                <c:pt idx="4">
                  <c:v>1.1372861100949201</c:v>
                </c:pt>
                <c:pt idx="5">
                  <c:v>1.10585048518574</c:v>
                </c:pt>
                <c:pt idx="6">
                  <c:v>1.09893379179912</c:v>
                </c:pt>
                <c:pt idx="7">
                  <c:v>1.0780539533784499</c:v>
                </c:pt>
                <c:pt idx="8">
                  <c:v>1.10349499355889</c:v>
                </c:pt>
                <c:pt idx="9">
                  <c:v>1.1318603531495</c:v>
                </c:pt>
                <c:pt idx="10">
                  <c:v>1.1327137992938301</c:v>
                </c:pt>
                <c:pt idx="11">
                  <c:v>1.1550182815169301</c:v>
                </c:pt>
                <c:pt idx="12">
                  <c:v>1.1609291889224</c:v>
                </c:pt>
                <c:pt idx="13">
                  <c:v>1.12526924557824</c:v>
                </c:pt>
                <c:pt idx="14">
                  <c:v>1.096089526479</c:v>
                </c:pt>
                <c:pt idx="15">
                  <c:v>1.09739770022053</c:v>
                </c:pt>
                <c:pt idx="16">
                  <c:v>1.1019651047367001</c:v>
                </c:pt>
                <c:pt idx="17">
                  <c:v>1.0859093830150299</c:v>
                </c:pt>
                <c:pt idx="18">
                  <c:v>1.0818409775632001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E-4C97-9667-DFA8C953A4C8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Overview'!$AL$3:$AL$21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DE-4C97-9667-DFA8C953A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5792"/>
        <c:axId val="372004352"/>
      </c:lineChart>
      <c:catAx>
        <c:axId val="37198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004352"/>
        <c:crosses val="autoZero"/>
        <c:auto val="1"/>
        <c:lblAlgn val="ctr"/>
        <c:lblOffset val="100"/>
        <c:noMultiLvlLbl val="0"/>
      </c:catAx>
      <c:valAx>
        <c:axId val="37200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37198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Overview'!$AM$3:$AM$21</c:f>
              <c:numCache>
                <c:formatCode>0.0000</c:formatCode>
                <c:ptCount val="19"/>
                <c:pt idx="0">
                  <c:v>1.2250000000000001</c:v>
                </c:pt>
                <c:pt idx="1">
                  <c:v>1.2250000000000001</c:v>
                </c:pt>
                <c:pt idx="2">
                  <c:v>1.12777777777778</c:v>
                </c:pt>
                <c:pt idx="3">
                  <c:v>1.1416666666666699</c:v>
                </c:pt>
                <c:pt idx="4">
                  <c:v>1.1100000000000001</c:v>
                </c:pt>
                <c:pt idx="5">
                  <c:v>1.0777777777777799</c:v>
                </c:pt>
                <c:pt idx="6">
                  <c:v>1.0928571428571401</c:v>
                </c:pt>
                <c:pt idx="7">
                  <c:v>1.03854166666667</c:v>
                </c:pt>
                <c:pt idx="8">
                  <c:v>1.1037037037037001</c:v>
                </c:pt>
                <c:pt idx="9">
                  <c:v>1.1766666666666701</c:v>
                </c:pt>
                <c:pt idx="10">
                  <c:v>1.14848484848485</c:v>
                </c:pt>
                <c:pt idx="11">
                  <c:v>1.19583333333333</c:v>
                </c:pt>
                <c:pt idx="12">
                  <c:v>1.22435897435897</c:v>
                </c:pt>
                <c:pt idx="13">
                  <c:v>1.1952380952381001</c:v>
                </c:pt>
                <c:pt idx="14">
                  <c:v>1.14888888888889</c:v>
                </c:pt>
                <c:pt idx="15">
                  <c:v>1.1744791666666701</c:v>
                </c:pt>
                <c:pt idx="16">
                  <c:v>1.20294117647059</c:v>
                </c:pt>
                <c:pt idx="17">
                  <c:v>1.175</c:v>
                </c:pt>
                <c:pt idx="18">
                  <c:v>1.12280701754386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D-414B-B9EE-E0E48247501A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Overview'!$A$3:$A$21</c:f>
              <c:strCache>
                <c:ptCount val="19"/>
                <c:pt idx="0">
                  <c:v>6.08.2018 17:00</c:v>
                </c:pt>
                <c:pt idx="1">
                  <c:v>27.08.2018 17:00</c:v>
                </c:pt>
                <c:pt idx="2">
                  <c:v>17.09.2018 17:00</c:v>
                </c:pt>
                <c:pt idx="3">
                  <c:v>8.10.2018 17:00</c:v>
                </c:pt>
                <c:pt idx="4">
                  <c:v>29.10.2018 17:00</c:v>
                </c:pt>
                <c:pt idx="5">
                  <c:v>19.11.2018 17:00</c:v>
                </c:pt>
                <c:pt idx="6">
                  <c:v>10.12.2018 17:00</c:v>
                </c:pt>
                <c:pt idx="7">
                  <c:v>31.12.2018 17:00</c:v>
                </c:pt>
                <c:pt idx="8">
                  <c:v>21.01.2019 17:00</c:v>
                </c:pt>
                <c:pt idx="9">
                  <c:v>11.02.2019 17:00</c:v>
                </c:pt>
                <c:pt idx="10">
                  <c:v>4.03.2019 17:00</c:v>
                </c:pt>
                <c:pt idx="11">
                  <c:v>25.03.2019 17:00</c:v>
                </c:pt>
                <c:pt idx="12">
                  <c:v>15.04.2019 17:00</c:v>
                </c:pt>
                <c:pt idx="13">
                  <c:v>6.05.2019 17:00</c:v>
                </c:pt>
                <c:pt idx="14">
                  <c:v>27.05.2019 17:00</c:v>
                </c:pt>
                <c:pt idx="15">
                  <c:v>17.06.2019 17:00</c:v>
                </c:pt>
                <c:pt idx="16">
                  <c:v>8.07.2019 17:00</c:v>
                </c:pt>
                <c:pt idx="17">
                  <c:v>29.07.2019 17:00</c:v>
                </c:pt>
                <c:pt idx="18">
                  <c:v>19.08.2019 17:00</c:v>
                </c:pt>
              </c:strCache>
            </c:strRef>
          </c:cat>
          <c:val>
            <c:numRef>
              <c:f>'Tracking Overview'!$AN$3:$AN$21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D-414B-B9EE-E0E482475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11712"/>
        <c:axId val="372213632"/>
      </c:lineChart>
      <c:catAx>
        <c:axId val="37221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213632"/>
        <c:crosses val="autoZero"/>
        <c:auto val="1"/>
        <c:lblAlgn val="ctr"/>
        <c:lblOffset val="100"/>
        <c:noMultiLvlLbl val="0"/>
      </c:catAx>
      <c:valAx>
        <c:axId val="372213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372211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47624</xdr:rowOff>
    </xdr:from>
    <xdr:to>
      <xdr:col>19</xdr:col>
      <xdr:colOff>409575</xdr:colOff>
      <xdr:row>45</xdr:row>
      <xdr:rowOff>133350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</xdr:row>
      <xdr:rowOff>142875</xdr:rowOff>
    </xdr:from>
    <xdr:to>
      <xdr:col>16</xdr:col>
      <xdr:colOff>19050</xdr:colOff>
      <xdr:row>16</xdr:row>
      <xdr:rowOff>161925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95250</xdr:rowOff>
    </xdr:from>
    <xdr:to>
      <xdr:col>21</xdr:col>
      <xdr:colOff>247650</xdr:colOff>
      <xdr:row>22</xdr:row>
      <xdr:rowOff>104775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opLeftCell="D1" workbookViewId="0">
      <selection activeCell="H3" sqref="H3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2" t="s">
        <v>0</v>
      </c>
      <c r="B1" s="22"/>
      <c r="C1" s="22"/>
      <c r="D1" s="22" t="s">
        <v>1</v>
      </c>
      <c r="E1" s="22"/>
      <c r="F1" s="22" t="s">
        <v>2</v>
      </c>
      <c r="G1" s="22"/>
      <c r="H1" s="22"/>
      <c r="I1" s="22" t="s">
        <v>3</v>
      </c>
      <c r="J1" s="22"/>
      <c r="K1" s="22" t="s">
        <v>4</v>
      </c>
      <c r="L1" s="22"/>
      <c r="M1" s="22"/>
      <c r="N1" s="22"/>
      <c r="P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359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43298.333333333299</v>
      </c>
      <c r="G3" s="5">
        <v>43745.708333333299</v>
      </c>
      <c r="H3" s="2" t="s">
        <v>20</v>
      </c>
      <c r="I3" s="2"/>
      <c r="J3" s="6"/>
      <c r="K3" s="6">
        <v>0</v>
      </c>
      <c r="L3" s="6"/>
      <c r="M3" s="6"/>
      <c r="N3" s="6">
        <v>11562500</v>
      </c>
      <c r="Q3" s="19">
        <v>447.375</v>
      </c>
    </row>
    <row r="4" spans="1:17" x14ac:dyDescent="0.35">
      <c r="A4" s="4">
        <v>31</v>
      </c>
      <c r="B4" s="4" t="s">
        <v>21</v>
      </c>
      <c r="C4" s="4" t="s">
        <v>22</v>
      </c>
      <c r="D4" s="2"/>
      <c r="E4" s="2"/>
      <c r="F4" s="5">
        <v>43298.333333333299</v>
      </c>
      <c r="G4" s="5">
        <v>43360.708333333299</v>
      </c>
      <c r="H4" s="2" t="s">
        <v>23</v>
      </c>
      <c r="I4" s="2"/>
      <c r="J4" s="6"/>
      <c r="K4" s="6">
        <v>0</v>
      </c>
      <c r="L4" s="6"/>
      <c r="M4" s="6"/>
      <c r="N4" s="6">
        <v>1805000</v>
      </c>
      <c r="Q4" s="19">
        <v>62.375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7">
        <v>43298.333333333299</v>
      </c>
      <c r="G5" s="8">
        <v>43360.708333333299</v>
      </c>
      <c r="H5" s="3" t="s">
        <v>23</v>
      </c>
      <c r="I5" s="4" t="s">
        <v>27</v>
      </c>
      <c r="J5" s="9">
        <v>1805000</v>
      </c>
      <c r="K5" s="10">
        <v>0</v>
      </c>
      <c r="L5" s="9">
        <v>0</v>
      </c>
      <c r="M5" s="10">
        <v>0</v>
      </c>
      <c r="N5" s="9">
        <v>1805000</v>
      </c>
      <c r="Q5" s="19">
        <v>62.375</v>
      </c>
    </row>
    <row r="6" spans="1:17" x14ac:dyDescent="0.35">
      <c r="A6" s="4">
        <v>26</v>
      </c>
      <c r="B6" s="4" t="s">
        <v>28</v>
      </c>
      <c r="C6" s="4" t="s">
        <v>29</v>
      </c>
      <c r="D6" s="2"/>
      <c r="E6" s="2"/>
      <c r="F6" s="5">
        <v>43361.333333333299</v>
      </c>
      <c r="G6" s="5">
        <v>43402.708333333299</v>
      </c>
      <c r="H6" s="2" t="s">
        <v>30</v>
      </c>
      <c r="I6" s="2"/>
      <c r="J6" s="6"/>
      <c r="K6" s="6">
        <v>0</v>
      </c>
      <c r="L6" s="6"/>
      <c r="M6" s="6"/>
      <c r="N6" s="6">
        <v>2057500</v>
      </c>
      <c r="Q6" s="19">
        <v>41.375</v>
      </c>
    </row>
    <row r="7" spans="1:17" ht="32.5" x14ac:dyDescent="0.35">
      <c r="A7" s="3">
        <v>3</v>
      </c>
      <c r="B7" s="3" t="s">
        <v>31</v>
      </c>
      <c r="C7" s="4" t="s">
        <v>32</v>
      </c>
      <c r="D7" s="3" t="s">
        <v>33</v>
      </c>
      <c r="E7" s="3" t="s">
        <v>34</v>
      </c>
      <c r="F7" s="7">
        <v>43361.333333333299</v>
      </c>
      <c r="G7" s="8">
        <v>43374.708333333299</v>
      </c>
      <c r="H7" s="3" t="s">
        <v>35</v>
      </c>
      <c r="I7" s="4" t="s">
        <v>36</v>
      </c>
      <c r="J7" s="9">
        <v>532500</v>
      </c>
      <c r="K7" s="10">
        <v>0</v>
      </c>
      <c r="L7" s="9">
        <v>0</v>
      </c>
      <c r="M7" s="10">
        <v>0</v>
      </c>
      <c r="N7" s="9">
        <v>532500</v>
      </c>
      <c r="Q7" s="19">
        <v>13.375</v>
      </c>
    </row>
    <row r="8" spans="1:17" ht="43" x14ac:dyDescent="0.35">
      <c r="A8" s="3">
        <v>4</v>
      </c>
      <c r="B8" s="3" t="s">
        <v>37</v>
      </c>
      <c r="C8" s="4" t="s">
        <v>38</v>
      </c>
      <c r="D8" s="3" t="s">
        <v>39</v>
      </c>
      <c r="E8" s="3" t="s">
        <v>40</v>
      </c>
      <c r="F8" s="7">
        <v>43375.333333333299</v>
      </c>
      <c r="G8" s="8">
        <v>43395.708333333299</v>
      </c>
      <c r="H8" s="3" t="s">
        <v>41</v>
      </c>
      <c r="I8" s="4" t="s">
        <v>36</v>
      </c>
      <c r="J8" s="9">
        <v>792500</v>
      </c>
      <c r="K8" s="10">
        <v>0</v>
      </c>
      <c r="L8" s="9">
        <v>0</v>
      </c>
      <c r="M8" s="10">
        <v>0</v>
      </c>
      <c r="N8" s="9">
        <v>792500</v>
      </c>
      <c r="Q8" s="19">
        <v>20.375</v>
      </c>
    </row>
    <row r="9" spans="1:17" ht="43" x14ac:dyDescent="0.35">
      <c r="A9" s="3">
        <v>5</v>
      </c>
      <c r="B9" s="3" t="s">
        <v>42</v>
      </c>
      <c r="C9" s="4" t="s">
        <v>43</v>
      </c>
      <c r="D9" s="3" t="s">
        <v>39</v>
      </c>
      <c r="E9" s="3" t="s">
        <v>44</v>
      </c>
      <c r="F9" s="7">
        <v>43375.333333333299</v>
      </c>
      <c r="G9" s="8">
        <v>43395.708333333299</v>
      </c>
      <c r="H9" s="3" t="s">
        <v>41</v>
      </c>
      <c r="I9" s="4" t="s">
        <v>45</v>
      </c>
      <c r="J9" s="9">
        <v>187500</v>
      </c>
      <c r="K9" s="10">
        <v>0</v>
      </c>
      <c r="L9" s="9">
        <v>0</v>
      </c>
      <c r="M9" s="10">
        <v>0</v>
      </c>
      <c r="N9" s="9">
        <v>187500</v>
      </c>
      <c r="Q9" s="19">
        <v>20.375</v>
      </c>
    </row>
    <row r="10" spans="1:17" ht="32.5" x14ac:dyDescent="0.35">
      <c r="A10" s="3">
        <v>6</v>
      </c>
      <c r="B10" s="3" t="s">
        <v>46</v>
      </c>
      <c r="C10" s="4" t="s">
        <v>47</v>
      </c>
      <c r="D10" s="3" t="s">
        <v>48</v>
      </c>
      <c r="E10" s="3" t="s">
        <v>49</v>
      </c>
      <c r="F10" s="7">
        <v>43396.333333333299</v>
      </c>
      <c r="G10" s="8">
        <v>43402.708333333299</v>
      </c>
      <c r="H10" s="3" t="s">
        <v>50</v>
      </c>
      <c r="I10" s="4" t="s">
        <v>36</v>
      </c>
      <c r="J10" s="9">
        <v>272500</v>
      </c>
      <c r="K10" s="10">
        <v>0</v>
      </c>
      <c r="L10" s="9">
        <v>0</v>
      </c>
      <c r="M10" s="10">
        <v>0</v>
      </c>
      <c r="N10" s="9">
        <v>272500</v>
      </c>
      <c r="Q10" s="19">
        <v>6.375</v>
      </c>
    </row>
    <row r="11" spans="1:17" ht="32.5" x14ac:dyDescent="0.35">
      <c r="A11" s="3">
        <v>7</v>
      </c>
      <c r="B11" s="3" t="s">
        <v>51</v>
      </c>
      <c r="C11" s="4" t="s">
        <v>52</v>
      </c>
      <c r="D11" s="3" t="s">
        <v>53</v>
      </c>
      <c r="E11" s="3" t="s">
        <v>49</v>
      </c>
      <c r="F11" s="7">
        <v>43396.333333333299</v>
      </c>
      <c r="G11" s="8">
        <v>43402.708333333299</v>
      </c>
      <c r="H11" s="3" t="s">
        <v>50</v>
      </c>
      <c r="I11" s="4" t="s">
        <v>36</v>
      </c>
      <c r="J11" s="9">
        <v>272500</v>
      </c>
      <c r="K11" s="10">
        <v>0</v>
      </c>
      <c r="L11" s="9">
        <v>0</v>
      </c>
      <c r="M11" s="10">
        <v>0</v>
      </c>
      <c r="N11" s="9">
        <v>272500</v>
      </c>
      <c r="Q11" s="19">
        <v>6.375</v>
      </c>
    </row>
    <row r="12" spans="1:17" ht="22" x14ac:dyDescent="0.35">
      <c r="A12" s="4">
        <v>27</v>
      </c>
      <c r="B12" s="4" t="s">
        <v>54</v>
      </c>
      <c r="C12" s="4" t="s">
        <v>55</v>
      </c>
      <c r="D12" s="2"/>
      <c r="E12" s="2"/>
      <c r="F12" s="5">
        <v>43403.333333333299</v>
      </c>
      <c r="G12" s="5">
        <v>43472.708333333299</v>
      </c>
      <c r="H12" s="2" t="s">
        <v>56</v>
      </c>
      <c r="I12" s="2"/>
      <c r="J12" s="6"/>
      <c r="K12" s="6">
        <v>0</v>
      </c>
      <c r="L12" s="6"/>
      <c r="M12" s="6"/>
      <c r="N12" s="6">
        <v>2615000</v>
      </c>
      <c r="Q12" s="19">
        <v>69.375</v>
      </c>
    </row>
    <row r="13" spans="1:17" x14ac:dyDescent="0.35">
      <c r="A13" s="3">
        <v>9</v>
      </c>
      <c r="B13" s="3" t="s">
        <v>57</v>
      </c>
      <c r="C13" s="4" t="s">
        <v>58</v>
      </c>
      <c r="D13" s="3" t="s">
        <v>59</v>
      </c>
      <c r="E13" s="3" t="s">
        <v>60</v>
      </c>
      <c r="F13" s="7">
        <v>43403.333333333299</v>
      </c>
      <c r="G13" s="8">
        <v>43444.708333333299</v>
      </c>
      <c r="H13" s="3" t="s">
        <v>30</v>
      </c>
      <c r="I13" s="4" t="s">
        <v>27</v>
      </c>
      <c r="J13" s="9">
        <v>1205000</v>
      </c>
      <c r="K13" s="10">
        <v>0</v>
      </c>
      <c r="L13" s="9">
        <v>0</v>
      </c>
      <c r="M13" s="10">
        <v>0</v>
      </c>
      <c r="N13" s="9">
        <v>1205000</v>
      </c>
      <c r="Q13" s="19">
        <v>41.375</v>
      </c>
    </row>
    <row r="14" spans="1:17" x14ac:dyDescent="0.35">
      <c r="A14" s="3">
        <v>10</v>
      </c>
      <c r="B14" s="3" t="s">
        <v>61</v>
      </c>
      <c r="C14" s="4" t="s">
        <v>62</v>
      </c>
      <c r="D14" s="3" t="s">
        <v>63</v>
      </c>
      <c r="E14" s="3" t="s">
        <v>64</v>
      </c>
      <c r="F14" s="7">
        <v>43452.333333333299</v>
      </c>
      <c r="G14" s="8">
        <v>43472.708333333299</v>
      </c>
      <c r="H14" s="3" t="s">
        <v>41</v>
      </c>
      <c r="I14" s="4" t="s">
        <v>27</v>
      </c>
      <c r="J14" s="9">
        <v>605000</v>
      </c>
      <c r="K14" s="10">
        <v>0</v>
      </c>
      <c r="L14" s="9">
        <v>0</v>
      </c>
      <c r="M14" s="10">
        <v>0</v>
      </c>
      <c r="N14" s="9">
        <v>605000</v>
      </c>
      <c r="Q14" s="19">
        <v>20.375</v>
      </c>
    </row>
    <row r="15" spans="1:17" ht="22" x14ac:dyDescent="0.35">
      <c r="A15" s="3">
        <v>11</v>
      </c>
      <c r="B15" s="3" t="s">
        <v>65</v>
      </c>
      <c r="C15" s="4" t="s">
        <v>66</v>
      </c>
      <c r="D15" s="3" t="s">
        <v>63</v>
      </c>
      <c r="E15" s="3" t="s">
        <v>64</v>
      </c>
      <c r="F15" s="7">
        <v>43445.333333333299</v>
      </c>
      <c r="G15" s="8">
        <v>43472.708333333299</v>
      </c>
      <c r="H15" s="3" t="s">
        <v>67</v>
      </c>
      <c r="I15" s="4" t="s">
        <v>27</v>
      </c>
      <c r="J15" s="9">
        <v>805000</v>
      </c>
      <c r="K15" s="10">
        <v>0</v>
      </c>
      <c r="L15" s="9">
        <v>0</v>
      </c>
      <c r="M15" s="10">
        <v>0</v>
      </c>
      <c r="N15" s="9">
        <v>805000</v>
      </c>
      <c r="Q15" s="19">
        <v>27.375</v>
      </c>
    </row>
    <row r="16" spans="1:17" x14ac:dyDescent="0.35">
      <c r="A16" s="4">
        <v>28</v>
      </c>
      <c r="B16" s="4" t="s">
        <v>68</v>
      </c>
      <c r="C16" s="4" t="s">
        <v>69</v>
      </c>
      <c r="D16" s="2"/>
      <c r="E16" s="2"/>
      <c r="F16" s="5">
        <v>43473.333333333299</v>
      </c>
      <c r="G16" s="5">
        <v>43563.708333333299</v>
      </c>
      <c r="H16" s="2" t="s">
        <v>70</v>
      </c>
      <c r="I16" s="2"/>
      <c r="J16" s="6"/>
      <c r="K16" s="6">
        <v>0</v>
      </c>
      <c r="L16" s="6"/>
      <c r="M16" s="6"/>
      <c r="N16" s="6">
        <v>2159500</v>
      </c>
      <c r="Q16" s="19">
        <v>90.375</v>
      </c>
    </row>
    <row r="17" spans="1:17" ht="22" x14ac:dyDescent="0.35">
      <c r="A17" s="3">
        <v>13</v>
      </c>
      <c r="B17" s="3" t="s">
        <v>71</v>
      </c>
      <c r="C17" s="4" t="s">
        <v>72</v>
      </c>
      <c r="D17" s="3" t="s">
        <v>73</v>
      </c>
      <c r="E17" s="3" t="s">
        <v>74</v>
      </c>
      <c r="F17" s="7">
        <v>43473.333333333299</v>
      </c>
      <c r="G17" s="8">
        <v>43535.708333333299</v>
      </c>
      <c r="H17" s="3" t="s">
        <v>23</v>
      </c>
      <c r="I17" s="4" t="s">
        <v>75</v>
      </c>
      <c r="J17" s="9">
        <v>917500</v>
      </c>
      <c r="K17" s="10">
        <v>0</v>
      </c>
      <c r="L17" s="9">
        <v>0</v>
      </c>
      <c r="M17" s="10">
        <v>0</v>
      </c>
      <c r="N17" s="9">
        <v>917500</v>
      </c>
      <c r="Q17" s="19">
        <v>62.375</v>
      </c>
    </row>
    <row r="18" spans="1:17" x14ac:dyDescent="0.35">
      <c r="A18" s="3">
        <v>14</v>
      </c>
      <c r="B18" s="3" t="s">
        <v>76</v>
      </c>
      <c r="C18" s="4" t="s">
        <v>77</v>
      </c>
      <c r="D18" s="3" t="s">
        <v>78</v>
      </c>
      <c r="E18" s="3" t="s">
        <v>79</v>
      </c>
      <c r="F18" s="7">
        <v>43543.333333333299</v>
      </c>
      <c r="G18" s="8">
        <v>43563.708333333299</v>
      </c>
      <c r="H18" s="3" t="s">
        <v>41</v>
      </c>
      <c r="I18" s="4" t="s">
        <v>80</v>
      </c>
      <c r="J18" s="9">
        <v>239500</v>
      </c>
      <c r="K18" s="10">
        <v>0</v>
      </c>
      <c r="L18" s="9">
        <v>0</v>
      </c>
      <c r="M18" s="10">
        <v>0</v>
      </c>
      <c r="N18" s="9">
        <v>239500</v>
      </c>
      <c r="Q18" s="19">
        <v>20.375</v>
      </c>
    </row>
    <row r="19" spans="1:17" x14ac:dyDescent="0.35">
      <c r="A19" s="3">
        <v>15</v>
      </c>
      <c r="B19" s="3" t="s">
        <v>81</v>
      </c>
      <c r="C19" s="4" t="s">
        <v>82</v>
      </c>
      <c r="D19" s="3" t="s">
        <v>78</v>
      </c>
      <c r="E19" s="3" t="s">
        <v>79</v>
      </c>
      <c r="F19" s="7">
        <v>43550.333333333299</v>
      </c>
      <c r="G19" s="8">
        <v>43563.708333333299</v>
      </c>
      <c r="H19" s="3" t="s">
        <v>35</v>
      </c>
      <c r="I19" s="4" t="s">
        <v>80</v>
      </c>
      <c r="J19" s="9">
        <v>163500</v>
      </c>
      <c r="K19" s="10">
        <v>0</v>
      </c>
      <c r="L19" s="9">
        <v>0</v>
      </c>
      <c r="M19" s="10">
        <v>0</v>
      </c>
      <c r="N19" s="9">
        <v>163500</v>
      </c>
      <c r="Q19" s="19">
        <v>13.375</v>
      </c>
    </row>
    <row r="20" spans="1:17" x14ac:dyDescent="0.35">
      <c r="A20" s="3">
        <v>16</v>
      </c>
      <c r="B20" s="3" t="s">
        <v>83</v>
      </c>
      <c r="C20" s="4" t="s">
        <v>84</v>
      </c>
      <c r="D20" s="3" t="s">
        <v>78</v>
      </c>
      <c r="E20" s="3" t="s">
        <v>79</v>
      </c>
      <c r="F20" s="7">
        <v>43536.333333333299</v>
      </c>
      <c r="G20" s="8">
        <v>43563.708333333299</v>
      </c>
      <c r="H20" s="3" t="s">
        <v>67</v>
      </c>
      <c r="I20" s="4" t="s">
        <v>85</v>
      </c>
      <c r="J20" s="9">
        <v>839000</v>
      </c>
      <c r="K20" s="10">
        <v>0</v>
      </c>
      <c r="L20" s="9">
        <v>0</v>
      </c>
      <c r="M20" s="10">
        <v>0</v>
      </c>
      <c r="N20" s="9">
        <v>839000</v>
      </c>
      <c r="Q20" s="19">
        <v>27.375</v>
      </c>
    </row>
    <row r="21" spans="1:17" x14ac:dyDescent="0.35">
      <c r="A21" s="4">
        <v>29</v>
      </c>
      <c r="B21" s="4" t="s">
        <v>86</v>
      </c>
      <c r="C21" s="4" t="s">
        <v>87</v>
      </c>
      <c r="D21" s="2"/>
      <c r="E21" s="2"/>
      <c r="F21" s="5">
        <v>43564.333333333299</v>
      </c>
      <c r="G21" s="5">
        <v>43626.708333333299</v>
      </c>
      <c r="H21" s="2" t="s">
        <v>23</v>
      </c>
      <c r="I21" s="2"/>
      <c r="J21" s="6"/>
      <c r="K21" s="6">
        <v>0</v>
      </c>
      <c r="L21" s="6"/>
      <c r="M21" s="6"/>
      <c r="N21" s="6">
        <v>850000</v>
      </c>
      <c r="Q21" s="19">
        <v>62.375</v>
      </c>
    </row>
    <row r="22" spans="1:17" ht="32.5" x14ac:dyDescent="0.35">
      <c r="A22" s="3">
        <v>18</v>
      </c>
      <c r="B22" s="3" t="s">
        <v>88</v>
      </c>
      <c r="C22" s="4" t="s">
        <v>89</v>
      </c>
      <c r="D22" s="3" t="s">
        <v>90</v>
      </c>
      <c r="E22" s="3" t="s">
        <v>91</v>
      </c>
      <c r="F22" s="7">
        <v>43564.333333333299</v>
      </c>
      <c r="G22" s="8">
        <v>43591.708333333299</v>
      </c>
      <c r="H22" s="3" t="s">
        <v>67</v>
      </c>
      <c r="I22" s="4" t="s">
        <v>92</v>
      </c>
      <c r="J22" s="9">
        <v>439000</v>
      </c>
      <c r="K22" s="10">
        <v>0</v>
      </c>
      <c r="L22" s="9">
        <v>0</v>
      </c>
      <c r="M22" s="10">
        <v>0</v>
      </c>
      <c r="N22" s="9">
        <v>439000</v>
      </c>
      <c r="Q22" s="19">
        <v>27.375</v>
      </c>
    </row>
    <row r="23" spans="1:17" ht="22" x14ac:dyDescent="0.35">
      <c r="A23" s="3">
        <v>19</v>
      </c>
      <c r="B23" s="3" t="s">
        <v>93</v>
      </c>
      <c r="C23" s="4" t="s">
        <v>94</v>
      </c>
      <c r="D23" s="3" t="s">
        <v>95</v>
      </c>
      <c r="E23" s="3" t="s">
        <v>96</v>
      </c>
      <c r="F23" s="7">
        <v>43592.333333333299</v>
      </c>
      <c r="G23" s="8">
        <v>43605.708333333299</v>
      </c>
      <c r="H23" s="3" t="s">
        <v>35</v>
      </c>
      <c r="I23" s="4" t="s">
        <v>97</v>
      </c>
      <c r="J23" s="9">
        <v>54000</v>
      </c>
      <c r="K23" s="10">
        <v>0</v>
      </c>
      <c r="L23" s="9">
        <v>0</v>
      </c>
      <c r="M23" s="10">
        <v>0</v>
      </c>
      <c r="N23" s="9">
        <v>54000</v>
      </c>
      <c r="Q23" s="19">
        <v>13.375</v>
      </c>
    </row>
    <row r="24" spans="1:17" ht="22" x14ac:dyDescent="0.35">
      <c r="A24" s="3">
        <v>20</v>
      </c>
      <c r="B24" s="3" t="s">
        <v>98</v>
      </c>
      <c r="C24" s="4" t="s">
        <v>99</v>
      </c>
      <c r="D24" s="3" t="s">
        <v>100</v>
      </c>
      <c r="E24" s="3" t="s">
        <v>101</v>
      </c>
      <c r="F24" s="7">
        <v>43606.333333333299</v>
      </c>
      <c r="G24" s="8">
        <v>43626.708333333299</v>
      </c>
      <c r="H24" s="3" t="s">
        <v>41</v>
      </c>
      <c r="I24" s="4" t="s">
        <v>102</v>
      </c>
      <c r="J24" s="9">
        <v>357000</v>
      </c>
      <c r="K24" s="10">
        <v>0</v>
      </c>
      <c r="L24" s="9">
        <v>0</v>
      </c>
      <c r="M24" s="10">
        <v>0</v>
      </c>
      <c r="N24" s="9">
        <v>357000</v>
      </c>
      <c r="Q24" s="19">
        <v>20.375</v>
      </c>
    </row>
    <row r="25" spans="1:17" x14ac:dyDescent="0.35">
      <c r="A25" s="4">
        <v>30</v>
      </c>
      <c r="B25" s="4" t="s">
        <v>103</v>
      </c>
      <c r="C25" s="4" t="s">
        <v>104</v>
      </c>
      <c r="D25" s="2"/>
      <c r="E25" s="2"/>
      <c r="F25" s="5">
        <v>43627.333333333299</v>
      </c>
      <c r="G25" s="5">
        <v>43745.708333333299</v>
      </c>
      <c r="H25" s="2" t="s">
        <v>105</v>
      </c>
      <c r="I25" s="2"/>
      <c r="J25" s="6"/>
      <c r="K25" s="6">
        <v>0</v>
      </c>
      <c r="L25" s="6"/>
      <c r="M25" s="6"/>
      <c r="N25" s="6">
        <v>2075500</v>
      </c>
      <c r="Q25" s="19">
        <v>118.375</v>
      </c>
    </row>
    <row r="26" spans="1:17" x14ac:dyDescent="0.35">
      <c r="A26" s="3">
        <v>22</v>
      </c>
      <c r="B26" s="3" t="s">
        <v>106</v>
      </c>
      <c r="C26" s="4" t="s">
        <v>107</v>
      </c>
      <c r="D26" s="3" t="s">
        <v>108</v>
      </c>
      <c r="E26" s="3" t="s">
        <v>109</v>
      </c>
      <c r="F26" s="7">
        <v>43627.333333333299</v>
      </c>
      <c r="G26" s="8">
        <v>43661.708333333299</v>
      </c>
      <c r="H26" s="3" t="s">
        <v>110</v>
      </c>
      <c r="I26" s="4" t="s">
        <v>111</v>
      </c>
      <c r="J26" s="9">
        <v>1089000</v>
      </c>
      <c r="K26" s="10">
        <v>0</v>
      </c>
      <c r="L26" s="9">
        <v>0</v>
      </c>
      <c r="M26" s="10">
        <v>0</v>
      </c>
      <c r="N26" s="9">
        <v>1089000</v>
      </c>
      <c r="Q26" s="19">
        <v>34.375</v>
      </c>
    </row>
    <row r="27" spans="1:17" x14ac:dyDescent="0.35">
      <c r="A27" s="3">
        <v>23</v>
      </c>
      <c r="B27" s="3" t="s">
        <v>112</v>
      </c>
      <c r="C27" s="4" t="s">
        <v>113</v>
      </c>
      <c r="D27" s="3" t="s">
        <v>108</v>
      </c>
      <c r="E27" s="3" t="s">
        <v>109</v>
      </c>
      <c r="F27" s="7">
        <v>43648.333333333299</v>
      </c>
      <c r="G27" s="8">
        <v>43661.708333333299</v>
      </c>
      <c r="H27" s="3" t="s">
        <v>35</v>
      </c>
      <c r="I27" s="4" t="s">
        <v>114</v>
      </c>
      <c r="J27" s="9">
        <v>181500</v>
      </c>
      <c r="K27" s="10">
        <v>0</v>
      </c>
      <c r="L27" s="9">
        <v>0</v>
      </c>
      <c r="M27" s="10">
        <v>0</v>
      </c>
      <c r="N27" s="9">
        <v>181500</v>
      </c>
      <c r="Q27" s="19">
        <v>13.375</v>
      </c>
    </row>
    <row r="28" spans="1:17" x14ac:dyDescent="0.35">
      <c r="A28" s="3">
        <v>24</v>
      </c>
      <c r="B28" s="3" t="s">
        <v>115</v>
      </c>
      <c r="C28" s="4" t="s">
        <v>116</v>
      </c>
      <c r="D28" s="3" t="s">
        <v>117</v>
      </c>
      <c r="E28" s="3" t="s">
        <v>118</v>
      </c>
      <c r="F28" s="7">
        <v>43662.333333333299</v>
      </c>
      <c r="G28" s="8">
        <v>43724.708333333299</v>
      </c>
      <c r="H28" s="3" t="s">
        <v>23</v>
      </c>
      <c r="I28" s="4" t="s">
        <v>119</v>
      </c>
      <c r="J28" s="9">
        <v>370000</v>
      </c>
      <c r="K28" s="10">
        <v>0</v>
      </c>
      <c r="L28" s="9">
        <v>0</v>
      </c>
      <c r="M28" s="10">
        <v>0</v>
      </c>
      <c r="N28" s="9">
        <v>370000</v>
      </c>
      <c r="Q28" s="19">
        <v>62.375</v>
      </c>
    </row>
    <row r="29" spans="1:17" x14ac:dyDescent="0.35">
      <c r="A29" s="3">
        <v>25</v>
      </c>
      <c r="B29" s="3" t="s">
        <v>120</v>
      </c>
      <c r="C29" s="4" t="s">
        <v>121</v>
      </c>
      <c r="D29" s="3" t="s">
        <v>122</v>
      </c>
      <c r="E29" s="3" t="s">
        <v>123</v>
      </c>
      <c r="F29" s="7">
        <v>43725.333333333299</v>
      </c>
      <c r="G29" s="8">
        <v>43745.708333333299</v>
      </c>
      <c r="H29" s="3" t="s">
        <v>41</v>
      </c>
      <c r="I29" s="4" t="s">
        <v>124</v>
      </c>
      <c r="J29" s="9">
        <v>435000</v>
      </c>
      <c r="K29" s="10">
        <v>0</v>
      </c>
      <c r="L29" s="9">
        <v>0</v>
      </c>
      <c r="M29" s="10">
        <v>0</v>
      </c>
      <c r="N29" s="9">
        <v>435000</v>
      </c>
      <c r="Q29" s="19">
        <v>20.375</v>
      </c>
    </row>
    <row r="30" spans="1:17" x14ac:dyDescent="0.35">
      <c r="A30" s="3">
        <v>33</v>
      </c>
      <c r="B30" s="3" t="s">
        <v>125</v>
      </c>
      <c r="C30" s="4" t="s">
        <v>126</v>
      </c>
      <c r="D30" s="3" t="s">
        <v>127</v>
      </c>
      <c r="E30" s="3"/>
      <c r="F30" s="7">
        <v>43745.708333333299</v>
      </c>
      <c r="G30" s="8">
        <v>43745.708333333299</v>
      </c>
      <c r="H30" s="3" t="s">
        <v>128</v>
      </c>
      <c r="I30" s="4"/>
      <c r="J30" s="9">
        <v>0</v>
      </c>
      <c r="K30" s="10">
        <v>0</v>
      </c>
      <c r="L30" s="9">
        <v>0</v>
      </c>
      <c r="M30" s="10">
        <v>0</v>
      </c>
      <c r="N30" s="9">
        <v>0</v>
      </c>
      <c r="Q30" s="19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5" workbookViewId="0">
      <selection activeCell="T12" sqref="T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selection activeCell="D8" sqref="D8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2" t="s">
        <v>0</v>
      </c>
      <c r="B1" s="22"/>
      <c r="C1" s="22"/>
      <c r="D1" s="22"/>
      <c r="E1" s="22" t="s">
        <v>13</v>
      </c>
      <c r="F1" s="22"/>
      <c r="G1" s="22" t="s">
        <v>3</v>
      </c>
      <c r="H1" s="22"/>
    </row>
    <row r="2" spans="1:8" ht="25" customHeight="1" x14ac:dyDescent="0.35">
      <c r="A2" s="1" t="s">
        <v>5</v>
      </c>
      <c r="B2" s="1" t="s">
        <v>6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17</v>
      </c>
    </row>
    <row r="3" spans="1:8" x14ac:dyDescent="0.35">
      <c r="A3" s="4">
        <v>1</v>
      </c>
      <c r="B3" s="4" t="s">
        <v>27</v>
      </c>
      <c r="C3" s="4" t="s">
        <v>134</v>
      </c>
      <c r="D3" s="4">
        <v>1</v>
      </c>
      <c r="E3" s="11">
        <v>5000</v>
      </c>
      <c r="F3" s="11">
        <v>5000</v>
      </c>
      <c r="G3" s="12" t="s">
        <v>136</v>
      </c>
      <c r="H3" s="9">
        <v>7650000</v>
      </c>
    </row>
    <row r="4" spans="1:8" x14ac:dyDescent="0.35">
      <c r="A4" s="4">
        <v>2</v>
      </c>
      <c r="B4" s="4" t="s">
        <v>45</v>
      </c>
      <c r="C4" s="4" t="s">
        <v>134</v>
      </c>
      <c r="D4" s="4">
        <v>1</v>
      </c>
      <c r="E4" s="11">
        <v>7500</v>
      </c>
      <c r="F4" s="11">
        <v>1500</v>
      </c>
      <c r="G4" s="12" t="s">
        <v>137</v>
      </c>
      <c r="H4" s="9">
        <v>1627500</v>
      </c>
    </row>
    <row r="5" spans="1:8" ht="32.5" x14ac:dyDescent="0.35">
      <c r="A5" s="4">
        <v>3</v>
      </c>
      <c r="B5" s="4" t="s">
        <v>119</v>
      </c>
      <c r="C5" s="4" t="s">
        <v>134</v>
      </c>
      <c r="D5" s="4" t="s">
        <v>135</v>
      </c>
      <c r="E5" s="11">
        <v>10000</v>
      </c>
      <c r="F5" s="11">
        <v>1000</v>
      </c>
      <c r="G5" s="12" t="s">
        <v>138</v>
      </c>
      <c r="H5" s="9">
        <v>1270000</v>
      </c>
    </row>
    <row r="6" spans="1:8" x14ac:dyDescent="0.35">
      <c r="A6" s="4">
        <v>4</v>
      </c>
      <c r="B6" s="4" t="s">
        <v>139</v>
      </c>
      <c r="C6" s="4" t="s">
        <v>134</v>
      </c>
      <c r="D6" s="4" t="s">
        <v>135</v>
      </c>
      <c r="E6" s="11">
        <v>5000</v>
      </c>
      <c r="F6" s="11">
        <v>2500</v>
      </c>
      <c r="G6" s="12" t="s">
        <v>140</v>
      </c>
      <c r="H6" s="9">
        <v>1015000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"/>
  <sheetViews>
    <sheetView topLeftCell="F1" zoomScale="85" zoomScaleNormal="85" workbookViewId="0">
      <selection activeCell="AC28" sqref="AC28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2" t="s">
        <v>0</v>
      </c>
      <c r="B1" s="22"/>
      <c r="C1" s="1" t="s">
        <v>2</v>
      </c>
      <c r="D1" s="22" t="s">
        <v>141</v>
      </c>
      <c r="E1" s="22"/>
      <c r="F1" s="22"/>
      <c r="G1" s="22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142</v>
      </c>
      <c r="E2" s="1" t="s">
        <v>143</v>
      </c>
      <c r="F2" s="1" t="s">
        <v>144</v>
      </c>
      <c r="G2" s="1" t="s">
        <v>145</v>
      </c>
      <c r="W2" s="1" t="s">
        <v>360</v>
      </c>
      <c r="X2" s="1" t="s">
        <v>361</v>
      </c>
      <c r="Y2" s="1" t="s">
        <v>362</v>
      </c>
    </row>
    <row r="3" spans="1:25" x14ac:dyDescent="0.35">
      <c r="A3" s="2">
        <v>0</v>
      </c>
      <c r="B3" s="3" t="s">
        <v>18</v>
      </c>
      <c r="C3" s="2" t="s">
        <v>146</v>
      </c>
      <c r="D3" s="2"/>
      <c r="E3" s="2"/>
      <c r="F3" s="2"/>
      <c r="G3" s="2"/>
      <c r="W3" s="19">
        <v>99</v>
      </c>
      <c r="X3" s="19">
        <v>100</v>
      </c>
      <c r="Y3" s="19">
        <v>101</v>
      </c>
    </row>
    <row r="4" spans="1:25" x14ac:dyDescent="0.35">
      <c r="A4" s="4">
        <v>31</v>
      </c>
      <c r="B4" s="4" t="s">
        <v>21</v>
      </c>
      <c r="C4" s="2" t="s">
        <v>147</v>
      </c>
      <c r="D4" s="2"/>
      <c r="E4" s="2"/>
      <c r="F4" s="2"/>
      <c r="G4" s="2"/>
      <c r="W4" s="19">
        <v>99</v>
      </c>
      <c r="X4" s="19">
        <v>100</v>
      </c>
      <c r="Y4" s="19">
        <v>101</v>
      </c>
    </row>
    <row r="5" spans="1:25" x14ac:dyDescent="0.35">
      <c r="A5" s="3">
        <v>1</v>
      </c>
      <c r="B5" s="3" t="s">
        <v>24</v>
      </c>
      <c r="C5" s="12" t="s">
        <v>147</v>
      </c>
      <c r="D5" s="4" t="s">
        <v>148</v>
      </c>
      <c r="E5" s="4">
        <v>80</v>
      </c>
      <c r="F5" s="4">
        <v>100</v>
      </c>
      <c r="G5" s="4">
        <v>120</v>
      </c>
      <c r="W5" s="19">
        <v>80</v>
      </c>
      <c r="X5" s="19">
        <v>100</v>
      </c>
      <c r="Y5" s="19">
        <v>120</v>
      </c>
    </row>
    <row r="6" spans="1:25" x14ac:dyDescent="0.35">
      <c r="A6" s="4">
        <v>26</v>
      </c>
      <c r="B6" s="4" t="s">
        <v>28</v>
      </c>
      <c r="C6" s="2" t="s">
        <v>149</v>
      </c>
      <c r="D6" s="2"/>
      <c r="E6" s="2"/>
      <c r="F6" s="2"/>
      <c r="G6" s="2"/>
      <c r="W6" s="19">
        <v>99</v>
      </c>
      <c r="X6" s="19">
        <v>100</v>
      </c>
      <c r="Y6" s="19">
        <v>101</v>
      </c>
    </row>
    <row r="7" spans="1:25" ht="43" x14ac:dyDescent="0.35">
      <c r="A7" s="3">
        <v>3</v>
      </c>
      <c r="B7" s="3" t="s">
        <v>31</v>
      </c>
      <c r="C7" s="12" t="s">
        <v>150</v>
      </c>
      <c r="D7" s="4" t="s">
        <v>148</v>
      </c>
      <c r="E7" s="4">
        <v>80</v>
      </c>
      <c r="F7" s="4">
        <v>100</v>
      </c>
      <c r="G7" s="4">
        <v>120</v>
      </c>
      <c r="W7" s="19">
        <v>80</v>
      </c>
      <c r="X7" s="19">
        <v>100</v>
      </c>
      <c r="Y7" s="19">
        <v>120</v>
      </c>
    </row>
    <row r="8" spans="1:25" ht="53.5" x14ac:dyDescent="0.35">
      <c r="A8" s="3">
        <v>4</v>
      </c>
      <c r="B8" s="3" t="s">
        <v>37</v>
      </c>
      <c r="C8" s="12" t="s">
        <v>151</v>
      </c>
      <c r="D8" s="4" t="s">
        <v>148</v>
      </c>
      <c r="E8" s="4">
        <v>80</v>
      </c>
      <c r="F8" s="4">
        <v>100</v>
      </c>
      <c r="G8" s="4">
        <v>120</v>
      </c>
      <c r="W8" s="19">
        <v>80</v>
      </c>
      <c r="X8" s="19">
        <v>100</v>
      </c>
      <c r="Y8" s="19">
        <v>120</v>
      </c>
    </row>
    <row r="9" spans="1:25" ht="64" x14ac:dyDescent="0.35">
      <c r="A9" s="3">
        <v>5</v>
      </c>
      <c r="B9" s="3" t="s">
        <v>42</v>
      </c>
      <c r="C9" s="12" t="s">
        <v>151</v>
      </c>
      <c r="D9" s="4" t="s">
        <v>148</v>
      </c>
      <c r="E9" s="4">
        <v>80</v>
      </c>
      <c r="F9" s="4">
        <v>100</v>
      </c>
      <c r="G9" s="4">
        <v>120</v>
      </c>
      <c r="W9" s="19">
        <v>80</v>
      </c>
      <c r="X9" s="19">
        <v>100</v>
      </c>
      <c r="Y9" s="19">
        <v>120</v>
      </c>
    </row>
    <row r="10" spans="1:25" ht="43" x14ac:dyDescent="0.35">
      <c r="A10" s="3">
        <v>6</v>
      </c>
      <c r="B10" s="3" t="s">
        <v>46</v>
      </c>
      <c r="C10" s="12" t="s">
        <v>152</v>
      </c>
      <c r="D10" s="4" t="s">
        <v>148</v>
      </c>
      <c r="E10" s="4">
        <v>80</v>
      </c>
      <c r="F10" s="4">
        <v>100</v>
      </c>
      <c r="G10" s="4">
        <v>120</v>
      </c>
      <c r="W10" s="19">
        <v>80</v>
      </c>
      <c r="X10" s="19">
        <v>100</v>
      </c>
      <c r="Y10" s="19">
        <v>120</v>
      </c>
    </row>
    <row r="11" spans="1:25" ht="43" x14ac:dyDescent="0.35">
      <c r="A11" s="3">
        <v>7</v>
      </c>
      <c r="B11" s="3" t="s">
        <v>51</v>
      </c>
      <c r="C11" s="12" t="s">
        <v>152</v>
      </c>
      <c r="D11" s="4" t="s">
        <v>148</v>
      </c>
      <c r="E11" s="4">
        <v>80</v>
      </c>
      <c r="F11" s="4">
        <v>100</v>
      </c>
      <c r="G11" s="4">
        <v>120</v>
      </c>
      <c r="W11" s="19">
        <v>80</v>
      </c>
      <c r="X11" s="19">
        <v>100</v>
      </c>
      <c r="Y11" s="19">
        <v>120</v>
      </c>
    </row>
    <row r="12" spans="1:25" ht="22" x14ac:dyDescent="0.35">
      <c r="A12" s="4">
        <v>27</v>
      </c>
      <c r="B12" s="4" t="s">
        <v>54</v>
      </c>
      <c r="C12" s="2" t="s">
        <v>153</v>
      </c>
      <c r="D12" s="2"/>
      <c r="E12" s="2"/>
      <c r="F12" s="2"/>
      <c r="G12" s="2"/>
      <c r="W12" s="19">
        <v>99</v>
      </c>
      <c r="X12" s="19">
        <v>100</v>
      </c>
      <c r="Y12" s="19">
        <v>101</v>
      </c>
    </row>
    <row r="13" spans="1:25" x14ac:dyDescent="0.35">
      <c r="A13" s="3">
        <v>9</v>
      </c>
      <c r="B13" s="3" t="s">
        <v>57</v>
      </c>
      <c r="C13" s="12" t="s">
        <v>149</v>
      </c>
      <c r="D13" s="4" t="s">
        <v>148</v>
      </c>
      <c r="E13" s="4">
        <v>80</v>
      </c>
      <c r="F13" s="4">
        <v>100</v>
      </c>
      <c r="G13" s="4">
        <v>120</v>
      </c>
      <c r="W13" s="19">
        <v>80</v>
      </c>
      <c r="X13" s="19">
        <v>100</v>
      </c>
      <c r="Y13" s="19">
        <v>120</v>
      </c>
    </row>
    <row r="14" spans="1:25" x14ac:dyDescent="0.35">
      <c r="A14" s="3">
        <v>10</v>
      </c>
      <c r="B14" s="3" t="s">
        <v>61</v>
      </c>
      <c r="C14" s="12" t="s">
        <v>151</v>
      </c>
      <c r="D14" s="4" t="s">
        <v>148</v>
      </c>
      <c r="E14" s="4">
        <v>80</v>
      </c>
      <c r="F14" s="4">
        <v>100</v>
      </c>
      <c r="G14" s="4">
        <v>120</v>
      </c>
      <c r="W14" s="19">
        <v>80</v>
      </c>
      <c r="X14" s="19">
        <v>100</v>
      </c>
      <c r="Y14" s="19">
        <v>120</v>
      </c>
    </row>
    <row r="15" spans="1:25" ht="32.5" x14ac:dyDescent="0.35">
      <c r="A15" s="3">
        <v>11</v>
      </c>
      <c r="B15" s="3" t="s">
        <v>65</v>
      </c>
      <c r="C15" s="12" t="s">
        <v>154</v>
      </c>
      <c r="D15" s="4" t="s">
        <v>148</v>
      </c>
      <c r="E15" s="4">
        <v>80</v>
      </c>
      <c r="F15" s="4">
        <v>100</v>
      </c>
      <c r="G15" s="4">
        <v>120</v>
      </c>
      <c r="W15" s="19">
        <v>80</v>
      </c>
      <c r="X15" s="19">
        <v>100</v>
      </c>
      <c r="Y15" s="19">
        <v>120</v>
      </c>
    </row>
    <row r="16" spans="1:25" x14ac:dyDescent="0.35">
      <c r="A16" s="4">
        <v>28</v>
      </c>
      <c r="B16" s="4" t="s">
        <v>68</v>
      </c>
      <c r="C16" s="2" t="s">
        <v>155</v>
      </c>
      <c r="D16" s="2"/>
      <c r="E16" s="2"/>
      <c r="F16" s="2"/>
      <c r="G16" s="2"/>
      <c r="W16" s="19">
        <v>99</v>
      </c>
      <c r="X16" s="19">
        <v>100</v>
      </c>
      <c r="Y16" s="19">
        <v>101</v>
      </c>
    </row>
    <row r="17" spans="1:25" ht="22" x14ac:dyDescent="0.35">
      <c r="A17" s="3">
        <v>13</v>
      </c>
      <c r="B17" s="3" t="s">
        <v>71</v>
      </c>
      <c r="C17" s="12" t="s">
        <v>147</v>
      </c>
      <c r="D17" s="4" t="s">
        <v>148</v>
      </c>
      <c r="E17" s="4">
        <v>80</v>
      </c>
      <c r="F17" s="4">
        <v>100</v>
      </c>
      <c r="G17" s="4">
        <v>120</v>
      </c>
      <c r="W17" s="19">
        <v>80</v>
      </c>
      <c r="X17" s="19">
        <v>100</v>
      </c>
      <c r="Y17" s="19">
        <v>120</v>
      </c>
    </row>
    <row r="18" spans="1:25" ht="22" x14ac:dyDescent="0.35">
      <c r="A18" s="3">
        <v>14</v>
      </c>
      <c r="B18" s="3" t="s">
        <v>76</v>
      </c>
      <c r="C18" s="12" t="s">
        <v>151</v>
      </c>
      <c r="D18" s="4" t="s">
        <v>148</v>
      </c>
      <c r="E18" s="4">
        <v>80</v>
      </c>
      <c r="F18" s="4">
        <v>100</v>
      </c>
      <c r="G18" s="4">
        <v>120</v>
      </c>
      <c r="W18" s="19">
        <v>80</v>
      </c>
      <c r="X18" s="19">
        <v>100</v>
      </c>
      <c r="Y18" s="19">
        <v>120</v>
      </c>
    </row>
    <row r="19" spans="1:25" ht="22" x14ac:dyDescent="0.35">
      <c r="A19" s="3">
        <v>15</v>
      </c>
      <c r="B19" s="3" t="s">
        <v>81</v>
      </c>
      <c r="C19" s="12" t="s">
        <v>150</v>
      </c>
      <c r="D19" s="4" t="s">
        <v>148</v>
      </c>
      <c r="E19" s="4">
        <v>80</v>
      </c>
      <c r="F19" s="4">
        <v>100</v>
      </c>
      <c r="G19" s="4">
        <v>120</v>
      </c>
      <c r="W19" s="19">
        <v>80</v>
      </c>
      <c r="X19" s="19">
        <v>100</v>
      </c>
      <c r="Y19" s="19">
        <v>120</v>
      </c>
    </row>
    <row r="20" spans="1:25" ht="22" x14ac:dyDescent="0.35">
      <c r="A20" s="3">
        <v>16</v>
      </c>
      <c r="B20" s="3" t="s">
        <v>83</v>
      </c>
      <c r="C20" s="12" t="s">
        <v>154</v>
      </c>
      <c r="D20" s="4" t="s">
        <v>148</v>
      </c>
      <c r="E20" s="4">
        <v>80</v>
      </c>
      <c r="F20" s="4">
        <v>100</v>
      </c>
      <c r="G20" s="4">
        <v>120</v>
      </c>
      <c r="W20" s="19">
        <v>80</v>
      </c>
      <c r="X20" s="19">
        <v>100</v>
      </c>
      <c r="Y20" s="19">
        <v>120</v>
      </c>
    </row>
    <row r="21" spans="1:25" x14ac:dyDescent="0.35">
      <c r="A21" s="4">
        <v>29</v>
      </c>
      <c r="B21" s="4" t="s">
        <v>86</v>
      </c>
      <c r="C21" s="2" t="s">
        <v>147</v>
      </c>
      <c r="D21" s="2"/>
      <c r="E21" s="2"/>
      <c r="F21" s="2"/>
      <c r="G21" s="2"/>
      <c r="W21" s="19">
        <v>99</v>
      </c>
      <c r="X21" s="19">
        <v>100</v>
      </c>
      <c r="Y21" s="19">
        <v>101</v>
      </c>
    </row>
    <row r="22" spans="1:25" ht="43" x14ac:dyDescent="0.35">
      <c r="A22" s="3">
        <v>18</v>
      </c>
      <c r="B22" s="3" t="s">
        <v>88</v>
      </c>
      <c r="C22" s="12" t="s">
        <v>154</v>
      </c>
      <c r="D22" s="4" t="s">
        <v>148</v>
      </c>
      <c r="E22" s="4">
        <v>80</v>
      </c>
      <c r="F22" s="4">
        <v>100</v>
      </c>
      <c r="G22" s="4">
        <v>120</v>
      </c>
      <c r="W22" s="19">
        <v>80</v>
      </c>
      <c r="X22" s="19">
        <v>100</v>
      </c>
      <c r="Y22" s="19">
        <v>120</v>
      </c>
    </row>
    <row r="23" spans="1:25" ht="32.5" x14ac:dyDescent="0.35">
      <c r="A23" s="3">
        <v>19</v>
      </c>
      <c r="B23" s="3" t="s">
        <v>93</v>
      </c>
      <c r="C23" s="12" t="s">
        <v>150</v>
      </c>
      <c r="D23" s="4" t="s">
        <v>148</v>
      </c>
      <c r="E23" s="4">
        <v>80</v>
      </c>
      <c r="F23" s="4">
        <v>100</v>
      </c>
      <c r="G23" s="4">
        <v>120</v>
      </c>
      <c r="W23" s="19">
        <v>80</v>
      </c>
      <c r="X23" s="19">
        <v>100</v>
      </c>
      <c r="Y23" s="19">
        <v>120</v>
      </c>
    </row>
    <row r="24" spans="1:25" ht="32.5" x14ac:dyDescent="0.35">
      <c r="A24" s="3">
        <v>20</v>
      </c>
      <c r="B24" s="3" t="s">
        <v>98</v>
      </c>
      <c r="C24" s="12" t="s">
        <v>151</v>
      </c>
      <c r="D24" s="4" t="s">
        <v>148</v>
      </c>
      <c r="E24" s="4">
        <v>80</v>
      </c>
      <c r="F24" s="4">
        <v>100</v>
      </c>
      <c r="G24" s="4">
        <v>120</v>
      </c>
      <c r="W24" s="19">
        <v>80</v>
      </c>
      <c r="X24" s="19">
        <v>100</v>
      </c>
      <c r="Y24" s="19">
        <v>120</v>
      </c>
    </row>
    <row r="25" spans="1:25" x14ac:dyDescent="0.35">
      <c r="A25" s="4">
        <v>30</v>
      </c>
      <c r="B25" s="4" t="s">
        <v>103</v>
      </c>
      <c r="C25" s="2" t="s">
        <v>156</v>
      </c>
      <c r="D25" s="2"/>
      <c r="E25" s="2"/>
      <c r="F25" s="2"/>
      <c r="G25" s="2"/>
      <c r="W25" s="19">
        <v>99</v>
      </c>
      <c r="X25" s="19">
        <v>100</v>
      </c>
      <c r="Y25" s="19">
        <v>101</v>
      </c>
    </row>
    <row r="26" spans="1:25" x14ac:dyDescent="0.35">
      <c r="A26" s="3">
        <v>22</v>
      </c>
      <c r="B26" s="3" t="s">
        <v>106</v>
      </c>
      <c r="C26" s="12" t="s">
        <v>157</v>
      </c>
      <c r="D26" s="4" t="s">
        <v>148</v>
      </c>
      <c r="E26" s="4">
        <v>80</v>
      </c>
      <c r="F26" s="4">
        <v>100</v>
      </c>
      <c r="G26" s="4">
        <v>120</v>
      </c>
      <c r="W26" s="19">
        <v>80</v>
      </c>
      <c r="X26" s="19">
        <v>100</v>
      </c>
      <c r="Y26" s="19">
        <v>120</v>
      </c>
    </row>
    <row r="27" spans="1:25" x14ac:dyDescent="0.35">
      <c r="A27" s="3">
        <v>23</v>
      </c>
      <c r="B27" s="3" t="s">
        <v>112</v>
      </c>
      <c r="C27" s="12" t="s">
        <v>150</v>
      </c>
      <c r="D27" s="4" t="s">
        <v>148</v>
      </c>
      <c r="E27" s="4">
        <v>80</v>
      </c>
      <c r="F27" s="4">
        <v>100</v>
      </c>
      <c r="G27" s="4">
        <v>120</v>
      </c>
      <c r="W27" s="19">
        <v>80</v>
      </c>
      <c r="X27" s="19">
        <v>100</v>
      </c>
      <c r="Y27" s="19">
        <v>120</v>
      </c>
    </row>
    <row r="28" spans="1:25" ht="22" x14ac:dyDescent="0.35">
      <c r="A28" s="3">
        <v>24</v>
      </c>
      <c r="B28" s="3" t="s">
        <v>115</v>
      </c>
      <c r="C28" s="12" t="s">
        <v>147</v>
      </c>
      <c r="D28" s="4" t="s">
        <v>148</v>
      </c>
      <c r="E28" s="4">
        <v>80</v>
      </c>
      <c r="F28" s="4">
        <v>100</v>
      </c>
      <c r="G28" s="4">
        <v>120</v>
      </c>
      <c r="W28" s="19">
        <v>80</v>
      </c>
      <c r="X28" s="19">
        <v>100</v>
      </c>
      <c r="Y28" s="19">
        <v>120</v>
      </c>
    </row>
    <row r="29" spans="1:25" x14ac:dyDescent="0.35">
      <c r="A29" s="3">
        <v>25</v>
      </c>
      <c r="B29" s="3" t="s">
        <v>120</v>
      </c>
      <c r="C29" s="12" t="s">
        <v>151</v>
      </c>
      <c r="D29" s="4" t="s">
        <v>148</v>
      </c>
      <c r="E29" s="4">
        <v>80</v>
      </c>
      <c r="F29" s="4">
        <v>100</v>
      </c>
      <c r="G29" s="4">
        <v>120</v>
      </c>
      <c r="W29" s="19">
        <v>80</v>
      </c>
      <c r="X29" s="19">
        <v>100</v>
      </c>
      <c r="Y29" s="19">
        <v>120</v>
      </c>
    </row>
    <row r="30" spans="1:25" x14ac:dyDescent="0.35">
      <c r="A30" s="3">
        <v>33</v>
      </c>
      <c r="B30" s="3" t="s">
        <v>125</v>
      </c>
      <c r="C30" s="12" t="s">
        <v>128</v>
      </c>
      <c r="D30" s="4" t="s">
        <v>148</v>
      </c>
      <c r="E30" s="4">
        <v>80</v>
      </c>
      <c r="F30" s="4">
        <v>100</v>
      </c>
      <c r="G30" s="4">
        <v>120</v>
      </c>
      <c r="W30" s="19">
        <v>80</v>
      </c>
      <c r="X30" s="19">
        <v>100</v>
      </c>
      <c r="Y30" s="19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43318.708333333299</v>
      </c>
      <c r="E1" s="1" t="s">
        <v>159</v>
      </c>
      <c r="F1" s="4" t="s">
        <v>173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41</v>
      </c>
      <c r="N5" s="6"/>
      <c r="O5" s="6"/>
      <c r="P5" s="2"/>
      <c r="Q5" s="6"/>
      <c r="R5" s="6"/>
      <c r="S5" s="6">
        <v>605000</v>
      </c>
      <c r="T5" s="6"/>
      <c r="U5" s="13">
        <v>6.3973526722676102E-2</v>
      </c>
      <c r="V5" s="2"/>
      <c r="W5" s="6">
        <v>739693.90273094201</v>
      </c>
      <c r="X5" s="6">
        <v>605000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41</v>
      </c>
      <c r="N6" s="6"/>
      <c r="O6" s="6"/>
      <c r="P6" s="2"/>
      <c r="Q6" s="6"/>
      <c r="R6" s="6"/>
      <c r="S6" s="6">
        <v>605000</v>
      </c>
      <c r="T6" s="6"/>
      <c r="U6" s="13">
        <v>0.40980271619442799</v>
      </c>
      <c r="V6" s="2"/>
      <c r="W6" s="6">
        <v>739693.90273094201</v>
      </c>
      <c r="X6" s="6">
        <v>605000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41</v>
      </c>
      <c r="N7" s="9">
        <v>605000</v>
      </c>
      <c r="O7" s="9">
        <v>870000</v>
      </c>
      <c r="P7" s="12" t="s">
        <v>174</v>
      </c>
      <c r="Q7" s="9">
        <v>0</v>
      </c>
      <c r="R7" s="11">
        <v>0</v>
      </c>
      <c r="S7" s="10">
        <v>605000</v>
      </c>
      <c r="T7" s="9">
        <v>870000</v>
      </c>
      <c r="U7" s="14">
        <v>0.40816327929496798</v>
      </c>
      <c r="V7" s="12" t="s">
        <v>175</v>
      </c>
      <c r="W7" s="9">
        <v>739693.90273094201</v>
      </c>
      <c r="X7" s="9">
        <v>605000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128</v>
      </c>
      <c r="N8" s="6"/>
      <c r="O8" s="6"/>
      <c r="P8" s="2"/>
      <c r="Q8" s="6"/>
      <c r="R8" s="6"/>
      <c r="S8" s="6">
        <v>0</v>
      </c>
      <c r="T8" s="6"/>
      <c r="U8" s="13">
        <v>0</v>
      </c>
      <c r="V8" s="2"/>
      <c r="W8" s="6">
        <v>0</v>
      </c>
      <c r="X8" s="6">
        <v>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3"/>
      <c r="M9" s="3" t="s">
        <v>128</v>
      </c>
      <c r="N9" s="9">
        <v>0</v>
      </c>
      <c r="O9" s="9">
        <v>532500</v>
      </c>
      <c r="P9" s="12" t="s">
        <v>35</v>
      </c>
      <c r="Q9" s="9">
        <v>0</v>
      </c>
      <c r="R9" s="11">
        <v>0</v>
      </c>
      <c r="S9" s="10">
        <v>0</v>
      </c>
      <c r="T9" s="9">
        <v>532500</v>
      </c>
      <c r="U9" s="14">
        <v>0</v>
      </c>
      <c r="V9" s="12" t="s">
        <v>176</v>
      </c>
      <c r="W9" s="9">
        <v>0</v>
      </c>
      <c r="X9" s="9">
        <v>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3"/>
      <c r="M10" s="3" t="s">
        <v>128</v>
      </c>
      <c r="N10" s="9">
        <v>0</v>
      </c>
      <c r="O10" s="9">
        <v>792500</v>
      </c>
      <c r="P10" s="12" t="s">
        <v>41</v>
      </c>
      <c r="Q10" s="9">
        <v>0</v>
      </c>
      <c r="R10" s="11">
        <v>0</v>
      </c>
      <c r="S10" s="10">
        <v>0</v>
      </c>
      <c r="T10" s="9">
        <v>792500</v>
      </c>
      <c r="U10" s="14">
        <v>0</v>
      </c>
      <c r="V10" s="12" t="s">
        <v>176</v>
      </c>
      <c r="W10" s="9">
        <v>0</v>
      </c>
      <c r="X10" s="9">
        <v>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3"/>
      <c r="M11" s="3" t="s">
        <v>128</v>
      </c>
      <c r="N11" s="9">
        <v>0</v>
      </c>
      <c r="O11" s="9">
        <v>187500</v>
      </c>
      <c r="P11" s="12" t="s">
        <v>41</v>
      </c>
      <c r="Q11" s="9">
        <v>0</v>
      </c>
      <c r="R11" s="11">
        <v>0</v>
      </c>
      <c r="S11" s="10">
        <v>0</v>
      </c>
      <c r="T11" s="9">
        <v>187500</v>
      </c>
      <c r="U11" s="14">
        <v>0</v>
      </c>
      <c r="V11" s="12" t="s">
        <v>176</v>
      </c>
      <c r="W11" s="9">
        <v>0</v>
      </c>
      <c r="X11" s="9">
        <v>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3"/>
      <c r="M12" s="3" t="s">
        <v>128</v>
      </c>
      <c r="N12" s="9">
        <v>0</v>
      </c>
      <c r="O12" s="9">
        <v>272500</v>
      </c>
      <c r="P12" s="12" t="s">
        <v>50</v>
      </c>
      <c r="Q12" s="9">
        <v>0</v>
      </c>
      <c r="R12" s="11">
        <v>0</v>
      </c>
      <c r="S12" s="10">
        <v>0</v>
      </c>
      <c r="T12" s="9">
        <v>272500</v>
      </c>
      <c r="U12" s="14">
        <v>0</v>
      </c>
      <c r="V12" s="12" t="s">
        <v>176</v>
      </c>
      <c r="W12" s="9">
        <v>0</v>
      </c>
      <c r="X12" s="9">
        <v>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3"/>
      <c r="M13" s="3" t="s">
        <v>128</v>
      </c>
      <c r="N13" s="9">
        <v>0</v>
      </c>
      <c r="O13" s="9">
        <v>272500</v>
      </c>
      <c r="P13" s="12" t="s">
        <v>50</v>
      </c>
      <c r="Q13" s="9">
        <v>0</v>
      </c>
      <c r="R13" s="11">
        <v>0</v>
      </c>
      <c r="S13" s="10">
        <v>0</v>
      </c>
      <c r="T13" s="9">
        <v>272500</v>
      </c>
      <c r="U13" s="14">
        <v>0</v>
      </c>
      <c r="V13" s="12" t="s">
        <v>176</v>
      </c>
      <c r="W13" s="9">
        <v>0</v>
      </c>
      <c r="X13" s="9">
        <v>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128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3"/>
      <c r="M15" s="3" t="s">
        <v>128</v>
      </c>
      <c r="N15" s="9">
        <v>0</v>
      </c>
      <c r="O15" s="9">
        <v>1205000</v>
      </c>
      <c r="P15" s="12" t="s">
        <v>30</v>
      </c>
      <c r="Q15" s="9">
        <v>0</v>
      </c>
      <c r="R15" s="11">
        <v>0</v>
      </c>
      <c r="S15" s="10">
        <v>0</v>
      </c>
      <c r="T15" s="9">
        <v>1205000</v>
      </c>
      <c r="U15" s="14">
        <v>0</v>
      </c>
      <c r="V15" s="12" t="s">
        <v>176</v>
      </c>
      <c r="W15" s="9">
        <v>0</v>
      </c>
      <c r="X15" s="9">
        <v>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3"/>
      <c r="M16" s="3" t="s">
        <v>128</v>
      </c>
      <c r="N16" s="9">
        <v>0</v>
      </c>
      <c r="O16" s="9">
        <v>605000</v>
      </c>
      <c r="P16" s="12" t="s">
        <v>41</v>
      </c>
      <c r="Q16" s="9">
        <v>0</v>
      </c>
      <c r="R16" s="11">
        <v>0</v>
      </c>
      <c r="S16" s="10">
        <v>0</v>
      </c>
      <c r="T16" s="9">
        <v>605000</v>
      </c>
      <c r="U16" s="14">
        <v>0</v>
      </c>
      <c r="V16" s="12" t="s">
        <v>176</v>
      </c>
      <c r="W16" s="9">
        <v>0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3"/>
      <c r="M17" s="3" t="s">
        <v>128</v>
      </c>
      <c r="N17" s="9">
        <v>0</v>
      </c>
      <c r="O17" s="9">
        <v>805000</v>
      </c>
      <c r="P17" s="12" t="s">
        <v>67</v>
      </c>
      <c r="Q17" s="9">
        <v>0</v>
      </c>
      <c r="R17" s="11">
        <v>0</v>
      </c>
      <c r="S17" s="10">
        <v>0</v>
      </c>
      <c r="T17" s="9">
        <v>805000</v>
      </c>
      <c r="U17" s="14">
        <v>0</v>
      </c>
      <c r="V17" s="12" t="s">
        <v>176</v>
      </c>
      <c r="W17" s="9">
        <v>0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43339.708333333299</v>
      </c>
      <c r="E1" s="1" t="s">
        <v>159</v>
      </c>
      <c r="F1" s="4" t="s">
        <v>177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30</v>
      </c>
      <c r="N5" s="6"/>
      <c r="O5" s="6"/>
      <c r="P5" s="2"/>
      <c r="Q5" s="6"/>
      <c r="R5" s="6"/>
      <c r="S5" s="6">
        <v>1205000</v>
      </c>
      <c r="T5" s="6"/>
      <c r="U5" s="13">
        <v>0.12751462101291999</v>
      </c>
      <c r="V5" s="2"/>
      <c r="W5" s="6">
        <v>1474387.8054618801</v>
      </c>
      <c r="X5" s="6">
        <v>1205000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30</v>
      </c>
      <c r="N6" s="6"/>
      <c r="O6" s="6"/>
      <c r="P6" s="2"/>
      <c r="Q6" s="6"/>
      <c r="R6" s="6"/>
      <c r="S6" s="6">
        <v>1205000</v>
      </c>
      <c r="T6" s="6"/>
      <c r="U6" s="13">
        <v>0.81683534928636203</v>
      </c>
      <c r="V6" s="2"/>
      <c r="W6" s="6">
        <v>1474387.8054618801</v>
      </c>
      <c r="X6" s="6">
        <v>1205000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30</v>
      </c>
      <c r="N7" s="9">
        <v>1205000</v>
      </c>
      <c r="O7" s="9">
        <v>270000</v>
      </c>
      <c r="P7" s="12" t="s">
        <v>178</v>
      </c>
      <c r="Q7" s="9">
        <v>0</v>
      </c>
      <c r="R7" s="11">
        <v>0</v>
      </c>
      <c r="S7" s="10">
        <v>1205000</v>
      </c>
      <c r="T7" s="9">
        <v>270000</v>
      </c>
      <c r="U7" s="14">
        <v>0.81632655858993497</v>
      </c>
      <c r="V7" s="12" t="s">
        <v>175</v>
      </c>
      <c r="W7" s="9">
        <v>1474387.8054618801</v>
      </c>
      <c r="X7" s="9">
        <v>1205000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128</v>
      </c>
      <c r="N8" s="6"/>
      <c r="O8" s="6"/>
      <c r="P8" s="2"/>
      <c r="Q8" s="6"/>
      <c r="R8" s="6"/>
      <c r="S8" s="6">
        <v>0</v>
      </c>
      <c r="T8" s="6"/>
      <c r="U8" s="13">
        <v>0</v>
      </c>
      <c r="V8" s="2"/>
      <c r="W8" s="6">
        <v>0</v>
      </c>
      <c r="X8" s="6">
        <v>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3"/>
      <c r="M9" s="3" t="s">
        <v>128</v>
      </c>
      <c r="N9" s="9">
        <v>0</v>
      </c>
      <c r="O9" s="9">
        <v>532500</v>
      </c>
      <c r="P9" s="12" t="s">
        <v>35</v>
      </c>
      <c r="Q9" s="9">
        <v>0</v>
      </c>
      <c r="R9" s="11">
        <v>0</v>
      </c>
      <c r="S9" s="10">
        <v>0</v>
      </c>
      <c r="T9" s="9">
        <v>532500</v>
      </c>
      <c r="U9" s="14">
        <v>0</v>
      </c>
      <c r="V9" s="12" t="s">
        <v>176</v>
      </c>
      <c r="W9" s="9">
        <v>0</v>
      </c>
      <c r="X9" s="9">
        <v>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3"/>
      <c r="M10" s="3" t="s">
        <v>128</v>
      </c>
      <c r="N10" s="9">
        <v>0</v>
      </c>
      <c r="O10" s="9">
        <v>792500</v>
      </c>
      <c r="P10" s="12" t="s">
        <v>41</v>
      </c>
      <c r="Q10" s="9">
        <v>0</v>
      </c>
      <c r="R10" s="11">
        <v>0</v>
      </c>
      <c r="S10" s="10">
        <v>0</v>
      </c>
      <c r="T10" s="9">
        <v>792500</v>
      </c>
      <c r="U10" s="14">
        <v>0</v>
      </c>
      <c r="V10" s="12" t="s">
        <v>176</v>
      </c>
      <c r="W10" s="9">
        <v>0</v>
      </c>
      <c r="X10" s="9">
        <v>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3"/>
      <c r="M11" s="3" t="s">
        <v>128</v>
      </c>
      <c r="N11" s="9">
        <v>0</v>
      </c>
      <c r="O11" s="9">
        <v>187500</v>
      </c>
      <c r="P11" s="12" t="s">
        <v>41</v>
      </c>
      <c r="Q11" s="9">
        <v>0</v>
      </c>
      <c r="R11" s="11">
        <v>0</v>
      </c>
      <c r="S11" s="10">
        <v>0</v>
      </c>
      <c r="T11" s="9">
        <v>187500</v>
      </c>
      <c r="U11" s="14">
        <v>0</v>
      </c>
      <c r="V11" s="12" t="s">
        <v>176</v>
      </c>
      <c r="W11" s="9">
        <v>0</v>
      </c>
      <c r="X11" s="9">
        <v>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3"/>
      <c r="M12" s="3" t="s">
        <v>128</v>
      </c>
      <c r="N12" s="9">
        <v>0</v>
      </c>
      <c r="O12" s="9">
        <v>272500</v>
      </c>
      <c r="P12" s="12" t="s">
        <v>50</v>
      </c>
      <c r="Q12" s="9">
        <v>0</v>
      </c>
      <c r="R12" s="11">
        <v>0</v>
      </c>
      <c r="S12" s="10">
        <v>0</v>
      </c>
      <c r="T12" s="9">
        <v>272500</v>
      </c>
      <c r="U12" s="14">
        <v>0</v>
      </c>
      <c r="V12" s="12" t="s">
        <v>176</v>
      </c>
      <c r="W12" s="9">
        <v>0</v>
      </c>
      <c r="X12" s="9">
        <v>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3"/>
      <c r="M13" s="3" t="s">
        <v>128</v>
      </c>
      <c r="N13" s="9">
        <v>0</v>
      </c>
      <c r="O13" s="9">
        <v>272500</v>
      </c>
      <c r="P13" s="12" t="s">
        <v>50</v>
      </c>
      <c r="Q13" s="9">
        <v>0</v>
      </c>
      <c r="R13" s="11">
        <v>0</v>
      </c>
      <c r="S13" s="10">
        <v>0</v>
      </c>
      <c r="T13" s="9">
        <v>272500</v>
      </c>
      <c r="U13" s="14">
        <v>0</v>
      </c>
      <c r="V13" s="12" t="s">
        <v>176</v>
      </c>
      <c r="W13" s="9">
        <v>0</v>
      </c>
      <c r="X13" s="9">
        <v>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128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3"/>
      <c r="M15" s="3" t="s">
        <v>128</v>
      </c>
      <c r="N15" s="9">
        <v>0</v>
      </c>
      <c r="O15" s="9">
        <v>1205000</v>
      </c>
      <c r="P15" s="12" t="s">
        <v>30</v>
      </c>
      <c r="Q15" s="9">
        <v>0</v>
      </c>
      <c r="R15" s="11">
        <v>0</v>
      </c>
      <c r="S15" s="10">
        <v>0</v>
      </c>
      <c r="T15" s="9">
        <v>1205000</v>
      </c>
      <c r="U15" s="14">
        <v>0</v>
      </c>
      <c r="V15" s="12" t="s">
        <v>176</v>
      </c>
      <c r="W15" s="9">
        <v>0</v>
      </c>
      <c r="X15" s="9">
        <v>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3"/>
      <c r="M16" s="3" t="s">
        <v>128</v>
      </c>
      <c r="N16" s="9">
        <v>0</v>
      </c>
      <c r="O16" s="9">
        <v>605000</v>
      </c>
      <c r="P16" s="12" t="s">
        <v>41</v>
      </c>
      <c r="Q16" s="9">
        <v>0</v>
      </c>
      <c r="R16" s="11">
        <v>0</v>
      </c>
      <c r="S16" s="10">
        <v>0</v>
      </c>
      <c r="T16" s="9">
        <v>605000</v>
      </c>
      <c r="U16" s="14">
        <v>0</v>
      </c>
      <c r="V16" s="12" t="s">
        <v>176</v>
      </c>
      <c r="W16" s="9">
        <v>0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3"/>
      <c r="M17" s="3" t="s">
        <v>128</v>
      </c>
      <c r="N17" s="9">
        <v>0</v>
      </c>
      <c r="O17" s="9">
        <v>805000</v>
      </c>
      <c r="P17" s="12" t="s">
        <v>67</v>
      </c>
      <c r="Q17" s="9">
        <v>0</v>
      </c>
      <c r="R17" s="11">
        <v>0</v>
      </c>
      <c r="S17" s="10">
        <v>0</v>
      </c>
      <c r="T17" s="9">
        <v>805000</v>
      </c>
      <c r="U17" s="14">
        <v>0</v>
      </c>
      <c r="V17" s="12" t="s">
        <v>176</v>
      </c>
      <c r="W17" s="9">
        <v>0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43360.708333333299</v>
      </c>
      <c r="E1" s="1" t="s">
        <v>159</v>
      </c>
      <c r="F1" s="4" t="s">
        <v>179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23</v>
      </c>
      <c r="N5" s="6"/>
      <c r="O5" s="6"/>
      <c r="P5" s="2"/>
      <c r="Q5" s="6"/>
      <c r="R5" s="6"/>
      <c r="S5" s="6">
        <v>1916500</v>
      </c>
      <c r="T5" s="6"/>
      <c r="U5" s="13">
        <v>0.18255855972702401</v>
      </c>
      <c r="V5" s="2"/>
      <c r="W5" s="6">
        <v>2110833.3468437199</v>
      </c>
      <c r="X5" s="6">
        <v>1805000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182</v>
      </c>
      <c r="N8" s="6"/>
      <c r="O8" s="6"/>
      <c r="P8" s="2"/>
      <c r="Q8" s="6"/>
      <c r="R8" s="6"/>
      <c r="S8" s="6">
        <v>441500</v>
      </c>
      <c r="T8" s="6"/>
      <c r="U8" s="13">
        <v>0.148643181941054</v>
      </c>
      <c r="V8" s="2"/>
      <c r="W8" s="6">
        <v>305833.34684372001</v>
      </c>
      <c r="X8" s="6">
        <v>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182</v>
      </c>
      <c r="N9" s="9">
        <v>441500</v>
      </c>
      <c r="O9" s="9">
        <v>331500</v>
      </c>
      <c r="P9" s="12" t="s">
        <v>183</v>
      </c>
      <c r="Q9" s="9">
        <v>0</v>
      </c>
      <c r="R9" s="11">
        <v>0</v>
      </c>
      <c r="S9" s="10">
        <v>441500</v>
      </c>
      <c r="T9" s="9">
        <v>331500</v>
      </c>
      <c r="U9" s="14">
        <v>0.56410259008407604</v>
      </c>
      <c r="V9" s="12" t="s">
        <v>175</v>
      </c>
      <c r="W9" s="9">
        <v>305833.34684372001</v>
      </c>
      <c r="X9" s="9">
        <v>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3"/>
      <c r="M10" s="3" t="s">
        <v>128</v>
      </c>
      <c r="N10" s="9">
        <v>0</v>
      </c>
      <c r="O10" s="9">
        <v>792500</v>
      </c>
      <c r="P10" s="12" t="s">
        <v>41</v>
      </c>
      <c r="Q10" s="9">
        <v>0</v>
      </c>
      <c r="R10" s="11">
        <v>0</v>
      </c>
      <c r="S10" s="10">
        <v>0</v>
      </c>
      <c r="T10" s="9">
        <v>792500</v>
      </c>
      <c r="U10" s="14">
        <v>0</v>
      </c>
      <c r="V10" s="12" t="s">
        <v>176</v>
      </c>
      <c r="W10" s="9">
        <v>0</v>
      </c>
      <c r="X10" s="9">
        <v>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3"/>
      <c r="M11" s="3" t="s">
        <v>128</v>
      </c>
      <c r="N11" s="9">
        <v>0</v>
      </c>
      <c r="O11" s="9">
        <v>187500</v>
      </c>
      <c r="P11" s="12" t="s">
        <v>41</v>
      </c>
      <c r="Q11" s="9">
        <v>0</v>
      </c>
      <c r="R11" s="11">
        <v>0</v>
      </c>
      <c r="S11" s="10">
        <v>0</v>
      </c>
      <c r="T11" s="9">
        <v>187500</v>
      </c>
      <c r="U11" s="14">
        <v>0</v>
      </c>
      <c r="V11" s="12" t="s">
        <v>176</v>
      </c>
      <c r="W11" s="9">
        <v>0</v>
      </c>
      <c r="X11" s="9">
        <v>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3"/>
      <c r="M12" s="3" t="s">
        <v>128</v>
      </c>
      <c r="N12" s="9">
        <v>0</v>
      </c>
      <c r="O12" s="9">
        <v>272500</v>
      </c>
      <c r="P12" s="12" t="s">
        <v>50</v>
      </c>
      <c r="Q12" s="9">
        <v>0</v>
      </c>
      <c r="R12" s="11">
        <v>0</v>
      </c>
      <c r="S12" s="10">
        <v>0</v>
      </c>
      <c r="T12" s="9">
        <v>272500</v>
      </c>
      <c r="U12" s="14">
        <v>0</v>
      </c>
      <c r="V12" s="12" t="s">
        <v>176</v>
      </c>
      <c r="W12" s="9">
        <v>0</v>
      </c>
      <c r="X12" s="9">
        <v>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3"/>
      <c r="M13" s="3" t="s">
        <v>128</v>
      </c>
      <c r="N13" s="9">
        <v>0</v>
      </c>
      <c r="O13" s="9">
        <v>272500</v>
      </c>
      <c r="P13" s="12" t="s">
        <v>50</v>
      </c>
      <c r="Q13" s="9">
        <v>0</v>
      </c>
      <c r="R13" s="11">
        <v>0</v>
      </c>
      <c r="S13" s="10">
        <v>0</v>
      </c>
      <c r="T13" s="9">
        <v>272500</v>
      </c>
      <c r="U13" s="14">
        <v>0</v>
      </c>
      <c r="V13" s="12" t="s">
        <v>176</v>
      </c>
      <c r="W13" s="9">
        <v>0</v>
      </c>
      <c r="X13" s="9">
        <v>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128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3"/>
      <c r="M15" s="3" t="s">
        <v>128</v>
      </c>
      <c r="N15" s="9">
        <v>0</v>
      </c>
      <c r="O15" s="9">
        <v>1205000</v>
      </c>
      <c r="P15" s="12" t="s">
        <v>30</v>
      </c>
      <c r="Q15" s="9">
        <v>0</v>
      </c>
      <c r="R15" s="11">
        <v>0</v>
      </c>
      <c r="S15" s="10">
        <v>0</v>
      </c>
      <c r="T15" s="9">
        <v>1205000</v>
      </c>
      <c r="U15" s="14">
        <v>0</v>
      </c>
      <c r="V15" s="12" t="s">
        <v>176</v>
      </c>
      <c r="W15" s="9">
        <v>0</v>
      </c>
      <c r="X15" s="9">
        <v>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3"/>
      <c r="M16" s="3" t="s">
        <v>128</v>
      </c>
      <c r="N16" s="9">
        <v>0</v>
      </c>
      <c r="O16" s="9">
        <v>605000</v>
      </c>
      <c r="P16" s="12" t="s">
        <v>41</v>
      </c>
      <c r="Q16" s="9">
        <v>0</v>
      </c>
      <c r="R16" s="11">
        <v>0</v>
      </c>
      <c r="S16" s="10">
        <v>0</v>
      </c>
      <c r="T16" s="9">
        <v>605000</v>
      </c>
      <c r="U16" s="14">
        <v>0</v>
      </c>
      <c r="V16" s="12" t="s">
        <v>176</v>
      </c>
      <c r="W16" s="9">
        <v>0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3"/>
      <c r="M17" s="3" t="s">
        <v>128</v>
      </c>
      <c r="N17" s="9">
        <v>0</v>
      </c>
      <c r="O17" s="9">
        <v>805000</v>
      </c>
      <c r="P17" s="12" t="s">
        <v>67</v>
      </c>
      <c r="Q17" s="9">
        <v>0</v>
      </c>
      <c r="R17" s="11">
        <v>0</v>
      </c>
      <c r="S17" s="10">
        <v>0</v>
      </c>
      <c r="T17" s="9">
        <v>805000</v>
      </c>
      <c r="U17" s="14">
        <v>0</v>
      </c>
      <c r="V17" s="12" t="s">
        <v>176</v>
      </c>
      <c r="W17" s="9">
        <v>0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43381.708333333299</v>
      </c>
      <c r="E1" s="1" t="s">
        <v>159</v>
      </c>
      <c r="F1" s="4" t="s">
        <v>184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185</v>
      </c>
      <c r="N5" s="6"/>
      <c r="O5" s="6"/>
      <c r="P5" s="2"/>
      <c r="Q5" s="6"/>
      <c r="R5" s="6"/>
      <c r="S5" s="6">
        <v>2837500</v>
      </c>
      <c r="T5" s="6"/>
      <c r="U5" s="13">
        <v>0.278170070680412</v>
      </c>
      <c r="V5" s="2"/>
      <c r="W5" s="6">
        <v>3216341.4422422601</v>
      </c>
      <c r="X5" s="6">
        <v>2677500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186</v>
      </c>
      <c r="N8" s="6"/>
      <c r="O8" s="6"/>
      <c r="P8" s="2"/>
      <c r="Q8" s="6"/>
      <c r="R8" s="6"/>
      <c r="S8" s="6">
        <v>1362500</v>
      </c>
      <c r="T8" s="6"/>
      <c r="U8" s="13">
        <v>0.68594966816148994</v>
      </c>
      <c r="V8" s="2"/>
      <c r="W8" s="6">
        <v>1411341.4422422601</v>
      </c>
      <c r="X8" s="6">
        <v>872500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188</v>
      </c>
      <c r="N10" s="9">
        <v>461000</v>
      </c>
      <c r="O10" s="9">
        <v>84500</v>
      </c>
      <c r="P10" s="12" t="s">
        <v>189</v>
      </c>
      <c r="Q10" s="9">
        <v>0</v>
      </c>
      <c r="R10" s="11">
        <v>0</v>
      </c>
      <c r="S10" s="10">
        <v>461000</v>
      </c>
      <c r="T10" s="9">
        <v>84500</v>
      </c>
      <c r="U10" s="14">
        <v>0.84146338701248202</v>
      </c>
      <c r="V10" s="12" t="s">
        <v>175</v>
      </c>
      <c r="W10" s="9">
        <v>668841.44186973595</v>
      </c>
      <c r="X10" s="9">
        <v>272500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67500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3"/>
      <c r="M12" s="3" t="s">
        <v>128</v>
      </c>
      <c r="N12" s="9">
        <v>0</v>
      </c>
      <c r="O12" s="9">
        <v>272500</v>
      </c>
      <c r="P12" s="12" t="s">
        <v>50</v>
      </c>
      <c r="Q12" s="9">
        <v>0</v>
      </c>
      <c r="R12" s="11">
        <v>0</v>
      </c>
      <c r="S12" s="10">
        <v>0</v>
      </c>
      <c r="T12" s="9">
        <v>272500</v>
      </c>
      <c r="U12" s="14">
        <v>0</v>
      </c>
      <c r="V12" s="12" t="s">
        <v>176</v>
      </c>
      <c r="W12" s="9">
        <v>0</v>
      </c>
      <c r="X12" s="9">
        <v>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191</v>
      </c>
      <c r="N13" s="9">
        <v>19000</v>
      </c>
      <c r="O13" s="9">
        <v>162500</v>
      </c>
      <c r="P13" s="12" t="s">
        <v>192</v>
      </c>
      <c r="Q13" s="9">
        <v>0</v>
      </c>
      <c r="R13" s="11">
        <v>0</v>
      </c>
      <c r="S13" s="10">
        <v>19000</v>
      </c>
      <c r="T13" s="9">
        <v>162500</v>
      </c>
      <c r="U13" s="14">
        <v>3.8461539894342402E-2</v>
      </c>
      <c r="V13" s="12" t="s">
        <v>175</v>
      </c>
      <c r="W13" s="9">
        <v>22500.000372529001</v>
      </c>
      <c r="X13" s="9">
        <v>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128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3"/>
      <c r="M15" s="3" t="s">
        <v>128</v>
      </c>
      <c r="N15" s="9">
        <v>0</v>
      </c>
      <c r="O15" s="9">
        <v>1205000</v>
      </c>
      <c r="P15" s="12" t="s">
        <v>30</v>
      </c>
      <c r="Q15" s="9">
        <v>0</v>
      </c>
      <c r="R15" s="11">
        <v>0</v>
      </c>
      <c r="S15" s="10">
        <v>0</v>
      </c>
      <c r="T15" s="9">
        <v>1205000</v>
      </c>
      <c r="U15" s="14">
        <v>0</v>
      </c>
      <c r="V15" s="12" t="s">
        <v>176</v>
      </c>
      <c r="W15" s="9">
        <v>0</v>
      </c>
      <c r="X15" s="9">
        <v>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3"/>
      <c r="M16" s="3" t="s">
        <v>128</v>
      </c>
      <c r="N16" s="9">
        <v>0</v>
      </c>
      <c r="O16" s="9">
        <v>605000</v>
      </c>
      <c r="P16" s="12" t="s">
        <v>41</v>
      </c>
      <c r="Q16" s="9">
        <v>0</v>
      </c>
      <c r="R16" s="11">
        <v>0</v>
      </c>
      <c r="S16" s="10">
        <v>0</v>
      </c>
      <c r="T16" s="9">
        <v>605000</v>
      </c>
      <c r="U16" s="14">
        <v>0</v>
      </c>
      <c r="V16" s="12" t="s">
        <v>176</v>
      </c>
      <c r="W16" s="9">
        <v>0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3"/>
      <c r="M17" s="3" t="s">
        <v>128</v>
      </c>
      <c r="N17" s="9">
        <v>0</v>
      </c>
      <c r="O17" s="9">
        <v>805000</v>
      </c>
      <c r="P17" s="12" t="s">
        <v>67</v>
      </c>
      <c r="Q17" s="9">
        <v>0</v>
      </c>
      <c r="R17" s="11">
        <v>0</v>
      </c>
      <c r="S17" s="10">
        <v>0</v>
      </c>
      <c r="T17" s="9">
        <v>805000</v>
      </c>
      <c r="U17" s="14">
        <v>0</v>
      </c>
      <c r="V17" s="12" t="s">
        <v>176</v>
      </c>
      <c r="W17" s="9">
        <v>0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43402.708333333299</v>
      </c>
      <c r="E1" s="1" t="s">
        <v>159</v>
      </c>
      <c r="F1" s="4" t="s">
        <v>193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194</v>
      </c>
      <c r="N5" s="6"/>
      <c r="O5" s="6"/>
      <c r="P5" s="2"/>
      <c r="Q5" s="6"/>
      <c r="R5" s="6"/>
      <c r="S5" s="6">
        <v>3689500</v>
      </c>
      <c r="T5" s="6"/>
      <c r="U5" s="13">
        <v>0.36289877649255697</v>
      </c>
      <c r="V5" s="2"/>
      <c r="W5" s="6">
        <v>4196017.1031951904</v>
      </c>
      <c r="X5" s="6">
        <v>3862500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199</v>
      </c>
      <c r="N14" s="6"/>
      <c r="O14" s="6"/>
      <c r="P14" s="2"/>
      <c r="Q14" s="6"/>
      <c r="R14" s="6"/>
      <c r="S14" s="6">
        <v>365000</v>
      </c>
      <c r="T14" s="6"/>
      <c r="U14" s="13">
        <v>0.12754000122187001</v>
      </c>
      <c r="V14" s="2"/>
      <c r="W14" s="6">
        <v>333517.10319519101</v>
      </c>
      <c r="X14" s="6">
        <v>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199</v>
      </c>
      <c r="N15" s="9">
        <v>365000</v>
      </c>
      <c r="O15" s="9">
        <v>955000</v>
      </c>
      <c r="P15" s="12" t="s">
        <v>200</v>
      </c>
      <c r="Q15" s="9">
        <v>0</v>
      </c>
      <c r="R15" s="11">
        <v>0</v>
      </c>
      <c r="S15" s="10">
        <v>365000</v>
      </c>
      <c r="T15" s="9">
        <v>955000</v>
      </c>
      <c r="U15" s="14">
        <v>0.27376425266265902</v>
      </c>
      <c r="V15" s="12" t="s">
        <v>175</v>
      </c>
      <c r="W15" s="9">
        <v>333517.10319519101</v>
      </c>
      <c r="X15" s="9">
        <v>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3"/>
      <c r="M16" s="3" t="s">
        <v>128</v>
      </c>
      <c r="N16" s="9">
        <v>0</v>
      </c>
      <c r="O16" s="9">
        <v>605000</v>
      </c>
      <c r="P16" s="12" t="s">
        <v>41</v>
      </c>
      <c r="Q16" s="9">
        <v>0</v>
      </c>
      <c r="R16" s="11">
        <v>0</v>
      </c>
      <c r="S16" s="10">
        <v>0</v>
      </c>
      <c r="T16" s="9">
        <v>605000</v>
      </c>
      <c r="U16" s="14">
        <v>0</v>
      </c>
      <c r="V16" s="12" t="s">
        <v>176</v>
      </c>
      <c r="W16" s="9">
        <v>0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3"/>
      <c r="M17" s="3" t="s">
        <v>128</v>
      </c>
      <c r="N17" s="9">
        <v>0</v>
      </c>
      <c r="O17" s="9">
        <v>805000</v>
      </c>
      <c r="P17" s="12" t="s">
        <v>67</v>
      </c>
      <c r="Q17" s="9">
        <v>0</v>
      </c>
      <c r="R17" s="11">
        <v>0</v>
      </c>
      <c r="S17" s="10">
        <v>0</v>
      </c>
      <c r="T17" s="9">
        <v>805000</v>
      </c>
      <c r="U17" s="14">
        <v>0</v>
      </c>
      <c r="V17" s="12" t="s">
        <v>176</v>
      </c>
      <c r="W17" s="9">
        <v>0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43423.708333333299</v>
      </c>
      <c r="E1" s="1" t="s">
        <v>159</v>
      </c>
      <c r="F1" s="4" t="s">
        <v>201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202</v>
      </c>
      <c r="N5" s="6"/>
      <c r="O5" s="6"/>
      <c r="P5" s="2"/>
      <c r="Q5" s="6"/>
      <c r="R5" s="6"/>
      <c r="S5" s="6">
        <v>4289500</v>
      </c>
      <c r="T5" s="6"/>
      <c r="U5" s="13">
        <v>0.41025259729333802</v>
      </c>
      <c r="V5" s="2"/>
      <c r="W5" s="6">
        <v>4743545.6562042199</v>
      </c>
      <c r="X5" s="6">
        <v>4467500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203</v>
      </c>
      <c r="N14" s="6"/>
      <c r="O14" s="6"/>
      <c r="P14" s="2"/>
      <c r="Q14" s="6"/>
      <c r="R14" s="6"/>
      <c r="S14" s="6">
        <v>965000</v>
      </c>
      <c r="T14" s="6"/>
      <c r="U14" s="13">
        <v>0.336919945011175</v>
      </c>
      <c r="V14" s="2"/>
      <c r="W14" s="6">
        <v>881045.65620422398</v>
      </c>
      <c r="X14" s="6">
        <v>605000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203</v>
      </c>
      <c r="N15" s="9">
        <v>965000</v>
      </c>
      <c r="O15" s="9">
        <v>355000</v>
      </c>
      <c r="P15" s="12" t="s">
        <v>204</v>
      </c>
      <c r="Q15" s="9">
        <v>0</v>
      </c>
      <c r="R15" s="11">
        <v>0</v>
      </c>
      <c r="S15" s="10">
        <v>965000</v>
      </c>
      <c r="T15" s="9">
        <v>355000</v>
      </c>
      <c r="U15" s="14">
        <v>0.73003804683685303</v>
      </c>
      <c r="V15" s="12" t="s">
        <v>175</v>
      </c>
      <c r="W15" s="9">
        <v>881045.65620422398</v>
      </c>
      <c r="X15" s="9">
        <v>605000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3"/>
      <c r="M16" s="3" t="s">
        <v>128</v>
      </c>
      <c r="N16" s="9">
        <v>0</v>
      </c>
      <c r="O16" s="9">
        <v>605000</v>
      </c>
      <c r="P16" s="12" t="s">
        <v>41</v>
      </c>
      <c r="Q16" s="9">
        <v>0</v>
      </c>
      <c r="R16" s="11">
        <v>0</v>
      </c>
      <c r="S16" s="10">
        <v>0</v>
      </c>
      <c r="T16" s="9">
        <v>605000</v>
      </c>
      <c r="U16" s="14">
        <v>0</v>
      </c>
      <c r="V16" s="12" t="s">
        <v>176</v>
      </c>
      <c r="W16" s="9">
        <v>0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3"/>
      <c r="M17" s="3" t="s">
        <v>128</v>
      </c>
      <c r="N17" s="9">
        <v>0</v>
      </c>
      <c r="O17" s="9">
        <v>805000</v>
      </c>
      <c r="P17" s="12" t="s">
        <v>67</v>
      </c>
      <c r="Q17" s="9">
        <v>0</v>
      </c>
      <c r="R17" s="11">
        <v>0</v>
      </c>
      <c r="S17" s="10">
        <v>0</v>
      </c>
      <c r="T17" s="9">
        <v>805000</v>
      </c>
      <c r="U17" s="14">
        <v>0</v>
      </c>
      <c r="V17" s="12" t="s">
        <v>176</v>
      </c>
      <c r="W17" s="9">
        <v>0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43444.708333333299</v>
      </c>
      <c r="E1" s="1" t="s">
        <v>159</v>
      </c>
      <c r="F1" s="4" t="s">
        <v>205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206</v>
      </c>
      <c r="N5" s="6"/>
      <c r="O5" s="6"/>
      <c r="P5" s="2"/>
      <c r="Q5" s="6"/>
      <c r="R5" s="6"/>
      <c r="S5" s="6">
        <v>5144500</v>
      </c>
      <c r="T5" s="6"/>
      <c r="U5" s="13">
        <v>0.48894831497604802</v>
      </c>
      <c r="V5" s="2"/>
      <c r="W5" s="6">
        <v>5653464.8919105502</v>
      </c>
      <c r="X5" s="6">
        <v>5067500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207</v>
      </c>
      <c r="N14" s="6"/>
      <c r="O14" s="6"/>
      <c r="P14" s="2"/>
      <c r="Q14" s="6"/>
      <c r="R14" s="6"/>
      <c r="S14" s="6">
        <v>1820000</v>
      </c>
      <c r="T14" s="6"/>
      <c r="U14" s="13">
        <v>0.68488141182047901</v>
      </c>
      <c r="V14" s="2"/>
      <c r="W14" s="6">
        <v>1790964.89191055</v>
      </c>
      <c r="X14" s="6">
        <v>1205000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209</v>
      </c>
      <c r="N16" s="9">
        <v>250000</v>
      </c>
      <c r="O16" s="9">
        <v>655000</v>
      </c>
      <c r="P16" s="12" t="s">
        <v>210</v>
      </c>
      <c r="Q16" s="9">
        <v>0</v>
      </c>
      <c r="R16" s="11">
        <v>0</v>
      </c>
      <c r="S16" s="10">
        <v>250000</v>
      </c>
      <c r="T16" s="9">
        <v>655000</v>
      </c>
      <c r="U16" s="14">
        <v>0.272222220897675</v>
      </c>
      <c r="V16" s="12" t="s">
        <v>175</v>
      </c>
      <c r="W16" s="9">
        <v>168333.332538605</v>
      </c>
      <c r="X16" s="9">
        <v>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209</v>
      </c>
      <c r="N17" s="9">
        <v>250000</v>
      </c>
      <c r="O17" s="9">
        <v>230000</v>
      </c>
      <c r="P17" s="12" t="s">
        <v>211</v>
      </c>
      <c r="Q17" s="9">
        <v>0</v>
      </c>
      <c r="R17" s="11">
        <v>0</v>
      </c>
      <c r="S17" s="10">
        <v>250000</v>
      </c>
      <c r="T17" s="9">
        <v>230000</v>
      </c>
      <c r="U17" s="14">
        <v>0.51578944921493497</v>
      </c>
      <c r="V17" s="12" t="s">
        <v>175</v>
      </c>
      <c r="W17" s="9">
        <v>417631.55937194801</v>
      </c>
      <c r="X17" s="9">
        <v>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43465.708333333299</v>
      </c>
      <c r="E1" s="1" t="s">
        <v>159</v>
      </c>
      <c r="F1" s="4" t="s">
        <v>212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213</v>
      </c>
      <c r="N5" s="6"/>
      <c r="O5" s="6"/>
      <c r="P5" s="2"/>
      <c r="Q5" s="6"/>
      <c r="R5" s="6"/>
      <c r="S5" s="6">
        <v>5974500</v>
      </c>
      <c r="T5" s="6"/>
      <c r="U5" s="13">
        <v>0.55704504600731097</v>
      </c>
      <c r="V5" s="2"/>
      <c r="W5" s="6">
        <v>6440833.34445953</v>
      </c>
      <c r="X5" s="6">
        <v>6077500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214</v>
      </c>
      <c r="N14" s="6"/>
      <c r="O14" s="6"/>
      <c r="P14" s="2"/>
      <c r="Q14" s="6"/>
      <c r="R14" s="6"/>
      <c r="S14" s="6">
        <v>2650000</v>
      </c>
      <c r="T14" s="6"/>
      <c r="U14" s="13">
        <v>0.98597833440135096</v>
      </c>
      <c r="V14" s="2"/>
      <c r="W14" s="6">
        <v>2578333.34445953</v>
      </c>
      <c r="X14" s="6">
        <v>2215000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215</v>
      </c>
      <c r="N16" s="9">
        <v>850000</v>
      </c>
      <c r="O16" s="9">
        <v>55000</v>
      </c>
      <c r="P16" s="12" t="s">
        <v>216</v>
      </c>
      <c r="Q16" s="9">
        <v>0</v>
      </c>
      <c r="R16" s="11">
        <v>0</v>
      </c>
      <c r="S16" s="10">
        <v>850000</v>
      </c>
      <c r="T16" s="9">
        <v>55000</v>
      </c>
      <c r="U16" s="14">
        <v>0.93888890743255604</v>
      </c>
      <c r="V16" s="12" t="s">
        <v>175</v>
      </c>
      <c r="W16" s="9">
        <v>568333.34445953404</v>
      </c>
      <c r="X16" s="9">
        <v>405000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605000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128</v>
      </c>
      <c r="N18" s="6"/>
      <c r="O18" s="6"/>
      <c r="P18" s="2"/>
      <c r="Q18" s="6"/>
      <c r="R18" s="6"/>
      <c r="S18" s="6">
        <v>0</v>
      </c>
      <c r="T18" s="6"/>
      <c r="U18" s="13">
        <v>0</v>
      </c>
      <c r="V18" s="2"/>
      <c r="W18" s="6">
        <v>0</v>
      </c>
      <c r="X18" s="6">
        <v>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3"/>
      <c r="M19" s="3" t="s">
        <v>128</v>
      </c>
      <c r="N19" s="9">
        <v>0</v>
      </c>
      <c r="O19" s="9">
        <v>917500</v>
      </c>
      <c r="P19" s="12" t="s">
        <v>23</v>
      </c>
      <c r="Q19" s="9">
        <v>0</v>
      </c>
      <c r="R19" s="11">
        <v>0</v>
      </c>
      <c r="S19" s="10">
        <v>0</v>
      </c>
      <c r="T19" s="9">
        <v>917500</v>
      </c>
      <c r="U19" s="14">
        <v>0</v>
      </c>
      <c r="V19" s="12" t="s">
        <v>176</v>
      </c>
      <c r="W19" s="9">
        <v>0</v>
      </c>
      <c r="X19" s="9">
        <v>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43486.708333333299</v>
      </c>
      <c r="E1" s="1" t="s">
        <v>159</v>
      </c>
      <c r="F1" s="4" t="s">
        <v>218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219</v>
      </c>
      <c r="N5" s="6"/>
      <c r="O5" s="6"/>
      <c r="P5" s="2"/>
      <c r="Q5" s="6"/>
      <c r="R5" s="6"/>
      <c r="S5" s="6">
        <v>6319500</v>
      </c>
      <c r="T5" s="6"/>
      <c r="U5" s="13">
        <v>0.60311667993906404</v>
      </c>
      <c r="V5" s="2"/>
      <c r="W5" s="6">
        <v>6973536.6117954301</v>
      </c>
      <c r="X5" s="6">
        <v>6695000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222</v>
      </c>
      <c r="N18" s="6"/>
      <c r="O18" s="6"/>
      <c r="P18" s="2"/>
      <c r="Q18" s="6"/>
      <c r="R18" s="6"/>
      <c r="S18" s="6">
        <v>290000</v>
      </c>
      <c r="T18" s="6"/>
      <c r="U18" s="13">
        <v>0.229699750773524</v>
      </c>
      <c r="V18" s="2"/>
      <c r="W18" s="6">
        <v>496036.611795426</v>
      </c>
      <c r="X18" s="6">
        <v>217500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222</v>
      </c>
      <c r="N19" s="9">
        <v>290000</v>
      </c>
      <c r="O19" s="9">
        <v>240000</v>
      </c>
      <c r="P19" s="12" t="s">
        <v>223</v>
      </c>
      <c r="Q19" s="9">
        <v>0</v>
      </c>
      <c r="R19" s="11">
        <v>0</v>
      </c>
      <c r="S19" s="10">
        <v>290000</v>
      </c>
      <c r="T19" s="9">
        <v>240000</v>
      </c>
      <c r="U19" s="14">
        <v>0.53170734643936202</v>
      </c>
      <c r="V19" s="12" t="s">
        <v>175</v>
      </c>
      <c r="W19" s="9">
        <v>496036.611795426</v>
      </c>
      <c r="X19" s="9">
        <v>217500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3"/>
      <c r="M20" s="3" t="s">
        <v>128</v>
      </c>
      <c r="N20" s="9">
        <v>0</v>
      </c>
      <c r="O20" s="9">
        <v>239500</v>
      </c>
      <c r="P20" s="12" t="s">
        <v>41</v>
      </c>
      <c r="Q20" s="9">
        <v>0</v>
      </c>
      <c r="R20" s="11">
        <v>0</v>
      </c>
      <c r="S20" s="10">
        <v>0</v>
      </c>
      <c r="T20" s="9">
        <v>239500</v>
      </c>
      <c r="U20" s="14">
        <v>0</v>
      </c>
      <c r="V20" s="12" t="s">
        <v>176</v>
      </c>
      <c r="W20" s="9">
        <v>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3"/>
      <c r="M21" s="3" t="s">
        <v>128</v>
      </c>
      <c r="N21" s="9">
        <v>0</v>
      </c>
      <c r="O21" s="9">
        <v>163500</v>
      </c>
      <c r="P21" s="12" t="s">
        <v>35</v>
      </c>
      <c r="Q21" s="9">
        <v>0</v>
      </c>
      <c r="R21" s="11">
        <v>0</v>
      </c>
      <c r="S21" s="10">
        <v>0</v>
      </c>
      <c r="T21" s="9">
        <v>163500</v>
      </c>
      <c r="U21" s="14">
        <v>0</v>
      </c>
      <c r="V21" s="12" t="s">
        <v>176</v>
      </c>
      <c r="W21" s="9">
        <v>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3"/>
      <c r="M22" s="3" t="s">
        <v>128</v>
      </c>
      <c r="N22" s="9">
        <v>0</v>
      </c>
      <c r="O22" s="9">
        <v>839000</v>
      </c>
      <c r="P22" s="12" t="s">
        <v>67</v>
      </c>
      <c r="Q22" s="9">
        <v>0</v>
      </c>
      <c r="R22" s="11">
        <v>0</v>
      </c>
      <c r="S22" s="10">
        <v>0</v>
      </c>
      <c r="T22" s="9">
        <v>839000</v>
      </c>
      <c r="U22" s="14">
        <v>0</v>
      </c>
      <c r="V22" s="12" t="s">
        <v>176</v>
      </c>
      <c r="W22" s="9">
        <v>0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43507.708333333299</v>
      </c>
      <c r="E1" s="1" t="s">
        <v>159</v>
      </c>
      <c r="F1" s="4" t="s">
        <v>224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225</v>
      </c>
      <c r="N5" s="6"/>
      <c r="O5" s="6"/>
      <c r="P5" s="2"/>
      <c r="Q5" s="6"/>
      <c r="R5" s="6"/>
      <c r="S5" s="6">
        <v>6805500</v>
      </c>
      <c r="T5" s="6"/>
      <c r="U5" s="13">
        <v>0.66619464937158501</v>
      </c>
      <c r="V5" s="2"/>
      <c r="W5" s="6">
        <v>7702875.63335896</v>
      </c>
      <c r="X5" s="6">
        <v>6995000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226</v>
      </c>
      <c r="N18" s="6"/>
      <c r="O18" s="6"/>
      <c r="P18" s="2"/>
      <c r="Q18" s="6"/>
      <c r="R18" s="6"/>
      <c r="S18" s="6">
        <v>776000</v>
      </c>
      <c r="T18" s="6"/>
      <c r="U18" s="13">
        <v>0.56743488463021796</v>
      </c>
      <c r="V18" s="2"/>
      <c r="W18" s="6">
        <v>1225375.63335896</v>
      </c>
      <c r="X18" s="6">
        <v>517500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517500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228</v>
      </c>
      <c r="N20" s="9">
        <v>57100</v>
      </c>
      <c r="O20" s="9">
        <v>125400</v>
      </c>
      <c r="P20" s="12" t="s">
        <v>182</v>
      </c>
      <c r="Q20" s="9">
        <v>0</v>
      </c>
      <c r="R20" s="11">
        <v>0</v>
      </c>
      <c r="S20" s="10">
        <v>57100</v>
      </c>
      <c r="T20" s="9">
        <v>125400</v>
      </c>
      <c r="U20" s="14">
        <v>0.266666680574417</v>
      </c>
      <c r="V20" s="12" t="s">
        <v>175</v>
      </c>
      <c r="W20" s="9">
        <v>72300.003170967102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228</v>
      </c>
      <c r="N21" s="9">
        <v>57100</v>
      </c>
      <c r="O21" s="9">
        <v>36100</v>
      </c>
      <c r="P21" s="12" t="s">
        <v>229</v>
      </c>
      <c r="Q21" s="9">
        <v>0</v>
      </c>
      <c r="R21" s="11">
        <v>0</v>
      </c>
      <c r="S21" s="10">
        <v>57100</v>
      </c>
      <c r="T21" s="9">
        <v>36100</v>
      </c>
      <c r="U21" s="14">
        <v>0.55813956260681197</v>
      </c>
      <c r="V21" s="12" t="s">
        <v>175</v>
      </c>
      <c r="W21" s="9">
        <v>96337.213516235395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228</v>
      </c>
      <c r="N22" s="9">
        <v>131800</v>
      </c>
      <c r="O22" s="9">
        <v>660400</v>
      </c>
      <c r="P22" s="12" t="s">
        <v>230</v>
      </c>
      <c r="Q22" s="9">
        <v>0</v>
      </c>
      <c r="R22" s="11">
        <v>0</v>
      </c>
      <c r="S22" s="10">
        <v>131800</v>
      </c>
      <c r="T22" s="9">
        <v>660400</v>
      </c>
      <c r="U22" s="14">
        <v>0.158940404653549</v>
      </c>
      <c r="V22" s="12" t="s">
        <v>175</v>
      </c>
      <c r="W22" s="9">
        <v>139238.41667175299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43528.708333333299</v>
      </c>
      <c r="E1" s="1" t="s">
        <v>159</v>
      </c>
      <c r="F1" s="4" t="s">
        <v>231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232</v>
      </c>
      <c r="N5" s="6"/>
      <c r="O5" s="6"/>
      <c r="P5" s="2"/>
      <c r="Q5" s="6"/>
      <c r="R5" s="6"/>
      <c r="S5" s="6">
        <v>7591000</v>
      </c>
      <c r="T5" s="6"/>
      <c r="U5" s="13">
        <v>0.74364803895692599</v>
      </c>
      <c r="V5" s="2"/>
      <c r="W5" s="6">
        <v>8598430.4504394494</v>
      </c>
      <c r="X5" s="6">
        <v>7295000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233</v>
      </c>
      <c r="N18" s="6"/>
      <c r="O18" s="6"/>
      <c r="P18" s="2"/>
      <c r="Q18" s="6"/>
      <c r="R18" s="6"/>
      <c r="S18" s="6">
        <v>1561500</v>
      </c>
      <c r="T18" s="6"/>
      <c r="U18" s="13">
        <v>0.98213959270176099</v>
      </c>
      <c r="V18" s="2"/>
      <c r="W18" s="6">
        <v>2120930.4504394499</v>
      </c>
      <c r="X18" s="6">
        <v>817500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817500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236</v>
      </c>
      <c r="N22" s="9">
        <v>755800</v>
      </c>
      <c r="O22" s="9">
        <v>36400</v>
      </c>
      <c r="P22" s="12" t="s">
        <v>237</v>
      </c>
      <c r="Q22" s="9">
        <v>0</v>
      </c>
      <c r="R22" s="11">
        <v>0</v>
      </c>
      <c r="S22" s="10">
        <v>755800</v>
      </c>
      <c r="T22" s="9">
        <v>36400</v>
      </c>
      <c r="U22" s="14">
        <v>0.95364236831664995</v>
      </c>
      <c r="V22" s="12" t="s">
        <v>175</v>
      </c>
      <c r="W22" s="9">
        <v>800430.45043945301</v>
      </c>
      <c r="X22" s="9">
        <v>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128</v>
      </c>
      <c r="N23" s="6"/>
      <c r="O23" s="6"/>
      <c r="P23" s="2"/>
      <c r="Q23" s="6"/>
      <c r="R23" s="6"/>
      <c r="S23" s="6">
        <v>0</v>
      </c>
      <c r="T23" s="6"/>
      <c r="U23" s="13">
        <v>0</v>
      </c>
      <c r="V23" s="2"/>
      <c r="W23" s="6">
        <v>0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3"/>
      <c r="M24" s="3" t="s">
        <v>128</v>
      </c>
      <c r="N24" s="9">
        <v>0</v>
      </c>
      <c r="O24" s="9">
        <v>439000</v>
      </c>
      <c r="P24" s="12" t="s">
        <v>67</v>
      </c>
      <c r="Q24" s="9">
        <v>0</v>
      </c>
      <c r="R24" s="11">
        <v>0</v>
      </c>
      <c r="S24" s="10">
        <v>0</v>
      </c>
      <c r="T24" s="9">
        <v>439000</v>
      </c>
      <c r="U24" s="14">
        <v>0</v>
      </c>
      <c r="V24" s="12" t="s">
        <v>176</v>
      </c>
      <c r="W24" s="9">
        <v>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3"/>
      <c r="M25" s="3" t="s">
        <v>128</v>
      </c>
      <c r="N25" s="9">
        <v>0</v>
      </c>
      <c r="O25" s="9">
        <v>54000</v>
      </c>
      <c r="P25" s="12" t="s">
        <v>35</v>
      </c>
      <c r="Q25" s="9">
        <v>0</v>
      </c>
      <c r="R25" s="11">
        <v>0</v>
      </c>
      <c r="S25" s="10">
        <v>0</v>
      </c>
      <c r="T25" s="9">
        <v>54000</v>
      </c>
      <c r="U25" s="14">
        <v>0</v>
      </c>
      <c r="V25" s="12" t="s">
        <v>176</v>
      </c>
      <c r="W25" s="9">
        <v>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43549.708333333299</v>
      </c>
      <c r="E1" s="1" t="s">
        <v>159</v>
      </c>
      <c r="F1" s="4" t="s">
        <v>238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239</v>
      </c>
      <c r="N5" s="6"/>
      <c r="O5" s="6"/>
      <c r="P5" s="2"/>
      <c r="Q5" s="6"/>
      <c r="R5" s="6"/>
      <c r="S5" s="6">
        <v>7884600</v>
      </c>
      <c r="T5" s="6"/>
      <c r="U5" s="13">
        <v>0.78762007718472904</v>
      </c>
      <c r="V5" s="2"/>
      <c r="W5" s="6">
        <v>9106857.1424484309</v>
      </c>
      <c r="X5" s="6">
        <v>7905500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1428000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87500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423000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242</v>
      </c>
      <c r="N23" s="6"/>
      <c r="O23" s="6"/>
      <c r="P23" s="2"/>
      <c r="Q23" s="6"/>
      <c r="R23" s="6"/>
      <c r="S23" s="6">
        <v>257200</v>
      </c>
      <c r="T23" s="6"/>
      <c r="U23" s="13">
        <v>0.55277310876285302</v>
      </c>
      <c r="V23" s="2"/>
      <c r="W23" s="6">
        <v>469857.142448425</v>
      </c>
      <c r="X23" s="6">
        <v>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244</v>
      </c>
      <c r="N25" s="9">
        <v>23400</v>
      </c>
      <c r="O25" s="9">
        <v>16200</v>
      </c>
      <c r="P25" s="12" t="s">
        <v>245</v>
      </c>
      <c r="Q25" s="9">
        <v>0</v>
      </c>
      <c r="R25" s="11">
        <v>0</v>
      </c>
      <c r="S25" s="10">
        <v>23400</v>
      </c>
      <c r="T25" s="9">
        <v>16200</v>
      </c>
      <c r="U25" s="14">
        <v>0.51785713434219405</v>
      </c>
      <c r="V25" s="12" t="s">
        <v>175</v>
      </c>
      <c r="W25" s="9">
        <v>30857.1424484253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3"/>
      <c r="M26" s="3" t="s">
        <v>128</v>
      </c>
      <c r="N26" s="9">
        <v>0</v>
      </c>
      <c r="O26" s="9">
        <v>357000</v>
      </c>
      <c r="P26" s="12" t="s">
        <v>41</v>
      </c>
      <c r="Q26" s="9">
        <v>0</v>
      </c>
      <c r="R26" s="11">
        <v>0</v>
      </c>
      <c r="S26" s="10">
        <v>0</v>
      </c>
      <c r="T26" s="9">
        <v>357000</v>
      </c>
      <c r="U26" s="14">
        <v>0</v>
      </c>
      <c r="V26" s="12" t="s">
        <v>176</v>
      </c>
      <c r="W26" s="9">
        <v>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128</v>
      </c>
      <c r="N27" s="6"/>
      <c r="O27" s="6"/>
      <c r="P27" s="2"/>
      <c r="Q27" s="6"/>
      <c r="R27" s="6"/>
      <c r="S27" s="6">
        <v>0</v>
      </c>
      <c r="T27" s="6"/>
      <c r="U27" s="13">
        <v>0</v>
      </c>
      <c r="V27" s="2"/>
      <c r="W27" s="6">
        <v>0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3"/>
      <c r="M28" s="3" t="s">
        <v>128</v>
      </c>
      <c r="N28" s="9">
        <v>0</v>
      </c>
      <c r="O28" s="9">
        <v>1089000</v>
      </c>
      <c r="P28" s="12" t="s">
        <v>110</v>
      </c>
      <c r="Q28" s="9">
        <v>0</v>
      </c>
      <c r="R28" s="11">
        <v>0</v>
      </c>
      <c r="S28" s="10">
        <v>0</v>
      </c>
      <c r="T28" s="9">
        <v>1089000</v>
      </c>
      <c r="U28" s="14">
        <v>0</v>
      </c>
      <c r="V28" s="12" t="s">
        <v>176</v>
      </c>
      <c r="W28" s="9">
        <v>0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3"/>
      <c r="M29" s="3" t="s">
        <v>128</v>
      </c>
      <c r="N29" s="9">
        <v>0</v>
      </c>
      <c r="O29" s="9">
        <v>181500</v>
      </c>
      <c r="P29" s="12" t="s">
        <v>35</v>
      </c>
      <c r="Q29" s="9">
        <v>0</v>
      </c>
      <c r="R29" s="11">
        <v>0</v>
      </c>
      <c r="S29" s="10">
        <v>0</v>
      </c>
      <c r="T29" s="9">
        <v>181500</v>
      </c>
      <c r="U29" s="14">
        <v>0</v>
      </c>
      <c r="V29" s="12" t="s">
        <v>176</v>
      </c>
      <c r="W29" s="9">
        <v>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43570.708333333299</v>
      </c>
      <c r="E1" s="1" t="s">
        <v>159</v>
      </c>
      <c r="F1" s="4" t="s">
        <v>246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247</v>
      </c>
      <c r="N5" s="6"/>
      <c r="O5" s="6"/>
      <c r="P5" s="2"/>
      <c r="Q5" s="6"/>
      <c r="R5" s="6"/>
      <c r="S5" s="6">
        <v>8317000</v>
      </c>
      <c r="T5" s="6"/>
      <c r="U5" s="13">
        <v>0.83506577853125497</v>
      </c>
      <c r="V5" s="2"/>
      <c r="W5" s="6">
        <v>9655448.0642676391</v>
      </c>
      <c r="X5" s="6">
        <v>8752000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115000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115000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192</v>
      </c>
      <c r="N27" s="6"/>
      <c r="O27" s="6"/>
      <c r="P27" s="2"/>
      <c r="Q27" s="6"/>
      <c r="R27" s="6"/>
      <c r="S27" s="6">
        <v>210000</v>
      </c>
      <c r="T27" s="6"/>
      <c r="U27" s="13">
        <v>8.1160233325769895E-2</v>
      </c>
      <c r="V27" s="2"/>
      <c r="W27" s="6">
        <v>168448.064267635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192</v>
      </c>
      <c r="N28" s="9">
        <v>144000</v>
      </c>
      <c r="O28" s="9">
        <v>1436400</v>
      </c>
      <c r="P28" s="12" t="s">
        <v>250</v>
      </c>
      <c r="Q28" s="9">
        <v>0</v>
      </c>
      <c r="R28" s="11">
        <v>0</v>
      </c>
      <c r="S28" s="10">
        <v>144000</v>
      </c>
      <c r="T28" s="9">
        <v>1436400</v>
      </c>
      <c r="U28" s="14">
        <v>8.5910655558109297E-2</v>
      </c>
      <c r="V28" s="12" t="s">
        <v>175</v>
      </c>
      <c r="W28" s="9">
        <v>101783.508002758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192</v>
      </c>
      <c r="N29" s="9">
        <v>66000</v>
      </c>
      <c r="O29" s="9">
        <v>113400</v>
      </c>
      <c r="P29" s="12" t="s">
        <v>178</v>
      </c>
      <c r="Q29" s="9">
        <v>0</v>
      </c>
      <c r="R29" s="11">
        <v>0</v>
      </c>
      <c r="S29" s="10">
        <v>66000</v>
      </c>
      <c r="T29" s="9">
        <v>113400</v>
      </c>
      <c r="U29" s="14">
        <v>0.31645569205284102</v>
      </c>
      <c r="V29" s="12" t="s">
        <v>175</v>
      </c>
      <c r="W29" s="9">
        <v>66664.556264877305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43591.708333333299</v>
      </c>
      <c r="E1" s="1" t="s">
        <v>159</v>
      </c>
      <c r="F1" s="4" t="s">
        <v>251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252</v>
      </c>
      <c r="N5" s="6"/>
      <c r="O5" s="6"/>
      <c r="P5" s="2"/>
      <c r="Q5" s="6"/>
      <c r="R5" s="6"/>
      <c r="S5" s="6">
        <v>9078400</v>
      </c>
      <c r="T5" s="6"/>
      <c r="U5" s="13">
        <v>0.88351518435091603</v>
      </c>
      <c r="V5" s="2"/>
      <c r="W5" s="6">
        <v>10215644.3190575</v>
      </c>
      <c r="X5" s="6">
        <v>9076000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439000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439000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253</v>
      </c>
      <c r="N27" s="6"/>
      <c r="O27" s="6"/>
      <c r="P27" s="2"/>
      <c r="Q27" s="6"/>
      <c r="R27" s="6"/>
      <c r="S27" s="6">
        <v>971400</v>
      </c>
      <c r="T27" s="6"/>
      <c r="U27" s="13">
        <v>0.35106929369186501</v>
      </c>
      <c r="V27" s="2"/>
      <c r="W27" s="6">
        <v>728644.31905746495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253</v>
      </c>
      <c r="N28" s="9">
        <v>792000</v>
      </c>
      <c r="O28" s="9">
        <v>788400</v>
      </c>
      <c r="P28" s="12" t="s">
        <v>254</v>
      </c>
      <c r="Q28" s="9">
        <v>0</v>
      </c>
      <c r="R28" s="11">
        <v>0</v>
      </c>
      <c r="S28" s="10">
        <v>792000</v>
      </c>
      <c r="T28" s="9">
        <v>788400</v>
      </c>
      <c r="U28" s="14">
        <v>0.49828177690505998</v>
      </c>
      <c r="V28" s="12" t="s">
        <v>175</v>
      </c>
      <c r="W28" s="9">
        <v>547144.31905746495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255</v>
      </c>
      <c r="N29" s="9">
        <v>179400</v>
      </c>
      <c r="O29" s="9">
        <v>0</v>
      </c>
      <c r="P29" s="12" t="s">
        <v>128</v>
      </c>
      <c r="Q29" s="9">
        <v>0</v>
      </c>
      <c r="R29" s="11">
        <v>0</v>
      </c>
      <c r="S29" s="10">
        <v>179400</v>
      </c>
      <c r="T29" s="9">
        <v>0</v>
      </c>
      <c r="U29" s="14">
        <v>1</v>
      </c>
      <c r="V29" s="12" t="s">
        <v>181</v>
      </c>
      <c r="W29" s="9">
        <v>181500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43612.708333333299</v>
      </c>
      <c r="E1" s="1" t="s">
        <v>159</v>
      </c>
      <c r="F1" s="4" t="s">
        <v>256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257</v>
      </c>
      <c r="N5" s="6"/>
      <c r="O5" s="6"/>
      <c r="P5" s="2"/>
      <c r="Q5" s="6"/>
      <c r="R5" s="6"/>
      <c r="S5" s="6">
        <v>9726400</v>
      </c>
      <c r="T5" s="6"/>
      <c r="U5" s="13">
        <v>0.92203287959743196</v>
      </c>
      <c r="V5" s="2"/>
      <c r="W5" s="6">
        <v>10661005.170345301</v>
      </c>
      <c r="X5" s="6">
        <v>9255000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618000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439000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54000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125000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258</v>
      </c>
      <c r="N27" s="6"/>
      <c r="O27" s="6"/>
      <c r="P27" s="2"/>
      <c r="Q27" s="6"/>
      <c r="R27" s="6"/>
      <c r="S27" s="6">
        <v>1619400</v>
      </c>
      <c r="T27" s="6"/>
      <c r="U27" s="13">
        <v>0.56564932322105799</v>
      </c>
      <c r="V27" s="2"/>
      <c r="W27" s="6">
        <v>1174005.1703453099</v>
      </c>
      <c r="X27" s="6">
        <v>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258</v>
      </c>
      <c r="N28" s="9">
        <v>1440000</v>
      </c>
      <c r="O28" s="9">
        <v>140400</v>
      </c>
      <c r="P28" s="12" t="s">
        <v>198</v>
      </c>
      <c r="Q28" s="9">
        <v>0</v>
      </c>
      <c r="R28" s="11">
        <v>0</v>
      </c>
      <c r="S28" s="10">
        <v>1440000</v>
      </c>
      <c r="T28" s="9">
        <v>140400</v>
      </c>
      <c r="U28" s="14">
        <v>0.910652935504913</v>
      </c>
      <c r="V28" s="12" t="s">
        <v>175</v>
      </c>
      <c r="W28" s="9">
        <v>992505.17034530605</v>
      </c>
      <c r="X28" s="9">
        <v>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255</v>
      </c>
      <c r="N29" s="9">
        <v>179400</v>
      </c>
      <c r="O29" s="9">
        <v>0</v>
      </c>
      <c r="P29" s="12" t="s">
        <v>128</v>
      </c>
      <c r="Q29" s="9">
        <v>0</v>
      </c>
      <c r="R29" s="11">
        <v>0</v>
      </c>
      <c r="S29" s="10">
        <v>179400</v>
      </c>
      <c r="T29" s="9">
        <v>0</v>
      </c>
      <c r="U29" s="14">
        <v>1</v>
      </c>
      <c r="V29" s="12" t="s">
        <v>181</v>
      </c>
      <c r="W29" s="9">
        <v>181500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3"/>
      <c r="M30" s="3" t="s">
        <v>128</v>
      </c>
      <c r="N30" s="9">
        <v>0</v>
      </c>
      <c r="O30" s="9">
        <v>370000</v>
      </c>
      <c r="P30" s="12" t="s">
        <v>23</v>
      </c>
      <c r="Q30" s="9">
        <v>0</v>
      </c>
      <c r="R30" s="11">
        <v>0</v>
      </c>
      <c r="S30" s="10">
        <v>0</v>
      </c>
      <c r="T30" s="9">
        <v>370000</v>
      </c>
      <c r="U30" s="14">
        <v>0</v>
      </c>
      <c r="V30" s="12" t="s">
        <v>176</v>
      </c>
      <c r="W30" s="9">
        <v>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43633.708333333299</v>
      </c>
      <c r="E1" s="1" t="s">
        <v>159</v>
      </c>
      <c r="F1" s="4" t="s">
        <v>259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260</v>
      </c>
      <c r="N5" s="6"/>
      <c r="O5" s="6"/>
      <c r="P5" s="2"/>
      <c r="Q5" s="6"/>
      <c r="R5" s="6"/>
      <c r="S5" s="6">
        <v>9970800</v>
      </c>
      <c r="T5" s="6"/>
      <c r="U5" s="13">
        <v>0.94632933962022903</v>
      </c>
      <c r="V5" s="2"/>
      <c r="W5" s="6">
        <v>10941932.9893589</v>
      </c>
      <c r="X5" s="6">
        <v>9712000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850000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439000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54000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357000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261</v>
      </c>
      <c r="N27" s="6"/>
      <c r="O27" s="6"/>
      <c r="P27" s="2"/>
      <c r="Q27" s="6"/>
      <c r="R27" s="6"/>
      <c r="S27" s="6">
        <v>1863800</v>
      </c>
      <c r="T27" s="6"/>
      <c r="U27" s="13">
        <v>0.70100360846008303</v>
      </c>
      <c r="V27" s="2"/>
      <c r="W27" s="6">
        <v>1454932.9893589001</v>
      </c>
      <c r="X27" s="6">
        <v>225000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262</v>
      </c>
      <c r="N28" s="9">
        <v>1580400</v>
      </c>
      <c r="O28" s="9">
        <v>0</v>
      </c>
      <c r="P28" s="12" t="s">
        <v>128</v>
      </c>
      <c r="Q28" s="9">
        <v>0</v>
      </c>
      <c r="R28" s="11">
        <v>0</v>
      </c>
      <c r="S28" s="10">
        <v>1580400</v>
      </c>
      <c r="T28" s="9">
        <v>0</v>
      </c>
      <c r="U28" s="14">
        <v>1</v>
      </c>
      <c r="V28" s="12" t="s">
        <v>181</v>
      </c>
      <c r="W28" s="9">
        <v>1089000</v>
      </c>
      <c r="X28" s="9">
        <v>225000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255</v>
      </c>
      <c r="N29" s="9">
        <v>179400</v>
      </c>
      <c r="O29" s="9">
        <v>0</v>
      </c>
      <c r="P29" s="12" t="s">
        <v>128</v>
      </c>
      <c r="Q29" s="9">
        <v>0</v>
      </c>
      <c r="R29" s="11">
        <v>0</v>
      </c>
      <c r="S29" s="10">
        <v>179400</v>
      </c>
      <c r="T29" s="9">
        <v>0</v>
      </c>
      <c r="U29" s="14">
        <v>1</v>
      </c>
      <c r="V29" s="12" t="s">
        <v>181</v>
      </c>
      <c r="W29" s="9">
        <v>181500</v>
      </c>
      <c r="X29" s="9">
        <v>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7">
        <v>43616.416666666701</v>
      </c>
      <c r="M30" s="3" t="s">
        <v>263</v>
      </c>
      <c r="N30" s="9">
        <v>104000</v>
      </c>
      <c r="O30" s="9">
        <v>100000</v>
      </c>
      <c r="P30" s="12" t="s">
        <v>264</v>
      </c>
      <c r="Q30" s="9">
        <v>0</v>
      </c>
      <c r="R30" s="11">
        <v>0</v>
      </c>
      <c r="S30" s="10">
        <v>104000</v>
      </c>
      <c r="T30" s="9">
        <v>100000</v>
      </c>
      <c r="U30" s="14">
        <v>0.48453608155250499</v>
      </c>
      <c r="V30" s="12" t="s">
        <v>175</v>
      </c>
      <c r="W30" s="9">
        <v>184432.98935890201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3"/>
      <c r="M31" s="3" t="s">
        <v>128</v>
      </c>
      <c r="N31" s="9">
        <v>0</v>
      </c>
      <c r="O31" s="9">
        <v>435000</v>
      </c>
      <c r="P31" s="12" t="s">
        <v>41</v>
      </c>
      <c r="Q31" s="9">
        <v>0</v>
      </c>
      <c r="R31" s="11">
        <v>0</v>
      </c>
      <c r="S31" s="10">
        <v>0</v>
      </c>
      <c r="T31" s="9">
        <v>435000</v>
      </c>
      <c r="U31" s="14">
        <v>0</v>
      </c>
      <c r="V31" s="12" t="s">
        <v>176</v>
      </c>
      <c r="W31" s="9">
        <v>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43654.708333333299</v>
      </c>
      <c r="E1" s="1" t="s">
        <v>159</v>
      </c>
      <c r="F1" s="4" t="s">
        <v>265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266</v>
      </c>
      <c r="N5" s="6"/>
      <c r="O5" s="6"/>
      <c r="P5" s="2"/>
      <c r="Q5" s="6"/>
      <c r="R5" s="6"/>
      <c r="S5" s="6">
        <v>10155800</v>
      </c>
      <c r="T5" s="6"/>
      <c r="U5" s="13">
        <v>0.96789943443762305</v>
      </c>
      <c r="V5" s="2"/>
      <c r="W5" s="6">
        <v>11191337.210685</v>
      </c>
      <c r="X5" s="6">
        <v>10457500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850000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439000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54000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357000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267</v>
      </c>
      <c r="N27" s="6"/>
      <c r="O27" s="6"/>
      <c r="P27" s="2"/>
      <c r="Q27" s="6"/>
      <c r="R27" s="6"/>
      <c r="S27" s="6">
        <v>2048800</v>
      </c>
      <c r="T27" s="6"/>
      <c r="U27" s="13">
        <v>0.82116945829198495</v>
      </c>
      <c r="V27" s="2"/>
      <c r="W27" s="6">
        <v>1704337.2106850101</v>
      </c>
      <c r="X27" s="6">
        <v>970500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262</v>
      </c>
      <c r="N28" s="9">
        <v>1580400</v>
      </c>
      <c r="O28" s="9">
        <v>0</v>
      </c>
      <c r="P28" s="12" t="s">
        <v>128</v>
      </c>
      <c r="Q28" s="9">
        <v>0</v>
      </c>
      <c r="R28" s="11">
        <v>0</v>
      </c>
      <c r="S28" s="10">
        <v>1580400</v>
      </c>
      <c r="T28" s="9">
        <v>0</v>
      </c>
      <c r="U28" s="14">
        <v>1</v>
      </c>
      <c r="V28" s="12" t="s">
        <v>181</v>
      </c>
      <c r="W28" s="9">
        <v>1089000</v>
      </c>
      <c r="X28" s="9">
        <v>873000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255</v>
      </c>
      <c r="N29" s="9">
        <v>179400</v>
      </c>
      <c r="O29" s="9">
        <v>0</v>
      </c>
      <c r="P29" s="12" t="s">
        <v>128</v>
      </c>
      <c r="Q29" s="9">
        <v>0</v>
      </c>
      <c r="R29" s="11">
        <v>0</v>
      </c>
      <c r="S29" s="10">
        <v>179400</v>
      </c>
      <c r="T29" s="9">
        <v>0</v>
      </c>
      <c r="U29" s="14">
        <v>1</v>
      </c>
      <c r="V29" s="12" t="s">
        <v>181</v>
      </c>
      <c r="W29" s="9">
        <v>181500</v>
      </c>
      <c r="X29" s="9">
        <v>97500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7">
        <v>43616.416666666701</v>
      </c>
      <c r="M30" s="3" t="s">
        <v>268</v>
      </c>
      <c r="N30" s="9">
        <v>204000</v>
      </c>
      <c r="O30" s="9">
        <v>0</v>
      </c>
      <c r="P30" s="12" t="s">
        <v>128</v>
      </c>
      <c r="Q30" s="9">
        <v>0</v>
      </c>
      <c r="R30" s="11">
        <v>0</v>
      </c>
      <c r="S30" s="10">
        <v>204000</v>
      </c>
      <c r="T30" s="9">
        <v>0</v>
      </c>
      <c r="U30" s="14">
        <v>1</v>
      </c>
      <c r="V30" s="12" t="s">
        <v>181</v>
      </c>
      <c r="W30" s="9">
        <v>370000</v>
      </c>
      <c r="X30" s="9">
        <v>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7">
        <v>43650.541666666701</v>
      </c>
      <c r="M31" s="3" t="s">
        <v>269</v>
      </c>
      <c r="N31" s="9">
        <v>85000</v>
      </c>
      <c r="O31" s="9">
        <v>532000</v>
      </c>
      <c r="P31" s="12" t="s">
        <v>270</v>
      </c>
      <c r="Q31" s="9">
        <v>0</v>
      </c>
      <c r="R31" s="11">
        <v>0</v>
      </c>
      <c r="S31" s="10">
        <v>85000</v>
      </c>
      <c r="T31" s="9">
        <v>532000</v>
      </c>
      <c r="U31" s="14">
        <v>0.11627907305955899</v>
      </c>
      <c r="V31" s="12" t="s">
        <v>175</v>
      </c>
      <c r="W31" s="9">
        <v>63837.210685014797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43675.708333333299</v>
      </c>
      <c r="E1" s="1" t="s">
        <v>159</v>
      </c>
      <c r="F1" s="4" t="s">
        <v>271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272</v>
      </c>
      <c r="N5" s="6"/>
      <c r="O5" s="6"/>
      <c r="P5" s="2"/>
      <c r="Q5" s="6"/>
      <c r="R5" s="6"/>
      <c r="S5" s="6">
        <v>10575800</v>
      </c>
      <c r="T5" s="6"/>
      <c r="U5" s="13">
        <v>0.99324198511484496</v>
      </c>
      <c r="V5" s="2"/>
      <c r="W5" s="6">
        <v>11484360.4528904</v>
      </c>
      <c r="X5" s="6">
        <v>10847500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850000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439000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54000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357000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273</v>
      </c>
      <c r="N27" s="6"/>
      <c r="O27" s="6"/>
      <c r="P27" s="2"/>
      <c r="Q27" s="6"/>
      <c r="R27" s="6"/>
      <c r="S27" s="6">
        <v>2468800</v>
      </c>
      <c r="T27" s="6"/>
      <c r="U27" s="13">
        <v>0.96235145887275197</v>
      </c>
      <c r="V27" s="2"/>
      <c r="W27" s="6">
        <v>1997360.4528904001</v>
      </c>
      <c r="X27" s="6">
        <v>1360500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262</v>
      </c>
      <c r="N28" s="9">
        <v>1580400</v>
      </c>
      <c r="O28" s="9">
        <v>0</v>
      </c>
      <c r="P28" s="12" t="s">
        <v>128</v>
      </c>
      <c r="Q28" s="9">
        <v>0</v>
      </c>
      <c r="R28" s="11">
        <v>0</v>
      </c>
      <c r="S28" s="10">
        <v>1580400</v>
      </c>
      <c r="T28" s="9">
        <v>0</v>
      </c>
      <c r="U28" s="14">
        <v>1</v>
      </c>
      <c r="V28" s="12" t="s">
        <v>181</v>
      </c>
      <c r="W28" s="9">
        <v>1089000</v>
      </c>
      <c r="X28" s="9">
        <v>1089000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255</v>
      </c>
      <c r="N29" s="9">
        <v>179400</v>
      </c>
      <c r="O29" s="9">
        <v>0</v>
      </c>
      <c r="P29" s="12" t="s">
        <v>128</v>
      </c>
      <c r="Q29" s="9">
        <v>0</v>
      </c>
      <c r="R29" s="11">
        <v>0</v>
      </c>
      <c r="S29" s="10">
        <v>179400</v>
      </c>
      <c r="T29" s="9">
        <v>0</v>
      </c>
      <c r="U29" s="14">
        <v>1</v>
      </c>
      <c r="V29" s="12" t="s">
        <v>181</v>
      </c>
      <c r="W29" s="9">
        <v>181500</v>
      </c>
      <c r="X29" s="9">
        <v>181500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7">
        <v>43616.416666666701</v>
      </c>
      <c r="M30" s="3" t="s">
        <v>268</v>
      </c>
      <c r="N30" s="9">
        <v>204000</v>
      </c>
      <c r="O30" s="9">
        <v>0</v>
      </c>
      <c r="P30" s="12" t="s">
        <v>128</v>
      </c>
      <c r="Q30" s="9">
        <v>0</v>
      </c>
      <c r="R30" s="11">
        <v>0</v>
      </c>
      <c r="S30" s="10">
        <v>204000</v>
      </c>
      <c r="T30" s="9">
        <v>0</v>
      </c>
      <c r="U30" s="14">
        <v>1</v>
      </c>
      <c r="V30" s="12" t="s">
        <v>181</v>
      </c>
      <c r="W30" s="9">
        <v>370000</v>
      </c>
      <c r="X30" s="9">
        <v>90000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7">
        <v>43650.541666666701</v>
      </c>
      <c r="M31" s="3" t="s">
        <v>274</v>
      </c>
      <c r="N31" s="9">
        <v>505000</v>
      </c>
      <c r="O31" s="9">
        <v>112000</v>
      </c>
      <c r="P31" s="12" t="s">
        <v>275</v>
      </c>
      <c r="Q31" s="9">
        <v>0</v>
      </c>
      <c r="R31" s="11">
        <v>0</v>
      </c>
      <c r="S31" s="10">
        <v>505000</v>
      </c>
      <c r="T31" s="9">
        <v>112000</v>
      </c>
      <c r="U31" s="14">
        <v>0.81395345926284801</v>
      </c>
      <c r="V31" s="12" t="s">
        <v>175</v>
      </c>
      <c r="W31" s="9">
        <v>356860.452890396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"/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0</v>
      </c>
      <c r="V32" s="12" t="s">
        <v>176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32"/>
  <sheetViews>
    <sheetView topLeftCell="A19"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158</v>
      </c>
      <c r="C1" s="7">
        <v>43696.708333333299</v>
      </c>
      <c r="E1" s="1" t="s">
        <v>159</v>
      </c>
      <c r="F1" s="4" t="s">
        <v>276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160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160</v>
      </c>
      <c r="W4" s="1" t="s">
        <v>171</v>
      </c>
      <c r="X4" s="1" t="s">
        <v>172</v>
      </c>
    </row>
    <row r="5" spans="1:24" x14ac:dyDescent="0.35">
      <c r="A5" s="2">
        <v>0</v>
      </c>
      <c r="B5" s="3" t="s">
        <v>18</v>
      </c>
      <c r="C5" s="5">
        <v>43298.333333333299</v>
      </c>
      <c r="D5" s="5">
        <v>43745.708333333299</v>
      </c>
      <c r="E5" s="2" t="s">
        <v>20</v>
      </c>
      <c r="F5" s="2"/>
      <c r="G5" s="6"/>
      <c r="H5" s="6">
        <v>0</v>
      </c>
      <c r="I5" s="6"/>
      <c r="J5" s="6"/>
      <c r="K5" s="6">
        <v>11562500</v>
      </c>
      <c r="L5" s="2"/>
      <c r="M5" s="2" t="s">
        <v>277</v>
      </c>
      <c r="N5" s="6"/>
      <c r="O5" s="6"/>
      <c r="P5" s="2"/>
      <c r="Q5" s="6"/>
      <c r="R5" s="6"/>
      <c r="S5" s="6">
        <v>10687800</v>
      </c>
      <c r="T5" s="6"/>
      <c r="U5" s="13">
        <v>1</v>
      </c>
      <c r="V5" s="2"/>
      <c r="W5" s="6">
        <v>11562500</v>
      </c>
      <c r="X5" s="6">
        <v>10967500</v>
      </c>
    </row>
    <row r="6" spans="1:24" x14ac:dyDescent="0.35">
      <c r="A6" s="4">
        <v>31</v>
      </c>
      <c r="B6" s="4" t="s">
        <v>21</v>
      </c>
      <c r="C6" s="5">
        <v>43298.333333333299</v>
      </c>
      <c r="D6" s="5">
        <v>43360.708333333299</v>
      </c>
      <c r="E6" s="2" t="s">
        <v>23</v>
      </c>
      <c r="F6" s="2"/>
      <c r="G6" s="6"/>
      <c r="H6" s="6">
        <v>0</v>
      </c>
      <c r="I6" s="6"/>
      <c r="J6" s="6"/>
      <c r="K6" s="6">
        <v>1805000</v>
      </c>
      <c r="L6" s="2"/>
      <c r="M6" s="2" t="s">
        <v>180</v>
      </c>
      <c r="N6" s="6"/>
      <c r="O6" s="6"/>
      <c r="P6" s="2"/>
      <c r="Q6" s="6"/>
      <c r="R6" s="6"/>
      <c r="S6" s="6">
        <v>1475000</v>
      </c>
      <c r="T6" s="6"/>
      <c r="U6" s="13">
        <v>1</v>
      </c>
      <c r="V6" s="2"/>
      <c r="W6" s="6">
        <v>1805000</v>
      </c>
      <c r="X6" s="6">
        <v>1805000</v>
      </c>
    </row>
    <row r="7" spans="1:24" x14ac:dyDescent="0.35">
      <c r="A7" s="3">
        <v>1</v>
      </c>
      <c r="B7" s="3" t="s">
        <v>24</v>
      </c>
      <c r="C7" s="8">
        <v>43298.333333333299</v>
      </c>
      <c r="D7" s="8">
        <v>43360.708333333299</v>
      </c>
      <c r="E7" s="12" t="s">
        <v>23</v>
      </c>
      <c r="F7" s="12" t="s">
        <v>27</v>
      </c>
      <c r="G7" s="9">
        <v>1805000</v>
      </c>
      <c r="H7" s="9">
        <v>0</v>
      </c>
      <c r="I7" s="9">
        <v>0</v>
      </c>
      <c r="J7" s="9">
        <v>0</v>
      </c>
      <c r="K7" s="9">
        <v>1805000</v>
      </c>
      <c r="L7" s="7">
        <v>43298.333333333299</v>
      </c>
      <c r="M7" s="3" t="s">
        <v>180</v>
      </c>
      <c r="N7" s="9">
        <v>1475000</v>
      </c>
      <c r="O7" s="9">
        <v>0</v>
      </c>
      <c r="P7" s="12" t="s">
        <v>128</v>
      </c>
      <c r="Q7" s="9">
        <v>0</v>
      </c>
      <c r="R7" s="11">
        <v>0</v>
      </c>
      <c r="S7" s="10">
        <v>1475000</v>
      </c>
      <c r="T7" s="9">
        <v>0</v>
      </c>
      <c r="U7" s="14">
        <v>1</v>
      </c>
      <c r="V7" s="12" t="s">
        <v>181</v>
      </c>
      <c r="W7" s="9">
        <v>1805000</v>
      </c>
      <c r="X7" s="9">
        <v>1805000</v>
      </c>
    </row>
    <row r="8" spans="1:24" x14ac:dyDescent="0.35">
      <c r="A8" s="4">
        <v>26</v>
      </c>
      <c r="B8" s="4" t="s">
        <v>28</v>
      </c>
      <c r="C8" s="5">
        <v>43361.333333333299</v>
      </c>
      <c r="D8" s="5">
        <v>43402.708333333299</v>
      </c>
      <c r="E8" s="2" t="s">
        <v>30</v>
      </c>
      <c r="F8" s="2"/>
      <c r="G8" s="6"/>
      <c r="H8" s="6">
        <v>0</v>
      </c>
      <c r="I8" s="6"/>
      <c r="J8" s="6"/>
      <c r="K8" s="6">
        <v>2057500</v>
      </c>
      <c r="L8" s="2"/>
      <c r="M8" s="2" t="s">
        <v>195</v>
      </c>
      <c r="N8" s="6"/>
      <c r="O8" s="6"/>
      <c r="P8" s="2"/>
      <c r="Q8" s="6"/>
      <c r="R8" s="6"/>
      <c r="S8" s="6">
        <v>1849500</v>
      </c>
      <c r="T8" s="6"/>
      <c r="U8" s="13">
        <v>1</v>
      </c>
      <c r="V8" s="2"/>
      <c r="W8" s="6">
        <v>2057500</v>
      </c>
      <c r="X8" s="6">
        <v>2057500</v>
      </c>
    </row>
    <row r="9" spans="1:24" ht="43" x14ac:dyDescent="0.35">
      <c r="A9" s="3">
        <v>3</v>
      </c>
      <c r="B9" s="3" t="s">
        <v>31</v>
      </c>
      <c r="C9" s="8">
        <v>43361.333333333299</v>
      </c>
      <c r="D9" s="8">
        <v>43374.708333333299</v>
      </c>
      <c r="E9" s="12" t="s">
        <v>35</v>
      </c>
      <c r="F9" s="12" t="s">
        <v>36</v>
      </c>
      <c r="G9" s="9">
        <v>532500</v>
      </c>
      <c r="H9" s="9">
        <v>0</v>
      </c>
      <c r="I9" s="9">
        <v>0</v>
      </c>
      <c r="J9" s="9">
        <v>0</v>
      </c>
      <c r="K9" s="9">
        <v>532500</v>
      </c>
      <c r="L9" s="7">
        <v>43348.625</v>
      </c>
      <c r="M9" s="3" t="s">
        <v>187</v>
      </c>
      <c r="N9" s="9">
        <v>773000</v>
      </c>
      <c r="O9" s="9">
        <v>0</v>
      </c>
      <c r="P9" s="12" t="s">
        <v>128</v>
      </c>
      <c r="Q9" s="9">
        <v>0</v>
      </c>
      <c r="R9" s="11">
        <v>0</v>
      </c>
      <c r="S9" s="10">
        <v>773000</v>
      </c>
      <c r="T9" s="9">
        <v>0</v>
      </c>
      <c r="U9" s="14">
        <v>1</v>
      </c>
      <c r="V9" s="12" t="s">
        <v>181</v>
      </c>
      <c r="W9" s="9">
        <v>532500</v>
      </c>
      <c r="X9" s="9">
        <v>532500</v>
      </c>
    </row>
    <row r="10" spans="1:24" ht="53.5" x14ac:dyDescent="0.35">
      <c r="A10" s="3">
        <v>4</v>
      </c>
      <c r="B10" s="3" t="s">
        <v>37</v>
      </c>
      <c r="C10" s="8">
        <v>43375.333333333299</v>
      </c>
      <c r="D10" s="8">
        <v>43395.708333333299</v>
      </c>
      <c r="E10" s="12" t="s">
        <v>41</v>
      </c>
      <c r="F10" s="12" t="s">
        <v>36</v>
      </c>
      <c r="G10" s="9">
        <v>792500</v>
      </c>
      <c r="H10" s="9">
        <v>0</v>
      </c>
      <c r="I10" s="9">
        <v>0</v>
      </c>
      <c r="J10" s="9">
        <v>0</v>
      </c>
      <c r="K10" s="9">
        <v>792500</v>
      </c>
      <c r="L10" s="7">
        <v>43369.458333333299</v>
      </c>
      <c r="M10" s="3" t="s">
        <v>196</v>
      </c>
      <c r="N10" s="9">
        <v>545500</v>
      </c>
      <c r="O10" s="9">
        <v>0</v>
      </c>
      <c r="P10" s="12" t="s">
        <v>128</v>
      </c>
      <c r="Q10" s="9">
        <v>0</v>
      </c>
      <c r="R10" s="11">
        <v>0</v>
      </c>
      <c r="S10" s="10">
        <v>545500</v>
      </c>
      <c r="T10" s="9">
        <v>0</v>
      </c>
      <c r="U10" s="14">
        <v>1</v>
      </c>
      <c r="V10" s="12" t="s">
        <v>181</v>
      </c>
      <c r="W10" s="9">
        <v>792500</v>
      </c>
      <c r="X10" s="9">
        <v>792500</v>
      </c>
    </row>
    <row r="11" spans="1:24" ht="64" x14ac:dyDescent="0.35">
      <c r="A11" s="3">
        <v>5</v>
      </c>
      <c r="B11" s="3" t="s">
        <v>42</v>
      </c>
      <c r="C11" s="8">
        <v>43375.333333333299</v>
      </c>
      <c r="D11" s="8">
        <v>43395.708333333299</v>
      </c>
      <c r="E11" s="12" t="s">
        <v>41</v>
      </c>
      <c r="F11" s="12" t="s">
        <v>45</v>
      </c>
      <c r="G11" s="9">
        <v>187500</v>
      </c>
      <c r="H11" s="9">
        <v>0</v>
      </c>
      <c r="I11" s="9">
        <v>0</v>
      </c>
      <c r="J11" s="9">
        <v>0</v>
      </c>
      <c r="K11" s="9">
        <v>187500</v>
      </c>
      <c r="L11" s="7">
        <v>43369.458333333299</v>
      </c>
      <c r="M11" s="3" t="s">
        <v>190</v>
      </c>
      <c r="N11" s="9">
        <v>109500</v>
      </c>
      <c r="O11" s="9">
        <v>0</v>
      </c>
      <c r="P11" s="12" t="s">
        <v>128</v>
      </c>
      <c r="Q11" s="9">
        <v>0</v>
      </c>
      <c r="R11" s="11">
        <v>0</v>
      </c>
      <c r="S11" s="10">
        <v>109500</v>
      </c>
      <c r="T11" s="9">
        <v>0</v>
      </c>
      <c r="U11" s="14">
        <v>1</v>
      </c>
      <c r="V11" s="12" t="s">
        <v>181</v>
      </c>
      <c r="W11" s="9">
        <v>187500</v>
      </c>
      <c r="X11" s="9">
        <v>187500</v>
      </c>
    </row>
    <row r="12" spans="1:24" ht="43" x14ac:dyDescent="0.35">
      <c r="A12" s="3">
        <v>6</v>
      </c>
      <c r="B12" s="3" t="s">
        <v>46</v>
      </c>
      <c r="C12" s="8">
        <v>43396.333333333299</v>
      </c>
      <c r="D12" s="8">
        <v>43402.708333333299</v>
      </c>
      <c r="E12" s="12" t="s">
        <v>50</v>
      </c>
      <c r="F12" s="12" t="s">
        <v>36</v>
      </c>
      <c r="G12" s="9">
        <v>272500</v>
      </c>
      <c r="H12" s="9">
        <v>0</v>
      </c>
      <c r="I12" s="9">
        <v>0</v>
      </c>
      <c r="J12" s="9">
        <v>0</v>
      </c>
      <c r="K12" s="9">
        <v>272500</v>
      </c>
      <c r="L12" s="7">
        <v>43383.583333333299</v>
      </c>
      <c r="M12" s="3" t="s">
        <v>197</v>
      </c>
      <c r="N12" s="9">
        <v>240000</v>
      </c>
      <c r="O12" s="9">
        <v>0</v>
      </c>
      <c r="P12" s="12" t="s">
        <v>128</v>
      </c>
      <c r="Q12" s="9">
        <v>0</v>
      </c>
      <c r="R12" s="11">
        <v>0</v>
      </c>
      <c r="S12" s="10">
        <v>240000</v>
      </c>
      <c r="T12" s="9">
        <v>0</v>
      </c>
      <c r="U12" s="14">
        <v>1</v>
      </c>
      <c r="V12" s="12" t="s">
        <v>181</v>
      </c>
      <c r="W12" s="9">
        <v>272500</v>
      </c>
      <c r="X12" s="9">
        <v>272500</v>
      </c>
    </row>
    <row r="13" spans="1:24" ht="43" x14ac:dyDescent="0.35">
      <c r="A13" s="3">
        <v>7</v>
      </c>
      <c r="B13" s="3" t="s">
        <v>51</v>
      </c>
      <c r="C13" s="8">
        <v>43396.333333333299</v>
      </c>
      <c r="D13" s="8">
        <v>43402.708333333299</v>
      </c>
      <c r="E13" s="12" t="s">
        <v>50</v>
      </c>
      <c r="F13" s="12" t="s">
        <v>36</v>
      </c>
      <c r="G13" s="9">
        <v>272500</v>
      </c>
      <c r="H13" s="9">
        <v>0</v>
      </c>
      <c r="I13" s="9">
        <v>0</v>
      </c>
      <c r="J13" s="9">
        <v>0</v>
      </c>
      <c r="K13" s="9">
        <v>272500</v>
      </c>
      <c r="L13" s="7">
        <v>43381.666666666701</v>
      </c>
      <c r="M13" s="3" t="s">
        <v>198</v>
      </c>
      <c r="N13" s="9">
        <v>181500</v>
      </c>
      <c r="O13" s="9">
        <v>0</v>
      </c>
      <c r="P13" s="12" t="s">
        <v>128</v>
      </c>
      <c r="Q13" s="9">
        <v>0</v>
      </c>
      <c r="R13" s="11">
        <v>0</v>
      </c>
      <c r="S13" s="10">
        <v>181500</v>
      </c>
      <c r="T13" s="9">
        <v>0</v>
      </c>
      <c r="U13" s="14">
        <v>1</v>
      </c>
      <c r="V13" s="12" t="s">
        <v>181</v>
      </c>
      <c r="W13" s="9">
        <v>272500</v>
      </c>
      <c r="X13" s="9">
        <v>272500</v>
      </c>
    </row>
    <row r="14" spans="1:24" ht="22" x14ac:dyDescent="0.35">
      <c r="A14" s="4">
        <v>27</v>
      </c>
      <c r="B14" s="4" t="s">
        <v>54</v>
      </c>
      <c r="C14" s="5">
        <v>43403.333333333299</v>
      </c>
      <c r="D14" s="5">
        <v>43472.708333333299</v>
      </c>
      <c r="E14" s="2" t="s">
        <v>56</v>
      </c>
      <c r="F14" s="2"/>
      <c r="G14" s="6"/>
      <c r="H14" s="6">
        <v>0</v>
      </c>
      <c r="I14" s="6"/>
      <c r="J14" s="6"/>
      <c r="K14" s="6">
        <v>2615000</v>
      </c>
      <c r="L14" s="2"/>
      <c r="M14" s="2" t="s">
        <v>220</v>
      </c>
      <c r="N14" s="6"/>
      <c r="O14" s="6"/>
      <c r="P14" s="2"/>
      <c r="Q14" s="6"/>
      <c r="R14" s="6"/>
      <c r="S14" s="6">
        <v>2705000</v>
      </c>
      <c r="T14" s="6"/>
      <c r="U14" s="13">
        <v>1</v>
      </c>
      <c r="V14" s="2"/>
      <c r="W14" s="6">
        <v>2615000</v>
      </c>
      <c r="X14" s="6">
        <v>2615000</v>
      </c>
    </row>
    <row r="15" spans="1:24" x14ac:dyDescent="0.35">
      <c r="A15" s="3">
        <v>9</v>
      </c>
      <c r="B15" s="3" t="s">
        <v>57</v>
      </c>
      <c r="C15" s="8">
        <v>43403.333333333299</v>
      </c>
      <c r="D15" s="8">
        <v>43444.708333333299</v>
      </c>
      <c r="E15" s="12" t="s">
        <v>30</v>
      </c>
      <c r="F15" s="12" t="s">
        <v>27</v>
      </c>
      <c r="G15" s="9">
        <v>1205000</v>
      </c>
      <c r="H15" s="9">
        <v>0</v>
      </c>
      <c r="I15" s="9">
        <v>0</v>
      </c>
      <c r="J15" s="9">
        <v>0</v>
      </c>
      <c r="K15" s="9">
        <v>1205000</v>
      </c>
      <c r="L15" s="7">
        <v>43390.333333333299</v>
      </c>
      <c r="M15" s="3" t="s">
        <v>208</v>
      </c>
      <c r="N15" s="9">
        <v>1320000</v>
      </c>
      <c r="O15" s="9">
        <v>0</v>
      </c>
      <c r="P15" s="12" t="s">
        <v>128</v>
      </c>
      <c r="Q15" s="9">
        <v>0</v>
      </c>
      <c r="R15" s="11">
        <v>0</v>
      </c>
      <c r="S15" s="10">
        <v>1320000</v>
      </c>
      <c r="T15" s="9">
        <v>0</v>
      </c>
      <c r="U15" s="14">
        <v>1</v>
      </c>
      <c r="V15" s="12" t="s">
        <v>181</v>
      </c>
      <c r="W15" s="9">
        <v>1205000</v>
      </c>
      <c r="X15" s="9">
        <v>1205000</v>
      </c>
    </row>
    <row r="16" spans="1:24" x14ac:dyDescent="0.35">
      <c r="A16" s="3">
        <v>10</v>
      </c>
      <c r="B16" s="3" t="s">
        <v>61</v>
      </c>
      <c r="C16" s="8">
        <v>43452.333333333299</v>
      </c>
      <c r="D16" s="8">
        <v>43472.708333333299</v>
      </c>
      <c r="E16" s="12" t="s">
        <v>41</v>
      </c>
      <c r="F16" s="12" t="s">
        <v>27</v>
      </c>
      <c r="G16" s="9">
        <v>605000</v>
      </c>
      <c r="H16" s="9">
        <v>0</v>
      </c>
      <c r="I16" s="9">
        <v>0</v>
      </c>
      <c r="J16" s="9">
        <v>0</v>
      </c>
      <c r="K16" s="9">
        <v>605000</v>
      </c>
      <c r="L16" s="7">
        <v>43434.666666666701</v>
      </c>
      <c r="M16" s="3" t="s">
        <v>221</v>
      </c>
      <c r="N16" s="9">
        <v>905000</v>
      </c>
      <c r="O16" s="9">
        <v>0</v>
      </c>
      <c r="P16" s="12" t="s">
        <v>128</v>
      </c>
      <c r="Q16" s="9">
        <v>0</v>
      </c>
      <c r="R16" s="11">
        <v>0</v>
      </c>
      <c r="S16" s="10">
        <v>905000</v>
      </c>
      <c r="T16" s="9">
        <v>0</v>
      </c>
      <c r="U16" s="14">
        <v>1</v>
      </c>
      <c r="V16" s="12" t="s">
        <v>181</v>
      </c>
      <c r="W16" s="9">
        <v>605000</v>
      </c>
      <c r="X16" s="9">
        <v>605000</v>
      </c>
    </row>
    <row r="17" spans="1:24" ht="32.5" x14ac:dyDescent="0.35">
      <c r="A17" s="3">
        <v>11</v>
      </c>
      <c r="B17" s="3" t="s">
        <v>65</v>
      </c>
      <c r="C17" s="8">
        <v>43445.333333333299</v>
      </c>
      <c r="D17" s="8">
        <v>43472.708333333299</v>
      </c>
      <c r="E17" s="12" t="s">
        <v>67</v>
      </c>
      <c r="F17" s="12" t="s">
        <v>27</v>
      </c>
      <c r="G17" s="9">
        <v>805000</v>
      </c>
      <c r="H17" s="9">
        <v>0</v>
      </c>
      <c r="I17" s="9">
        <v>0</v>
      </c>
      <c r="J17" s="9">
        <v>0</v>
      </c>
      <c r="K17" s="9">
        <v>805000</v>
      </c>
      <c r="L17" s="7">
        <v>43434.666666666701</v>
      </c>
      <c r="M17" s="3" t="s">
        <v>217</v>
      </c>
      <c r="N17" s="9">
        <v>480000</v>
      </c>
      <c r="O17" s="9">
        <v>0</v>
      </c>
      <c r="P17" s="12" t="s">
        <v>128</v>
      </c>
      <c r="Q17" s="9">
        <v>0</v>
      </c>
      <c r="R17" s="11">
        <v>0</v>
      </c>
      <c r="S17" s="10">
        <v>480000</v>
      </c>
      <c r="T17" s="9">
        <v>0</v>
      </c>
      <c r="U17" s="14">
        <v>1</v>
      </c>
      <c r="V17" s="12" t="s">
        <v>181</v>
      </c>
      <c r="W17" s="9">
        <v>805000</v>
      </c>
      <c r="X17" s="9">
        <v>805000</v>
      </c>
    </row>
    <row r="18" spans="1:24" x14ac:dyDescent="0.35">
      <c r="A18" s="4">
        <v>28</v>
      </c>
      <c r="B18" s="4" t="s">
        <v>68</v>
      </c>
      <c r="C18" s="5">
        <v>43473.333333333299</v>
      </c>
      <c r="D18" s="5">
        <v>43563.708333333299</v>
      </c>
      <c r="E18" s="2" t="s">
        <v>70</v>
      </c>
      <c r="F18" s="2"/>
      <c r="G18" s="6"/>
      <c r="H18" s="6">
        <v>0</v>
      </c>
      <c r="I18" s="6"/>
      <c r="J18" s="6"/>
      <c r="K18" s="6">
        <v>2159500</v>
      </c>
      <c r="L18" s="2"/>
      <c r="M18" s="2" t="s">
        <v>240</v>
      </c>
      <c r="N18" s="6"/>
      <c r="O18" s="6"/>
      <c r="P18" s="2"/>
      <c r="Q18" s="6"/>
      <c r="R18" s="6"/>
      <c r="S18" s="6">
        <v>1597900</v>
      </c>
      <c r="T18" s="6"/>
      <c r="U18" s="13">
        <v>1</v>
      </c>
      <c r="V18" s="2"/>
      <c r="W18" s="6">
        <v>2159500</v>
      </c>
      <c r="X18" s="6">
        <v>2159500</v>
      </c>
    </row>
    <row r="19" spans="1:24" ht="22" x14ac:dyDescent="0.35">
      <c r="A19" s="3">
        <v>13</v>
      </c>
      <c r="B19" s="3" t="s">
        <v>71</v>
      </c>
      <c r="C19" s="8">
        <v>43473.333333333299</v>
      </c>
      <c r="D19" s="8">
        <v>43535.708333333299</v>
      </c>
      <c r="E19" s="12" t="s">
        <v>23</v>
      </c>
      <c r="F19" s="12" t="s">
        <v>75</v>
      </c>
      <c r="G19" s="9">
        <v>917500</v>
      </c>
      <c r="H19" s="9">
        <v>0</v>
      </c>
      <c r="I19" s="9">
        <v>0</v>
      </c>
      <c r="J19" s="9">
        <v>0</v>
      </c>
      <c r="K19" s="9">
        <v>917500</v>
      </c>
      <c r="L19" s="7">
        <v>43467.458333333299</v>
      </c>
      <c r="M19" s="3" t="s">
        <v>227</v>
      </c>
      <c r="N19" s="9">
        <v>530000</v>
      </c>
      <c r="O19" s="9">
        <v>0</v>
      </c>
      <c r="P19" s="12" t="s">
        <v>128</v>
      </c>
      <c r="Q19" s="9">
        <v>0</v>
      </c>
      <c r="R19" s="11">
        <v>0</v>
      </c>
      <c r="S19" s="10">
        <v>530000</v>
      </c>
      <c r="T19" s="9">
        <v>0</v>
      </c>
      <c r="U19" s="14">
        <v>1</v>
      </c>
      <c r="V19" s="12" t="s">
        <v>181</v>
      </c>
      <c r="W19" s="9">
        <v>917500</v>
      </c>
      <c r="X19" s="9">
        <v>917500</v>
      </c>
    </row>
    <row r="20" spans="1:24" ht="22" x14ac:dyDescent="0.35">
      <c r="A20" s="3">
        <v>14</v>
      </c>
      <c r="B20" s="3" t="s">
        <v>76</v>
      </c>
      <c r="C20" s="8">
        <v>43543.333333333299</v>
      </c>
      <c r="D20" s="8">
        <v>43563.708333333299</v>
      </c>
      <c r="E20" s="12" t="s">
        <v>41</v>
      </c>
      <c r="F20" s="12" t="s">
        <v>80</v>
      </c>
      <c r="G20" s="9">
        <v>239500</v>
      </c>
      <c r="H20" s="9">
        <v>0</v>
      </c>
      <c r="I20" s="9">
        <v>0</v>
      </c>
      <c r="J20" s="9">
        <v>0</v>
      </c>
      <c r="K20" s="9">
        <v>239500</v>
      </c>
      <c r="L20" s="7">
        <v>43503.333333333299</v>
      </c>
      <c r="M20" s="3" t="s">
        <v>234</v>
      </c>
      <c r="N20" s="9">
        <v>182500</v>
      </c>
      <c r="O20" s="9">
        <v>0</v>
      </c>
      <c r="P20" s="12" t="s">
        <v>128</v>
      </c>
      <c r="Q20" s="9">
        <v>0</v>
      </c>
      <c r="R20" s="11">
        <v>0</v>
      </c>
      <c r="S20" s="10">
        <v>182500</v>
      </c>
      <c r="T20" s="9">
        <v>0</v>
      </c>
      <c r="U20" s="14">
        <v>1</v>
      </c>
      <c r="V20" s="12" t="s">
        <v>181</v>
      </c>
      <c r="W20" s="9">
        <v>239500</v>
      </c>
      <c r="X20" s="9">
        <v>239500</v>
      </c>
    </row>
    <row r="21" spans="1:24" ht="22" x14ac:dyDescent="0.35">
      <c r="A21" s="3">
        <v>15</v>
      </c>
      <c r="B21" s="3" t="s">
        <v>81</v>
      </c>
      <c r="C21" s="8">
        <v>43550.333333333299</v>
      </c>
      <c r="D21" s="8">
        <v>43563.708333333299</v>
      </c>
      <c r="E21" s="12" t="s">
        <v>35</v>
      </c>
      <c r="F21" s="12" t="s">
        <v>80</v>
      </c>
      <c r="G21" s="9">
        <v>163500</v>
      </c>
      <c r="H21" s="9">
        <v>0</v>
      </c>
      <c r="I21" s="9">
        <v>0</v>
      </c>
      <c r="J21" s="9">
        <v>0</v>
      </c>
      <c r="K21" s="9">
        <v>163500</v>
      </c>
      <c r="L21" s="7">
        <v>43503.333333333299</v>
      </c>
      <c r="M21" s="3" t="s">
        <v>235</v>
      </c>
      <c r="N21" s="9">
        <v>93200</v>
      </c>
      <c r="O21" s="9">
        <v>0</v>
      </c>
      <c r="P21" s="12" t="s">
        <v>128</v>
      </c>
      <c r="Q21" s="9">
        <v>0</v>
      </c>
      <c r="R21" s="11">
        <v>0</v>
      </c>
      <c r="S21" s="10">
        <v>93200</v>
      </c>
      <c r="T21" s="9">
        <v>0</v>
      </c>
      <c r="U21" s="14">
        <v>1</v>
      </c>
      <c r="V21" s="12" t="s">
        <v>181</v>
      </c>
      <c r="W21" s="9">
        <v>163500</v>
      </c>
      <c r="X21" s="9">
        <v>163500</v>
      </c>
    </row>
    <row r="22" spans="1:24" ht="22" x14ac:dyDescent="0.35">
      <c r="A22" s="3">
        <v>16</v>
      </c>
      <c r="B22" s="3" t="s">
        <v>83</v>
      </c>
      <c r="C22" s="8">
        <v>43536.333333333299</v>
      </c>
      <c r="D22" s="8">
        <v>43563.708333333299</v>
      </c>
      <c r="E22" s="12" t="s">
        <v>67</v>
      </c>
      <c r="F22" s="12" t="s">
        <v>85</v>
      </c>
      <c r="G22" s="9">
        <v>839000</v>
      </c>
      <c r="H22" s="9">
        <v>0</v>
      </c>
      <c r="I22" s="9">
        <v>0</v>
      </c>
      <c r="J22" s="9">
        <v>0</v>
      </c>
      <c r="K22" s="9">
        <v>839000</v>
      </c>
      <c r="L22" s="7">
        <v>43503.333333333299</v>
      </c>
      <c r="M22" s="3" t="s">
        <v>241</v>
      </c>
      <c r="N22" s="9">
        <v>792200</v>
      </c>
      <c r="O22" s="9">
        <v>0</v>
      </c>
      <c r="P22" s="12" t="s">
        <v>128</v>
      </c>
      <c r="Q22" s="9">
        <v>0</v>
      </c>
      <c r="R22" s="11">
        <v>0</v>
      </c>
      <c r="S22" s="10">
        <v>792200</v>
      </c>
      <c r="T22" s="9">
        <v>0</v>
      </c>
      <c r="U22" s="14">
        <v>1</v>
      </c>
      <c r="V22" s="12" t="s">
        <v>181</v>
      </c>
      <c r="W22" s="9">
        <v>839000</v>
      </c>
      <c r="X22" s="9">
        <v>839000</v>
      </c>
    </row>
    <row r="23" spans="1:24" x14ac:dyDescent="0.35">
      <c r="A23" s="4">
        <v>29</v>
      </c>
      <c r="B23" s="4" t="s">
        <v>86</v>
      </c>
      <c r="C23" s="5">
        <v>43564.333333333299</v>
      </c>
      <c r="D23" s="5">
        <v>43626.708333333299</v>
      </c>
      <c r="E23" s="2" t="s">
        <v>23</v>
      </c>
      <c r="F23" s="2"/>
      <c r="G23" s="6"/>
      <c r="H23" s="6">
        <v>0</v>
      </c>
      <c r="I23" s="6"/>
      <c r="J23" s="6"/>
      <c r="K23" s="6">
        <v>850000</v>
      </c>
      <c r="L23" s="2"/>
      <c r="M23" s="2" t="s">
        <v>248</v>
      </c>
      <c r="N23" s="6"/>
      <c r="O23" s="6"/>
      <c r="P23" s="2"/>
      <c r="Q23" s="6"/>
      <c r="R23" s="6"/>
      <c r="S23" s="6">
        <v>479600</v>
      </c>
      <c r="T23" s="6"/>
      <c r="U23" s="13">
        <v>1</v>
      </c>
      <c r="V23" s="2"/>
      <c r="W23" s="6">
        <v>850000</v>
      </c>
      <c r="X23" s="6">
        <v>850000</v>
      </c>
    </row>
    <row r="24" spans="1:24" ht="43" x14ac:dyDescent="0.35">
      <c r="A24" s="3">
        <v>18</v>
      </c>
      <c r="B24" s="3" t="s">
        <v>88</v>
      </c>
      <c r="C24" s="8">
        <v>43564.333333333299</v>
      </c>
      <c r="D24" s="8">
        <v>43591.708333333299</v>
      </c>
      <c r="E24" s="12" t="s">
        <v>67</v>
      </c>
      <c r="F24" s="12" t="s">
        <v>92</v>
      </c>
      <c r="G24" s="9">
        <v>439000</v>
      </c>
      <c r="H24" s="9">
        <v>0</v>
      </c>
      <c r="I24" s="9">
        <v>0</v>
      </c>
      <c r="J24" s="9">
        <v>0</v>
      </c>
      <c r="K24" s="9">
        <v>439000</v>
      </c>
      <c r="L24" s="7">
        <v>43529.666666666701</v>
      </c>
      <c r="M24" s="3" t="s">
        <v>243</v>
      </c>
      <c r="N24" s="9">
        <v>233800</v>
      </c>
      <c r="O24" s="9">
        <v>0</v>
      </c>
      <c r="P24" s="12" t="s">
        <v>128</v>
      </c>
      <c r="Q24" s="9">
        <v>0</v>
      </c>
      <c r="R24" s="11">
        <v>0</v>
      </c>
      <c r="S24" s="10">
        <v>233800</v>
      </c>
      <c r="T24" s="9">
        <v>0</v>
      </c>
      <c r="U24" s="14">
        <v>1</v>
      </c>
      <c r="V24" s="12" t="s">
        <v>181</v>
      </c>
      <c r="W24" s="9">
        <v>439000</v>
      </c>
      <c r="X24" s="9">
        <v>439000</v>
      </c>
    </row>
    <row r="25" spans="1:24" ht="32.5" x14ac:dyDescent="0.35">
      <c r="A25" s="3">
        <v>19</v>
      </c>
      <c r="B25" s="3" t="s">
        <v>93</v>
      </c>
      <c r="C25" s="8">
        <v>43592.333333333299</v>
      </c>
      <c r="D25" s="8">
        <v>43605.708333333299</v>
      </c>
      <c r="E25" s="12" t="s">
        <v>35</v>
      </c>
      <c r="F25" s="12" t="s">
        <v>97</v>
      </c>
      <c r="G25" s="9">
        <v>54000</v>
      </c>
      <c r="H25" s="9">
        <v>0</v>
      </c>
      <c r="I25" s="9">
        <v>0</v>
      </c>
      <c r="J25" s="9">
        <v>0</v>
      </c>
      <c r="K25" s="9">
        <v>54000</v>
      </c>
      <c r="L25" s="7">
        <v>43544.458333333299</v>
      </c>
      <c r="M25" s="3" t="s">
        <v>249</v>
      </c>
      <c r="N25" s="9">
        <v>39600</v>
      </c>
      <c r="O25" s="9">
        <v>0</v>
      </c>
      <c r="P25" s="12" t="s">
        <v>128</v>
      </c>
      <c r="Q25" s="9">
        <v>0</v>
      </c>
      <c r="R25" s="11">
        <v>0</v>
      </c>
      <c r="S25" s="10">
        <v>39600</v>
      </c>
      <c r="T25" s="9">
        <v>0</v>
      </c>
      <c r="U25" s="14">
        <v>1</v>
      </c>
      <c r="V25" s="12" t="s">
        <v>181</v>
      </c>
      <c r="W25" s="9">
        <v>54000</v>
      </c>
      <c r="X25" s="9">
        <v>54000</v>
      </c>
    </row>
    <row r="26" spans="1:24" ht="32.5" x14ac:dyDescent="0.35">
      <c r="A26" s="3">
        <v>20</v>
      </c>
      <c r="B26" s="3" t="s">
        <v>98</v>
      </c>
      <c r="C26" s="8">
        <v>43606.333333333299</v>
      </c>
      <c r="D26" s="8">
        <v>43626.708333333299</v>
      </c>
      <c r="E26" s="12" t="s">
        <v>41</v>
      </c>
      <c r="F26" s="12" t="s">
        <v>102</v>
      </c>
      <c r="G26" s="9">
        <v>357000</v>
      </c>
      <c r="H26" s="9">
        <v>0</v>
      </c>
      <c r="I26" s="9">
        <v>0</v>
      </c>
      <c r="J26" s="9">
        <v>0</v>
      </c>
      <c r="K26" s="9">
        <v>357000</v>
      </c>
      <c r="L26" s="7">
        <v>43553.458333333299</v>
      </c>
      <c r="M26" s="3" t="s">
        <v>190</v>
      </c>
      <c r="N26" s="9">
        <v>206200</v>
      </c>
      <c r="O26" s="9">
        <v>0</v>
      </c>
      <c r="P26" s="12" t="s">
        <v>128</v>
      </c>
      <c r="Q26" s="9">
        <v>0</v>
      </c>
      <c r="R26" s="11">
        <v>0</v>
      </c>
      <c r="S26" s="10">
        <v>206200</v>
      </c>
      <c r="T26" s="9">
        <v>0</v>
      </c>
      <c r="U26" s="14">
        <v>1</v>
      </c>
      <c r="V26" s="12" t="s">
        <v>181</v>
      </c>
      <c r="W26" s="9">
        <v>357000</v>
      </c>
      <c r="X26" s="9">
        <v>357000</v>
      </c>
    </row>
    <row r="27" spans="1:24" x14ac:dyDescent="0.35">
      <c r="A27" s="4">
        <v>30</v>
      </c>
      <c r="B27" s="4" t="s">
        <v>103</v>
      </c>
      <c r="C27" s="5">
        <v>43627.333333333299</v>
      </c>
      <c r="D27" s="5">
        <v>43745.708333333299</v>
      </c>
      <c r="E27" s="2" t="s">
        <v>105</v>
      </c>
      <c r="F27" s="2"/>
      <c r="G27" s="6"/>
      <c r="H27" s="6">
        <v>0</v>
      </c>
      <c r="I27" s="6"/>
      <c r="J27" s="6"/>
      <c r="K27" s="6">
        <v>2075500</v>
      </c>
      <c r="L27" s="2"/>
      <c r="M27" s="2" t="s">
        <v>278</v>
      </c>
      <c r="N27" s="6"/>
      <c r="O27" s="6"/>
      <c r="P27" s="2"/>
      <c r="Q27" s="6"/>
      <c r="R27" s="6"/>
      <c r="S27" s="6">
        <v>2580800</v>
      </c>
      <c r="T27" s="6"/>
      <c r="U27" s="13">
        <v>1</v>
      </c>
      <c r="V27" s="2"/>
      <c r="W27" s="6">
        <v>2075500</v>
      </c>
      <c r="X27" s="6">
        <v>1480500</v>
      </c>
    </row>
    <row r="28" spans="1:24" x14ac:dyDescent="0.35">
      <c r="A28" s="3">
        <v>22</v>
      </c>
      <c r="B28" s="3" t="s">
        <v>106</v>
      </c>
      <c r="C28" s="8">
        <v>43627.333333333299</v>
      </c>
      <c r="D28" s="8">
        <v>43661.708333333299</v>
      </c>
      <c r="E28" s="12" t="s">
        <v>110</v>
      </c>
      <c r="F28" s="12" t="s">
        <v>111</v>
      </c>
      <c r="G28" s="9">
        <v>1089000</v>
      </c>
      <c r="H28" s="9">
        <v>0</v>
      </c>
      <c r="I28" s="9">
        <v>0</v>
      </c>
      <c r="J28" s="9">
        <v>0</v>
      </c>
      <c r="K28" s="9">
        <v>1089000</v>
      </c>
      <c r="L28" s="7">
        <v>43565.666666666701</v>
      </c>
      <c r="M28" s="3" t="s">
        <v>262</v>
      </c>
      <c r="N28" s="9">
        <v>1580400</v>
      </c>
      <c r="O28" s="9">
        <v>0</v>
      </c>
      <c r="P28" s="12" t="s">
        <v>128</v>
      </c>
      <c r="Q28" s="9">
        <v>0</v>
      </c>
      <c r="R28" s="11">
        <v>0</v>
      </c>
      <c r="S28" s="10">
        <v>1580400</v>
      </c>
      <c r="T28" s="9">
        <v>0</v>
      </c>
      <c r="U28" s="14">
        <v>1</v>
      </c>
      <c r="V28" s="12" t="s">
        <v>181</v>
      </c>
      <c r="W28" s="9">
        <v>1089000</v>
      </c>
      <c r="X28" s="9">
        <v>1089000</v>
      </c>
    </row>
    <row r="29" spans="1:24" x14ac:dyDescent="0.35">
      <c r="A29" s="3">
        <v>23</v>
      </c>
      <c r="B29" s="3" t="s">
        <v>112</v>
      </c>
      <c r="C29" s="8">
        <v>43648.333333333299</v>
      </c>
      <c r="D29" s="8">
        <v>43661.708333333299</v>
      </c>
      <c r="E29" s="12" t="s">
        <v>35</v>
      </c>
      <c r="F29" s="12" t="s">
        <v>114</v>
      </c>
      <c r="G29" s="9">
        <v>181500</v>
      </c>
      <c r="H29" s="9">
        <v>0</v>
      </c>
      <c r="I29" s="9">
        <v>0</v>
      </c>
      <c r="J29" s="9">
        <v>0</v>
      </c>
      <c r="K29" s="9">
        <v>181500</v>
      </c>
      <c r="L29" s="7">
        <v>43565.666666666701</v>
      </c>
      <c r="M29" s="3" t="s">
        <v>255</v>
      </c>
      <c r="N29" s="9">
        <v>179400</v>
      </c>
      <c r="O29" s="9">
        <v>0</v>
      </c>
      <c r="P29" s="12" t="s">
        <v>128</v>
      </c>
      <c r="Q29" s="9">
        <v>0</v>
      </c>
      <c r="R29" s="11">
        <v>0</v>
      </c>
      <c r="S29" s="10">
        <v>179400</v>
      </c>
      <c r="T29" s="9">
        <v>0</v>
      </c>
      <c r="U29" s="14">
        <v>1</v>
      </c>
      <c r="V29" s="12" t="s">
        <v>181</v>
      </c>
      <c r="W29" s="9">
        <v>181500</v>
      </c>
      <c r="X29" s="9">
        <v>181500</v>
      </c>
    </row>
    <row r="30" spans="1:24" ht="22" x14ac:dyDescent="0.35">
      <c r="A30" s="3">
        <v>24</v>
      </c>
      <c r="B30" s="3" t="s">
        <v>115</v>
      </c>
      <c r="C30" s="8">
        <v>43662.333333333299</v>
      </c>
      <c r="D30" s="8">
        <v>43724.708333333299</v>
      </c>
      <c r="E30" s="12" t="s">
        <v>23</v>
      </c>
      <c r="F30" s="12" t="s">
        <v>119</v>
      </c>
      <c r="G30" s="9">
        <v>370000</v>
      </c>
      <c r="H30" s="9">
        <v>0</v>
      </c>
      <c r="I30" s="9">
        <v>0</v>
      </c>
      <c r="J30" s="9">
        <v>0</v>
      </c>
      <c r="K30" s="9">
        <v>370000</v>
      </c>
      <c r="L30" s="7">
        <v>43616.416666666701</v>
      </c>
      <c r="M30" s="3" t="s">
        <v>268</v>
      </c>
      <c r="N30" s="9">
        <v>204000</v>
      </c>
      <c r="O30" s="9">
        <v>0</v>
      </c>
      <c r="P30" s="12" t="s">
        <v>128</v>
      </c>
      <c r="Q30" s="9">
        <v>0</v>
      </c>
      <c r="R30" s="11">
        <v>0</v>
      </c>
      <c r="S30" s="10">
        <v>204000</v>
      </c>
      <c r="T30" s="9">
        <v>0</v>
      </c>
      <c r="U30" s="14">
        <v>1</v>
      </c>
      <c r="V30" s="12" t="s">
        <v>181</v>
      </c>
      <c r="W30" s="9">
        <v>370000</v>
      </c>
      <c r="X30" s="9">
        <v>210000</v>
      </c>
    </row>
    <row r="31" spans="1:24" x14ac:dyDescent="0.35">
      <c r="A31" s="3">
        <v>25</v>
      </c>
      <c r="B31" s="3" t="s">
        <v>120</v>
      </c>
      <c r="C31" s="8">
        <v>43725.333333333299</v>
      </c>
      <c r="D31" s="8">
        <v>43745.708333333299</v>
      </c>
      <c r="E31" s="12" t="s">
        <v>41</v>
      </c>
      <c r="F31" s="12" t="s">
        <v>124</v>
      </c>
      <c r="G31" s="9">
        <v>435000</v>
      </c>
      <c r="H31" s="9">
        <v>0</v>
      </c>
      <c r="I31" s="9">
        <v>0</v>
      </c>
      <c r="J31" s="9">
        <v>0</v>
      </c>
      <c r="K31" s="9">
        <v>435000</v>
      </c>
      <c r="L31" s="7">
        <v>43650.541666666701</v>
      </c>
      <c r="M31" s="3" t="s">
        <v>279</v>
      </c>
      <c r="N31" s="9">
        <v>617000</v>
      </c>
      <c r="O31" s="9">
        <v>0</v>
      </c>
      <c r="P31" s="12" t="s">
        <v>128</v>
      </c>
      <c r="Q31" s="9">
        <v>0</v>
      </c>
      <c r="R31" s="11">
        <v>0</v>
      </c>
      <c r="S31" s="10">
        <v>617000</v>
      </c>
      <c r="T31" s="9">
        <v>0</v>
      </c>
      <c r="U31" s="14">
        <v>1</v>
      </c>
      <c r="V31" s="12" t="s">
        <v>181</v>
      </c>
      <c r="W31" s="9">
        <v>435000</v>
      </c>
      <c r="X31" s="9">
        <v>0</v>
      </c>
    </row>
    <row r="32" spans="1:24" x14ac:dyDescent="0.35">
      <c r="A32" s="3">
        <v>33</v>
      </c>
      <c r="B32" s="3" t="s">
        <v>125</v>
      </c>
      <c r="C32" s="8">
        <v>43745.708333333299</v>
      </c>
      <c r="D32" s="8">
        <v>43745.708333333299</v>
      </c>
      <c r="E32" s="12" t="s">
        <v>128</v>
      </c>
      <c r="F32" s="12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7">
        <v>43682.333333333299</v>
      </c>
      <c r="M32" s="3" t="s">
        <v>128</v>
      </c>
      <c r="N32" s="9">
        <v>0</v>
      </c>
      <c r="O32" s="9">
        <v>0</v>
      </c>
      <c r="P32" s="12" t="s">
        <v>128</v>
      </c>
      <c r="Q32" s="9">
        <v>0</v>
      </c>
      <c r="R32" s="11">
        <v>0</v>
      </c>
      <c r="S32" s="10">
        <v>0</v>
      </c>
      <c r="T32" s="9">
        <v>0</v>
      </c>
      <c r="U32" s="14">
        <v>1</v>
      </c>
      <c r="V32" s="12" t="s">
        <v>181</v>
      </c>
      <c r="W32" s="9">
        <v>0</v>
      </c>
      <c r="X32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8"/>
  <sheetViews>
    <sheetView workbookViewId="0">
      <selection sqref="A1:B1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2" t="s">
        <v>280</v>
      </c>
      <c r="B1" s="22"/>
      <c r="D1" s="22" t="s">
        <v>281</v>
      </c>
      <c r="E1" s="22"/>
      <c r="G1" s="1" t="s">
        <v>282</v>
      </c>
    </row>
    <row r="2" spans="1:7" x14ac:dyDescent="0.35">
      <c r="A2" s="12" t="s">
        <v>283</v>
      </c>
      <c r="B2" s="15" t="s">
        <v>284</v>
      </c>
      <c r="D2" s="12" t="s">
        <v>310</v>
      </c>
      <c r="E2" s="16" t="s">
        <v>293</v>
      </c>
    </row>
    <row r="3" spans="1:7" x14ac:dyDescent="0.35">
      <c r="A3" s="12" t="s">
        <v>285</v>
      </c>
      <c r="B3" s="15" t="s">
        <v>284</v>
      </c>
      <c r="D3" s="12" t="s">
        <v>311</v>
      </c>
      <c r="E3" s="16" t="s">
        <v>293</v>
      </c>
    </row>
    <row r="4" spans="1:7" x14ac:dyDescent="0.35">
      <c r="A4" s="12" t="s">
        <v>286</v>
      </c>
      <c r="B4" s="15" t="s">
        <v>284</v>
      </c>
      <c r="D4" s="12" t="s">
        <v>312</v>
      </c>
      <c r="E4" s="16" t="s">
        <v>293</v>
      </c>
    </row>
    <row r="5" spans="1:7" x14ac:dyDescent="0.35">
      <c r="A5" s="12" t="s">
        <v>287</v>
      </c>
      <c r="B5" s="15" t="s">
        <v>284</v>
      </c>
      <c r="D5" s="12" t="s">
        <v>313</v>
      </c>
      <c r="E5" s="16" t="s">
        <v>293</v>
      </c>
    </row>
    <row r="6" spans="1:7" x14ac:dyDescent="0.35">
      <c r="A6" s="12" t="s">
        <v>288</v>
      </c>
      <c r="B6" s="15" t="s">
        <v>284</v>
      </c>
      <c r="D6" s="12" t="s">
        <v>314</v>
      </c>
      <c r="E6" s="16" t="s">
        <v>293</v>
      </c>
    </row>
    <row r="7" spans="1:7" x14ac:dyDescent="0.35">
      <c r="A7" s="12" t="s">
        <v>289</v>
      </c>
      <c r="B7" s="15" t="s">
        <v>284</v>
      </c>
      <c r="D7" s="12" t="s">
        <v>315</v>
      </c>
      <c r="E7" s="15" t="s">
        <v>284</v>
      </c>
    </row>
    <row r="8" spans="1:7" x14ac:dyDescent="0.35">
      <c r="A8" s="12" t="s">
        <v>290</v>
      </c>
      <c r="B8" s="15" t="s">
        <v>284</v>
      </c>
      <c r="D8" s="12" t="s">
        <v>316</v>
      </c>
      <c r="E8" s="15" t="s">
        <v>284</v>
      </c>
    </row>
    <row r="9" spans="1:7" x14ac:dyDescent="0.35">
      <c r="A9" s="12" t="s">
        <v>291</v>
      </c>
      <c r="B9" s="15" t="s">
        <v>284</v>
      </c>
    </row>
    <row r="10" spans="1:7" x14ac:dyDescent="0.35">
      <c r="A10" s="12" t="s">
        <v>292</v>
      </c>
      <c r="B10" s="16" t="s">
        <v>293</v>
      </c>
    </row>
    <row r="11" spans="1:7" x14ac:dyDescent="0.35">
      <c r="A11" s="12" t="s">
        <v>294</v>
      </c>
      <c r="B11" s="16" t="s">
        <v>293</v>
      </c>
    </row>
    <row r="12" spans="1:7" x14ac:dyDescent="0.35">
      <c r="A12" s="12" t="s">
        <v>295</v>
      </c>
      <c r="B12" s="16" t="s">
        <v>293</v>
      </c>
    </row>
    <row r="13" spans="1:7" x14ac:dyDescent="0.35">
      <c r="A13" s="12" t="s">
        <v>296</v>
      </c>
      <c r="B13" s="16" t="s">
        <v>293</v>
      </c>
    </row>
    <row r="14" spans="1:7" x14ac:dyDescent="0.35">
      <c r="A14" s="12" t="s">
        <v>297</v>
      </c>
      <c r="B14" s="15" t="s">
        <v>284</v>
      </c>
    </row>
    <row r="15" spans="1:7" x14ac:dyDescent="0.35">
      <c r="A15" s="12" t="s">
        <v>298</v>
      </c>
      <c r="B15" s="16" t="s">
        <v>293</v>
      </c>
    </row>
    <row r="16" spans="1:7" x14ac:dyDescent="0.35">
      <c r="A16" s="12" t="s">
        <v>299</v>
      </c>
      <c r="B16" s="16" t="s">
        <v>293</v>
      </c>
    </row>
    <row r="17" spans="1:2" x14ac:dyDescent="0.35">
      <c r="A17" s="12" t="s">
        <v>300</v>
      </c>
      <c r="B17" s="16" t="s">
        <v>293</v>
      </c>
    </row>
    <row r="18" spans="1:2" x14ac:dyDescent="0.35">
      <c r="A18" s="12" t="s">
        <v>301</v>
      </c>
      <c r="B18" s="16" t="s">
        <v>293</v>
      </c>
    </row>
    <row r="19" spans="1:2" x14ac:dyDescent="0.35">
      <c r="A19" s="12" t="s">
        <v>302</v>
      </c>
      <c r="B19" s="15" t="s">
        <v>284</v>
      </c>
    </row>
    <row r="20" spans="1:2" x14ac:dyDescent="0.35">
      <c r="A20" s="12" t="s">
        <v>303</v>
      </c>
      <c r="B20" s="15" t="s">
        <v>284</v>
      </c>
    </row>
    <row r="21" spans="1:2" x14ac:dyDescent="0.35">
      <c r="A21" s="12" t="s">
        <v>304</v>
      </c>
      <c r="B21" s="15" t="s">
        <v>284</v>
      </c>
    </row>
    <row r="22" spans="1:2" x14ac:dyDescent="0.35">
      <c r="A22" s="12" t="s">
        <v>305</v>
      </c>
      <c r="B22" s="15" t="s">
        <v>284</v>
      </c>
    </row>
    <row r="23" spans="1:2" x14ac:dyDescent="0.35">
      <c r="A23" s="12" t="s">
        <v>306</v>
      </c>
      <c r="B23" s="15" t="s">
        <v>284</v>
      </c>
    </row>
    <row r="24" spans="1:2" x14ac:dyDescent="0.35">
      <c r="A24" s="12" t="s">
        <v>307</v>
      </c>
      <c r="B24" s="15" t="s">
        <v>284</v>
      </c>
    </row>
    <row r="25" spans="1:2" x14ac:dyDescent="0.35">
      <c r="A25" s="12" t="s">
        <v>308</v>
      </c>
      <c r="B25" s="15" t="s">
        <v>284</v>
      </c>
    </row>
    <row r="28" spans="1:2" x14ac:dyDescent="0.35">
      <c r="A28" s="17" t="s">
        <v>309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N21"/>
  <sheetViews>
    <sheetView topLeftCell="W1" workbookViewId="0">
      <selection activeCell="AE3" sqref="AE3:AE21"/>
    </sheetView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2" t="s">
        <v>0</v>
      </c>
      <c r="B1" s="22"/>
      <c r="C1" s="22"/>
      <c r="D1" s="22" t="s">
        <v>317</v>
      </c>
      <c r="E1" s="22"/>
      <c r="F1" s="22"/>
      <c r="G1" s="22"/>
      <c r="H1" s="22" t="s">
        <v>318</v>
      </c>
      <c r="I1" s="22"/>
      <c r="J1" s="22"/>
      <c r="K1" s="22"/>
      <c r="L1" s="22"/>
      <c r="M1" s="22"/>
      <c r="N1" s="22"/>
    </row>
    <row r="2" spans="1:40" ht="30" customHeight="1" x14ac:dyDescent="0.35">
      <c r="A2" s="1" t="s">
        <v>6</v>
      </c>
      <c r="B2" s="1" t="s">
        <v>319</v>
      </c>
      <c r="C2" s="1" t="s">
        <v>320</v>
      </c>
      <c r="D2" s="1" t="s">
        <v>172</v>
      </c>
      <c r="E2" s="1" t="s">
        <v>171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L2" s="1" t="s">
        <v>327</v>
      </c>
      <c r="M2" s="1" t="s">
        <v>328</v>
      </c>
      <c r="N2" s="1" t="s">
        <v>329</v>
      </c>
      <c r="O2" s="1" t="s">
        <v>330</v>
      </c>
      <c r="P2" s="1" t="s">
        <v>331</v>
      </c>
      <c r="Q2" s="1" t="s">
        <v>332</v>
      </c>
      <c r="R2" s="1" t="s">
        <v>333</v>
      </c>
      <c r="S2" s="1" t="s">
        <v>334</v>
      </c>
      <c r="T2" s="1" t="s">
        <v>334</v>
      </c>
      <c r="U2" s="1" t="s">
        <v>335</v>
      </c>
      <c r="V2" s="1" t="s">
        <v>336</v>
      </c>
      <c r="W2" s="1" t="s">
        <v>337</v>
      </c>
      <c r="X2" s="1" t="s">
        <v>338</v>
      </c>
      <c r="Y2" s="1" t="s">
        <v>339</v>
      </c>
      <c r="Z2" s="1" t="s">
        <v>340</v>
      </c>
      <c r="AA2" s="1" t="s">
        <v>341</v>
      </c>
      <c r="AB2" s="1" t="s">
        <v>342</v>
      </c>
      <c r="AC2" s="1" t="s">
        <v>343</v>
      </c>
      <c r="AD2" s="1" t="s">
        <v>344</v>
      </c>
      <c r="AE2" s="1" t="s">
        <v>345</v>
      </c>
      <c r="AF2" s="1" t="s">
        <v>363</v>
      </c>
      <c r="AG2" s="1" t="s">
        <v>364</v>
      </c>
      <c r="AH2" s="1" t="s">
        <v>365</v>
      </c>
      <c r="AI2" s="1" t="s">
        <v>329</v>
      </c>
      <c r="AJ2" s="1" t="s">
        <v>366</v>
      </c>
      <c r="AK2" s="1" t="s">
        <v>364</v>
      </c>
      <c r="AL2" s="1" t="s">
        <v>367</v>
      </c>
      <c r="AM2" s="1" t="s">
        <v>363</v>
      </c>
      <c r="AN2" s="1" t="s">
        <v>368</v>
      </c>
    </row>
    <row r="3" spans="1:40" x14ac:dyDescent="0.35">
      <c r="A3" s="12" t="s">
        <v>173</v>
      </c>
      <c r="B3" s="8">
        <v>43298.333333333299</v>
      </c>
      <c r="C3" s="8">
        <v>43318.708333333299</v>
      </c>
      <c r="D3" s="9">
        <v>605000</v>
      </c>
      <c r="E3" s="9">
        <v>739693.90273094201</v>
      </c>
      <c r="F3" s="9">
        <v>605000</v>
      </c>
      <c r="G3" s="8">
        <v>43322.458333333299</v>
      </c>
      <c r="H3" s="9">
        <v>134693.90273094201</v>
      </c>
      <c r="I3" s="18">
        <v>1.2226345499685001</v>
      </c>
      <c r="J3" s="9">
        <v>134693.90273094201</v>
      </c>
      <c r="K3" s="18">
        <v>1.2226345499685001</v>
      </c>
      <c r="L3" s="12" t="s">
        <v>245</v>
      </c>
      <c r="M3" s="18">
        <v>1.2250000000000001</v>
      </c>
      <c r="N3" s="18">
        <v>0.99958635504181403</v>
      </c>
      <c r="O3" s="8">
        <v>43740.416666666701</v>
      </c>
      <c r="P3" s="8">
        <v>43663.625</v>
      </c>
      <c r="Q3" s="8">
        <v>43598.375</v>
      </c>
      <c r="R3" s="8">
        <v>43740.583333333299</v>
      </c>
      <c r="S3" s="8">
        <v>43663.625</v>
      </c>
      <c r="T3" s="8">
        <v>43600.625</v>
      </c>
      <c r="U3" s="8">
        <v>43740.583333333299</v>
      </c>
      <c r="V3" s="8">
        <v>43663.416666666701</v>
      </c>
      <c r="W3" s="8">
        <v>43600.458333333299</v>
      </c>
      <c r="X3" s="9">
        <v>11427806.097269099</v>
      </c>
      <c r="Y3" s="9">
        <v>9457036.8556147106</v>
      </c>
      <c r="Z3" s="9">
        <v>9457036.8556147106</v>
      </c>
      <c r="AA3" s="9">
        <v>9439943.7528726999</v>
      </c>
      <c r="AB3" s="9">
        <v>7845133.0846104203</v>
      </c>
      <c r="AC3" s="9">
        <v>7831152.5351956803</v>
      </c>
      <c r="AD3" s="9">
        <v>9457036.8556147106</v>
      </c>
      <c r="AE3" s="9">
        <v>9453612.9458663501</v>
      </c>
      <c r="AF3" s="21">
        <f>M3</f>
        <v>1.2250000000000001</v>
      </c>
      <c r="AG3" s="21">
        <f>K3</f>
        <v>1.2226345499685001</v>
      </c>
      <c r="AH3" s="21">
        <f>I3</f>
        <v>1.2226345499685001</v>
      </c>
      <c r="AI3" s="21">
        <f>N3</f>
        <v>0.99958635504181403</v>
      </c>
      <c r="AJ3" s="19">
        <v>3.375</v>
      </c>
      <c r="AK3" s="21">
        <f>K3</f>
        <v>1.2226345499685001</v>
      </c>
      <c r="AL3" s="19">
        <v>1</v>
      </c>
      <c r="AM3" s="21">
        <f>M3</f>
        <v>1.2250000000000001</v>
      </c>
      <c r="AN3" s="19">
        <v>1</v>
      </c>
    </row>
    <row r="4" spans="1:40" x14ac:dyDescent="0.35">
      <c r="A4" s="12" t="s">
        <v>177</v>
      </c>
      <c r="B4" s="8">
        <v>43318.708333333299</v>
      </c>
      <c r="C4" s="8">
        <v>43339.708333333299</v>
      </c>
      <c r="D4" s="9">
        <v>1205000</v>
      </c>
      <c r="E4" s="9">
        <v>1474387.8054618801</v>
      </c>
      <c r="F4" s="9">
        <v>1205000</v>
      </c>
      <c r="G4" s="8">
        <v>43348.625</v>
      </c>
      <c r="H4" s="9">
        <v>269387.80546188302</v>
      </c>
      <c r="I4" s="18">
        <v>1.22355834478165</v>
      </c>
      <c r="J4" s="9">
        <v>269387.80546188302</v>
      </c>
      <c r="K4" s="18">
        <v>1.22355834478165</v>
      </c>
      <c r="L4" s="12" t="s">
        <v>178</v>
      </c>
      <c r="M4" s="18">
        <v>1.2250000000000001</v>
      </c>
      <c r="N4" s="18">
        <v>0.99958495285551396</v>
      </c>
      <c r="O4" s="8">
        <v>43734.5</v>
      </c>
      <c r="P4" s="8">
        <v>43663.5</v>
      </c>
      <c r="Q4" s="8">
        <v>43595.625</v>
      </c>
      <c r="R4" s="8">
        <v>43735.416666666701</v>
      </c>
      <c r="S4" s="8">
        <v>43663.5</v>
      </c>
      <c r="T4" s="8">
        <v>43605.416666666701</v>
      </c>
      <c r="U4" s="8">
        <v>43735.416666666701</v>
      </c>
      <c r="V4" s="8">
        <v>43663.416666666701</v>
      </c>
      <c r="W4" s="8">
        <v>43602.708333333299</v>
      </c>
      <c r="X4" s="9">
        <v>11293112.1945381</v>
      </c>
      <c r="Y4" s="9">
        <v>9449896.7289242093</v>
      </c>
      <c r="Z4" s="9">
        <v>9449896.7289242093</v>
      </c>
      <c r="AA4" s="9">
        <v>9440193.6281943806</v>
      </c>
      <c r="AB4" s="9">
        <v>7943458.1733170897</v>
      </c>
      <c r="AC4" s="9">
        <v>7935527.9419789501</v>
      </c>
      <c r="AD4" s="9">
        <v>9449896.7289242093</v>
      </c>
      <c r="AE4" s="9">
        <v>9447954.2799836993</v>
      </c>
      <c r="AF4" s="21">
        <f t="shared" ref="AF4:AF21" si="0">M4</f>
        <v>1.2250000000000001</v>
      </c>
      <c r="AG4" s="21">
        <f t="shared" ref="AG4:AG21" si="1">K4</f>
        <v>1.22355834478165</v>
      </c>
      <c r="AH4" s="21">
        <f t="shared" ref="AH4:AH21" si="2">I4</f>
        <v>1.22355834478165</v>
      </c>
      <c r="AI4" s="21">
        <f t="shared" ref="AI4:AI21" si="3">N4</f>
        <v>0.99958495285551396</v>
      </c>
      <c r="AJ4" s="19">
        <v>6.75</v>
      </c>
      <c r="AK4" s="21">
        <f t="shared" ref="AK4:AK21" si="4">K4</f>
        <v>1.22355834478165</v>
      </c>
      <c r="AL4" s="19">
        <v>1</v>
      </c>
      <c r="AM4" s="21">
        <f t="shared" ref="AM4:AM21" si="5">M4</f>
        <v>1.2250000000000001</v>
      </c>
      <c r="AN4" s="19">
        <v>1</v>
      </c>
    </row>
    <row r="5" spans="1:40" x14ac:dyDescent="0.35">
      <c r="A5" s="12" t="s">
        <v>179</v>
      </c>
      <c r="B5" s="8">
        <v>43339.708333333299</v>
      </c>
      <c r="C5" s="8">
        <v>43360.708333333299</v>
      </c>
      <c r="D5" s="9">
        <v>1805000</v>
      </c>
      <c r="E5" s="9">
        <v>2110833.3468437199</v>
      </c>
      <c r="F5" s="9">
        <v>1916500</v>
      </c>
      <c r="G5" s="8">
        <v>43368.625</v>
      </c>
      <c r="H5" s="9">
        <v>305833.34684371902</v>
      </c>
      <c r="I5" s="18">
        <v>1.16943675725414</v>
      </c>
      <c r="J5" s="9">
        <v>194333.34684371899</v>
      </c>
      <c r="K5" s="18">
        <v>1.1014001287992301</v>
      </c>
      <c r="L5" s="12" t="s">
        <v>211</v>
      </c>
      <c r="M5" s="18">
        <v>1.12777777777778</v>
      </c>
      <c r="N5" s="18">
        <v>0.99732263021200995</v>
      </c>
      <c r="O5" s="8">
        <v>43733.5</v>
      </c>
      <c r="P5" s="8">
        <v>43679.583333333299</v>
      </c>
      <c r="Q5" s="8">
        <v>43644.5</v>
      </c>
      <c r="R5" s="8">
        <v>43734.458333333299</v>
      </c>
      <c r="S5" s="8">
        <v>43679.583333333299</v>
      </c>
      <c r="T5" s="8">
        <v>43650.583333333299</v>
      </c>
      <c r="U5" s="8">
        <v>43738.416666666701</v>
      </c>
      <c r="V5" s="8">
        <v>43693.625</v>
      </c>
      <c r="W5" s="8">
        <v>43663.625</v>
      </c>
      <c r="X5" s="9">
        <v>11368166.653156299</v>
      </c>
      <c r="Y5" s="9">
        <v>10498001.3145683</v>
      </c>
      <c r="Z5" s="9">
        <v>9998738.3891446907</v>
      </c>
      <c r="AA5" s="9">
        <v>10297288.165360199</v>
      </c>
      <c r="AB5" s="9">
        <v>9254649.1229315009</v>
      </c>
      <c r="AC5" s="9">
        <v>9525712.9882871807</v>
      </c>
      <c r="AD5" s="9">
        <v>10393274.4063896</v>
      </c>
      <c r="AE5" s="9">
        <v>10457093.2440552</v>
      </c>
      <c r="AF5" s="21">
        <f t="shared" si="0"/>
        <v>1.12777777777778</v>
      </c>
      <c r="AG5" s="21">
        <f t="shared" si="1"/>
        <v>1.1014001287992301</v>
      </c>
      <c r="AH5" s="21">
        <f t="shared" si="2"/>
        <v>1.16943675725414</v>
      </c>
      <c r="AI5" s="21">
        <f t="shared" si="3"/>
        <v>0.99732263021200995</v>
      </c>
      <c r="AJ5" s="19">
        <v>5.75</v>
      </c>
      <c r="AK5" s="21">
        <f t="shared" si="4"/>
        <v>1.1014001287992301</v>
      </c>
      <c r="AL5" s="19">
        <v>1</v>
      </c>
      <c r="AM5" s="21">
        <f t="shared" si="5"/>
        <v>1.12777777777778</v>
      </c>
      <c r="AN5" s="19">
        <v>1</v>
      </c>
    </row>
    <row r="6" spans="1:40" x14ac:dyDescent="0.35">
      <c r="A6" s="12" t="s">
        <v>184</v>
      </c>
      <c r="B6" s="8">
        <v>43360.708333333299</v>
      </c>
      <c r="C6" s="8">
        <v>43381.708333333299</v>
      </c>
      <c r="D6" s="9">
        <v>2677500</v>
      </c>
      <c r="E6" s="9">
        <v>3216341.4422422601</v>
      </c>
      <c r="F6" s="9">
        <v>2837500</v>
      </c>
      <c r="G6" s="8">
        <v>43392.5</v>
      </c>
      <c r="H6" s="9">
        <v>538841.44224226498</v>
      </c>
      <c r="I6" s="18">
        <v>1.20124797095883</v>
      </c>
      <c r="J6" s="9">
        <v>378841.44224226498</v>
      </c>
      <c r="K6" s="18">
        <v>1.13351240255234</v>
      </c>
      <c r="L6" s="12" t="s">
        <v>190</v>
      </c>
      <c r="M6" s="18">
        <v>1.1416666666666699</v>
      </c>
      <c r="N6" s="18">
        <v>0.98582692592572896</v>
      </c>
      <c r="O6" s="8">
        <v>43725.375</v>
      </c>
      <c r="P6" s="8">
        <v>43670.458333333299</v>
      </c>
      <c r="Q6" s="8">
        <v>43626.708333333299</v>
      </c>
      <c r="R6" s="8">
        <v>43727.666666666701</v>
      </c>
      <c r="S6" s="8">
        <v>43670.458333333299</v>
      </c>
      <c r="T6" s="8">
        <v>43636.375</v>
      </c>
      <c r="U6" s="8">
        <v>43733.5</v>
      </c>
      <c r="V6" s="8">
        <v>43690.416666666701</v>
      </c>
      <c r="W6" s="8">
        <v>43654.458333333299</v>
      </c>
      <c r="X6" s="9">
        <v>11183658.5577577</v>
      </c>
      <c r="Y6" s="9">
        <v>10200594.165502399</v>
      </c>
      <c r="Z6" s="9">
        <v>9785406.4768749494</v>
      </c>
      <c r="AA6" s="9">
        <v>10148003.846211201</v>
      </c>
      <c r="AB6" s="9">
        <v>8967037.2342025395</v>
      </c>
      <c r="AC6" s="9">
        <v>9286925.5464254506</v>
      </c>
      <c r="AD6" s="9">
        <v>10113633.835812001</v>
      </c>
      <c r="AE6" s="9">
        <v>10190015.6567124</v>
      </c>
      <c r="AF6" s="21">
        <f t="shared" si="0"/>
        <v>1.1416666666666699</v>
      </c>
      <c r="AG6" s="21">
        <f t="shared" si="1"/>
        <v>1.13351240255234</v>
      </c>
      <c r="AH6" s="21">
        <f t="shared" si="2"/>
        <v>1.20124797095883</v>
      </c>
      <c r="AI6" s="21">
        <f t="shared" si="3"/>
        <v>0.98582692592572896</v>
      </c>
      <c r="AJ6" s="19">
        <v>8.5</v>
      </c>
      <c r="AK6" s="21">
        <f t="shared" si="4"/>
        <v>1.13351240255234</v>
      </c>
      <c r="AL6" s="19">
        <v>1</v>
      </c>
      <c r="AM6" s="21">
        <f t="shared" si="5"/>
        <v>1.1416666666666699</v>
      </c>
      <c r="AN6" s="19">
        <v>1</v>
      </c>
    </row>
    <row r="7" spans="1:40" x14ac:dyDescent="0.35">
      <c r="A7" s="12" t="s">
        <v>193</v>
      </c>
      <c r="B7" s="8">
        <v>43381.708333333299</v>
      </c>
      <c r="C7" s="8">
        <v>43402.708333333299</v>
      </c>
      <c r="D7" s="9">
        <v>3862500</v>
      </c>
      <c r="E7" s="9">
        <v>4196017.1031951904</v>
      </c>
      <c r="F7" s="9">
        <v>3689500</v>
      </c>
      <c r="G7" s="8">
        <v>43413.416666666701</v>
      </c>
      <c r="H7" s="9">
        <v>333517.10319519002</v>
      </c>
      <c r="I7" s="18">
        <v>1.0863474700828999</v>
      </c>
      <c r="J7" s="9">
        <v>506517.10319519002</v>
      </c>
      <c r="K7" s="18">
        <v>1.1372861100949201</v>
      </c>
      <c r="L7" s="12" t="s">
        <v>182</v>
      </c>
      <c r="M7" s="18">
        <v>1.1100000000000001</v>
      </c>
      <c r="N7" s="18">
        <v>0.99964671904590596</v>
      </c>
      <c r="O7" s="8">
        <v>43732.625</v>
      </c>
      <c r="P7" s="8">
        <v>43710.583333333299</v>
      </c>
      <c r="Q7" s="8">
        <v>43658.708333333299</v>
      </c>
      <c r="R7" s="8">
        <v>43735.5</v>
      </c>
      <c r="S7" s="8">
        <v>43710.583333333299</v>
      </c>
      <c r="T7" s="8">
        <v>43671.708333333299</v>
      </c>
      <c r="U7" s="8">
        <v>43733.625</v>
      </c>
      <c r="V7" s="8">
        <v>43700.416666666701</v>
      </c>
      <c r="W7" s="8">
        <v>43664.5</v>
      </c>
      <c r="X7" s="9">
        <v>11055982.8968048</v>
      </c>
      <c r="Y7" s="9">
        <v>10166746.8699104</v>
      </c>
      <c r="Z7" s="9">
        <v>10470463.8257294</v>
      </c>
      <c r="AA7" s="9">
        <v>10325971.078202499</v>
      </c>
      <c r="AB7" s="9">
        <v>9651908.0216397792</v>
      </c>
      <c r="AC7" s="9">
        <v>9524857.5404597707</v>
      </c>
      <c r="AD7" s="9">
        <v>10225294.0476577</v>
      </c>
      <c r="AE7" s="9">
        <v>10197977.539681399</v>
      </c>
      <c r="AF7" s="21">
        <f t="shared" si="0"/>
        <v>1.1100000000000001</v>
      </c>
      <c r="AG7" s="21">
        <f t="shared" si="1"/>
        <v>1.1372861100949201</v>
      </c>
      <c r="AH7" s="21">
        <f t="shared" si="2"/>
        <v>1.0863474700828999</v>
      </c>
      <c r="AI7" s="21">
        <f t="shared" si="3"/>
        <v>0.99964671904590596</v>
      </c>
      <c r="AJ7" s="19">
        <v>8.25</v>
      </c>
      <c r="AK7" s="21">
        <f t="shared" si="4"/>
        <v>1.1372861100949201</v>
      </c>
      <c r="AL7" s="19">
        <v>1</v>
      </c>
      <c r="AM7" s="21">
        <f t="shared" si="5"/>
        <v>1.1100000000000001</v>
      </c>
      <c r="AN7" s="19">
        <v>1</v>
      </c>
    </row>
    <row r="8" spans="1:40" x14ac:dyDescent="0.35">
      <c r="A8" s="12" t="s">
        <v>201</v>
      </c>
      <c r="B8" s="8">
        <v>43402.708333333299</v>
      </c>
      <c r="C8" s="8">
        <v>43423.708333333299</v>
      </c>
      <c r="D8" s="9">
        <v>4467500</v>
      </c>
      <c r="E8" s="9">
        <v>4743545.6562042199</v>
      </c>
      <c r="F8" s="9">
        <v>4289500</v>
      </c>
      <c r="G8" s="8">
        <v>43432.708333333299</v>
      </c>
      <c r="H8" s="9">
        <v>276045.65620422398</v>
      </c>
      <c r="I8" s="18">
        <v>1.0617897383781101</v>
      </c>
      <c r="J8" s="9">
        <v>454045.65620422398</v>
      </c>
      <c r="K8" s="18">
        <v>1.10585048518574</v>
      </c>
      <c r="L8" s="12" t="s">
        <v>249</v>
      </c>
      <c r="M8" s="18">
        <v>1.0777777777777799</v>
      </c>
      <c r="N8" s="18">
        <v>0.99916706818414402</v>
      </c>
      <c r="O8" s="8">
        <v>43734.458333333299</v>
      </c>
      <c r="P8" s="8">
        <v>43719.458333333299</v>
      </c>
      <c r="Q8" s="8">
        <v>43678.5</v>
      </c>
      <c r="R8" s="8">
        <v>43738.5</v>
      </c>
      <c r="S8" s="8">
        <v>43719.458333333299</v>
      </c>
      <c r="T8" s="8">
        <v>43691.375</v>
      </c>
      <c r="U8" s="8">
        <v>43734.708333333299</v>
      </c>
      <c r="V8" s="8">
        <v>43712.666666666701</v>
      </c>
      <c r="W8" s="8">
        <v>43685.375</v>
      </c>
      <c r="X8" s="9">
        <v>11108454.343795801</v>
      </c>
      <c r="Y8" s="9">
        <v>10455753.4267917</v>
      </c>
      <c r="Z8" s="9">
        <v>10711632.4593057</v>
      </c>
      <c r="AA8" s="9">
        <v>10616364.855068199</v>
      </c>
      <c r="AB8" s="9">
        <v>10096914.7864818</v>
      </c>
      <c r="AC8" s="9">
        <v>10010766.066095401</v>
      </c>
      <c r="AD8" s="9">
        <v>10505284.9193781</v>
      </c>
      <c r="AE8" s="9">
        <v>10487220.0279774</v>
      </c>
      <c r="AF8" s="21">
        <f t="shared" si="0"/>
        <v>1.0777777777777799</v>
      </c>
      <c r="AG8" s="21">
        <f t="shared" si="1"/>
        <v>1.10585048518574</v>
      </c>
      <c r="AH8" s="21">
        <f t="shared" si="2"/>
        <v>1.0617897383781101</v>
      </c>
      <c r="AI8" s="21">
        <f t="shared" si="3"/>
        <v>0.99916706818414402</v>
      </c>
      <c r="AJ8" s="19">
        <v>7</v>
      </c>
      <c r="AK8" s="21">
        <f t="shared" si="4"/>
        <v>1.10585048518574</v>
      </c>
      <c r="AL8" s="19">
        <v>1</v>
      </c>
      <c r="AM8" s="21">
        <f t="shared" si="5"/>
        <v>1.0777777777777799</v>
      </c>
      <c r="AN8" s="19">
        <v>1</v>
      </c>
    </row>
    <row r="9" spans="1:40" x14ac:dyDescent="0.35">
      <c r="A9" s="12" t="s">
        <v>205</v>
      </c>
      <c r="B9" s="8">
        <v>43423.708333333299</v>
      </c>
      <c r="C9" s="8">
        <v>43444.708333333299</v>
      </c>
      <c r="D9" s="9">
        <v>5067500</v>
      </c>
      <c r="E9" s="9">
        <v>5653464.8919105502</v>
      </c>
      <c r="F9" s="9">
        <v>5144500</v>
      </c>
      <c r="G9" s="8">
        <v>43458.625</v>
      </c>
      <c r="H9" s="9">
        <v>585964.89191055298</v>
      </c>
      <c r="I9" s="18">
        <v>1.1156319470963101</v>
      </c>
      <c r="J9" s="9">
        <v>508964.89191055298</v>
      </c>
      <c r="K9" s="18">
        <v>1.09893379179912</v>
      </c>
      <c r="L9" s="12" t="s">
        <v>346</v>
      </c>
      <c r="M9" s="18">
        <v>1.0928571428571401</v>
      </c>
      <c r="N9" s="18">
        <v>0.99528649271561698</v>
      </c>
      <c r="O9" s="8">
        <v>43721.625</v>
      </c>
      <c r="P9" s="8">
        <v>43698.666666666701</v>
      </c>
      <c r="Q9" s="8">
        <v>43662.708333333299</v>
      </c>
      <c r="R9" s="8">
        <v>43727.666666666701</v>
      </c>
      <c r="S9" s="8">
        <v>43698.666666666701</v>
      </c>
      <c r="T9" s="8">
        <v>43676.5</v>
      </c>
      <c r="U9" s="8">
        <v>43732.416666666701</v>
      </c>
      <c r="V9" s="8">
        <v>43706.625</v>
      </c>
      <c r="W9" s="8">
        <v>43683.666666666701</v>
      </c>
      <c r="X9" s="9">
        <v>11053535.1080894</v>
      </c>
      <c r="Y9" s="9">
        <v>10521561.977879001</v>
      </c>
      <c r="Z9" s="9">
        <v>10441081.120206401</v>
      </c>
      <c r="AA9" s="9">
        <v>10551460.229624299</v>
      </c>
      <c r="AB9" s="9">
        <v>9964245.4293721691</v>
      </c>
      <c r="AC9" s="9">
        <v>10064687.430739</v>
      </c>
      <c r="AD9" s="9">
        <v>10505270.7357811</v>
      </c>
      <c r="AE9" s="9">
        <v>10527515.1469492</v>
      </c>
      <c r="AF9" s="21">
        <f t="shared" si="0"/>
        <v>1.0928571428571401</v>
      </c>
      <c r="AG9" s="21">
        <f t="shared" si="1"/>
        <v>1.09893379179912</v>
      </c>
      <c r="AH9" s="21">
        <f t="shared" si="2"/>
        <v>1.1156319470963101</v>
      </c>
      <c r="AI9" s="21">
        <f t="shared" si="3"/>
        <v>0.99528649271561698</v>
      </c>
      <c r="AJ9" s="19">
        <v>9.75</v>
      </c>
      <c r="AK9" s="21">
        <f t="shared" si="4"/>
        <v>1.09893379179912</v>
      </c>
      <c r="AL9" s="19">
        <v>1</v>
      </c>
      <c r="AM9" s="21">
        <f t="shared" si="5"/>
        <v>1.0928571428571401</v>
      </c>
      <c r="AN9" s="19">
        <v>1</v>
      </c>
    </row>
    <row r="10" spans="1:40" x14ac:dyDescent="0.35">
      <c r="A10" s="12" t="s">
        <v>212</v>
      </c>
      <c r="B10" s="8">
        <v>43444.708333333299</v>
      </c>
      <c r="C10" s="8">
        <v>43465.708333333299</v>
      </c>
      <c r="D10" s="9">
        <v>6077500</v>
      </c>
      <c r="E10" s="9">
        <v>6440833.34445953</v>
      </c>
      <c r="F10" s="9">
        <v>5974500</v>
      </c>
      <c r="G10" s="8">
        <v>43472.583333333299</v>
      </c>
      <c r="H10" s="9">
        <v>363333.34445953398</v>
      </c>
      <c r="I10" s="18">
        <v>1.05978335573172</v>
      </c>
      <c r="J10" s="9">
        <v>466333.34445953398</v>
      </c>
      <c r="K10" s="18">
        <v>1.0780539533784499</v>
      </c>
      <c r="L10" s="12" t="s">
        <v>347</v>
      </c>
      <c r="M10" s="18">
        <v>1.03854166666667</v>
      </c>
      <c r="N10" s="18">
        <v>0.99663952608910999</v>
      </c>
      <c r="O10" s="8">
        <v>43731.708333333299</v>
      </c>
      <c r="P10" s="8">
        <v>43719.708333333299</v>
      </c>
      <c r="Q10" s="8">
        <v>43690.375</v>
      </c>
      <c r="R10" s="8">
        <v>43734.666666666701</v>
      </c>
      <c r="S10" s="8">
        <v>43719.708333333299</v>
      </c>
      <c r="T10" s="8">
        <v>43700.625</v>
      </c>
      <c r="U10" s="8">
        <v>43739.458333333299</v>
      </c>
      <c r="V10" s="8">
        <v>43728.375</v>
      </c>
      <c r="W10" s="8">
        <v>43710.5</v>
      </c>
      <c r="X10" s="9">
        <v>11096166.6555405</v>
      </c>
      <c r="Y10" s="9">
        <v>10725344.463294201</v>
      </c>
      <c r="Z10" s="9">
        <v>10807248.7196704</v>
      </c>
      <c r="AA10" s="9">
        <v>10906094.7736398</v>
      </c>
      <c r="AB10" s="9">
        <v>10457344.949016999</v>
      </c>
      <c r="AC10" s="9">
        <v>10549034.2876254</v>
      </c>
      <c r="AD10" s="9">
        <v>10741502.4642426</v>
      </c>
      <c r="AE10" s="9">
        <v>10760426.735150499</v>
      </c>
      <c r="AF10" s="21">
        <f t="shared" si="0"/>
        <v>1.03854166666667</v>
      </c>
      <c r="AG10" s="21">
        <f t="shared" si="1"/>
        <v>1.0780539533784499</v>
      </c>
      <c r="AH10" s="21">
        <f t="shared" si="2"/>
        <v>1.05978335573172</v>
      </c>
      <c r="AI10" s="21">
        <f t="shared" si="3"/>
        <v>0.99663952608910999</v>
      </c>
      <c r="AJ10" s="19">
        <v>4.625</v>
      </c>
      <c r="AK10" s="21">
        <f t="shared" si="4"/>
        <v>1.0780539533784499</v>
      </c>
      <c r="AL10" s="19">
        <v>1</v>
      </c>
      <c r="AM10" s="21">
        <f t="shared" si="5"/>
        <v>1.03854166666667</v>
      </c>
      <c r="AN10" s="19">
        <v>1</v>
      </c>
    </row>
    <row r="11" spans="1:40" x14ac:dyDescent="0.35">
      <c r="A11" s="12" t="s">
        <v>218</v>
      </c>
      <c r="B11" s="8">
        <v>43465.708333333299</v>
      </c>
      <c r="C11" s="8">
        <v>43486.708333333299</v>
      </c>
      <c r="D11" s="9">
        <v>6695000</v>
      </c>
      <c r="E11" s="9">
        <v>6973536.6117954301</v>
      </c>
      <c r="F11" s="9">
        <v>6319500</v>
      </c>
      <c r="G11" s="8">
        <v>43504.708333333299</v>
      </c>
      <c r="H11" s="9">
        <v>278536.61179542501</v>
      </c>
      <c r="I11" s="18">
        <v>1.0416036761456899</v>
      </c>
      <c r="J11" s="9">
        <v>654036.61179542495</v>
      </c>
      <c r="K11" s="18">
        <v>1.10349499355889</v>
      </c>
      <c r="L11" s="12" t="s">
        <v>348</v>
      </c>
      <c r="M11" s="18">
        <v>1.1037037037037001</v>
      </c>
      <c r="N11" s="18">
        <v>0.99979019523948798</v>
      </c>
      <c r="O11" s="8">
        <v>43734.416666666701</v>
      </c>
      <c r="P11" s="8">
        <v>43727.416666666701</v>
      </c>
      <c r="Q11" s="8">
        <v>43686.458333333299</v>
      </c>
      <c r="R11" s="8">
        <v>43738.458333333299</v>
      </c>
      <c r="S11" s="8">
        <v>43727.416666666701</v>
      </c>
      <c r="T11" s="8">
        <v>43705.375</v>
      </c>
      <c r="U11" s="8">
        <v>43725.708333333299</v>
      </c>
      <c r="V11" s="8">
        <v>43703.666666666701</v>
      </c>
      <c r="W11" s="8">
        <v>43683.458333333299</v>
      </c>
      <c r="X11" s="9">
        <v>10908463.388204601</v>
      </c>
      <c r="Y11" s="9">
        <v>10478072.005301701</v>
      </c>
      <c r="Z11" s="9">
        <v>10725171.267583599</v>
      </c>
      <c r="AA11" s="9">
        <v>10477285.620185399</v>
      </c>
      <c r="AB11" s="9">
        <v>10311970.553377699</v>
      </c>
      <c r="AC11" s="9">
        <v>10087333.696078699</v>
      </c>
      <c r="AD11" s="9">
        <v>10525249.267435299</v>
      </c>
      <c r="AE11" s="9">
        <v>10477914.704482</v>
      </c>
      <c r="AF11" s="21">
        <f t="shared" si="0"/>
        <v>1.1037037037037001</v>
      </c>
      <c r="AG11" s="21">
        <f t="shared" si="1"/>
        <v>1.10349499355889</v>
      </c>
      <c r="AH11" s="21">
        <f t="shared" si="2"/>
        <v>1.0416036761456899</v>
      </c>
      <c r="AI11" s="21">
        <f t="shared" si="3"/>
        <v>0.99979019523948798</v>
      </c>
      <c r="AJ11" s="19">
        <v>14</v>
      </c>
      <c r="AK11" s="21">
        <f t="shared" si="4"/>
        <v>1.10349499355889</v>
      </c>
      <c r="AL11" s="19">
        <v>1</v>
      </c>
      <c r="AM11" s="21">
        <f t="shared" si="5"/>
        <v>1.1037037037037001</v>
      </c>
      <c r="AN11" s="19">
        <v>1</v>
      </c>
    </row>
    <row r="12" spans="1:40" x14ac:dyDescent="0.35">
      <c r="A12" s="12" t="s">
        <v>224</v>
      </c>
      <c r="B12" s="8">
        <v>43486.708333333299</v>
      </c>
      <c r="C12" s="8">
        <v>43507.708333333299</v>
      </c>
      <c r="D12" s="9">
        <v>6995000</v>
      </c>
      <c r="E12" s="9">
        <v>7702875.63335896</v>
      </c>
      <c r="F12" s="9">
        <v>6805500</v>
      </c>
      <c r="G12" s="8">
        <v>43544.5</v>
      </c>
      <c r="H12" s="9">
        <v>707875.63335895503</v>
      </c>
      <c r="I12" s="18">
        <v>1.1011973743186501</v>
      </c>
      <c r="J12" s="9">
        <v>897375.63335895503</v>
      </c>
      <c r="K12" s="18">
        <v>1.1318603531495</v>
      </c>
      <c r="L12" s="12" t="s">
        <v>349</v>
      </c>
      <c r="M12" s="18">
        <v>1.1766666666666701</v>
      </c>
      <c r="N12" s="18">
        <v>0.98207253645162695</v>
      </c>
      <c r="O12" s="8">
        <v>43718.458333333299</v>
      </c>
      <c r="P12" s="8">
        <v>43704.583333333299</v>
      </c>
      <c r="Q12" s="8">
        <v>43656.625</v>
      </c>
      <c r="R12" s="8">
        <v>43724.666666666701</v>
      </c>
      <c r="S12" s="8">
        <v>43704.583333333299</v>
      </c>
      <c r="T12" s="8">
        <v>43682.416666666701</v>
      </c>
      <c r="U12" s="8">
        <v>43707.5</v>
      </c>
      <c r="V12" s="8">
        <v>43677.708333333299</v>
      </c>
      <c r="W12" s="8">
        <v>43657.625</v>
      </c>
      <c r="X12" s="9">
        <v>10665124.366641</v>
      </c>
      <c r="Y12" s="9">
        <v>10215482.8268578</v>
      </c>
      <c r="Z12" s="9">
        <v>10310434.2258277</v>
      </c>
      <c r="AA12" s="9">
        <v>10085634.0226411</v>
      </c>
      <c r="AB12" s="9">
        <v>9902113.6556288991</v>
      </c>
      <c r="AC12" s="9">
        <v>9703502.4024287499</v>
      </c>
      <c r="AD12" s="9">
        <v>10234059.2953775</v>
      </c>
      <c r="AE12" s="9">
        <v>10188697.086211801</v>
      </c>
      <c r="AF12" s="21">
        <f t="shared" si="0"/>
        <v>1.1766666666666701</v>
      </c>
      <c r="AG12" s="21">
        <f t="shared" si="1"/>
        <v>1.1318603531495</v>
      </c>
      <c r="AH12" s="21">
        <f t="shared" si="2"/>
        <v>1.1011973743186501</v>
      </c>
      <c r="AI12" s="21">
        <f t="shared" si="3"/>
        <v>0.98207253645162695</v>
      </c>
      <c r="AJ12" s="19">
        <v>26.5</v>
      </c>
      <c r="AK12" s="21">
        <f t="shared" si="4"/>
        <v>1.1318603531495</v>
      </c>
      <c r="AL12" s="19">
        <v>1</v>
      </c>
      <c r="AM12" s="21">
        <f t="shared" si="5"/>
        <v>1.1766666666666701</v>
      </c>
      <c r="AN12" s="19">
        <v>1</v>
      </c>
    </row>
    <row r="13" spans="1:40" x14ac:dyDescent="0.35">
      <c r="A13" s="12" t="s">
        <v>231</v>
      </c>
      <c r="B13" s="8">
        <v>43507.708333333299</v>
      </c>
      <c r="C13" s="8">
        <v>43528.708333333299</v>
      </c>
      <c r="D13" s="9">
        <v>7295000</v>
      </c>
      <c r="E13" s="9">
        <v>8598430.4504394494</v>
      </c>
      <c r="F13" s="9">
        <v>7591000</v>
      </c>
      <c r="G13" s="8">
        <v>43563.5</v>
      </c>
      <c r="H13" s="9">
        <v>1303430.4504394501</v>
      </c>
      <c r="I13" s="18">
        <v>1.17867449629054</v>
      </c>
      <c r="J13" s="9">
        <v>1007430.45043945</v>
      </c>
      <c r="K13" s="18">
        <v>1.1327137992938301</v>
      </c>
      <c r="L13" s="12" t="s">
        <v>350</v>
      </c>
      <c r="M13" s="18">
        <v>1.14848484848485</v>
      </c>
      <c r="N13" s="18">
        <v>0.99793401353789701</v>
      </c>
      <c r="O13" s="8">
        <v>43693.666666666701</v>
      </c>
      <c r="P13" s="8">
        <v>43677.5</v>
      </c>
      <c r="Q13" s="8">
        <v>43633.583333333299</v>
      </c>
      <c r="R13" s="8">
        <v>43704.5</v>
      </c>
      <c r="S13" s="8">
        <v>43677.5</v>
      </c>
      <c r="T13" s="8">
        <v>43658.708333333299</v>
      </c>
      <c r="U13" s="8">
        <v>43711.5</v>
      </c>
      <c r="V13" s="8">
        <v>43686.583333333299</v>
      </c>
      <c r="W13" s="8">
        <v>43669.458333333299</v>
      </c>
      <c r="X13" s="9">
        <v>10555069.5495605</v>
      </c>
      <c r="Y13" s="9">
        <v>10207785.9448772</v>
      </c>
      <c r="Z13" s="9">
        <v>10105748.184412999</v>
      </c>
      <c r="AA13" s="9">
        <v>10171852.1143931</v>
      </c>
      <c r="AB13" s="9">
        <v>9811109.0743140895</v>
      </c>
      <c r="AC13" s="9">
        <v>9869467.9731120802</v>
      </c>
      <c r="AD13" s="9">
        <v>10186721.2841477</v>
      </c>
      <c r="AE13" s="9">
        <v>10200519.350602601</v>
      </c>
      <c r="AF13" s="21">
        <f t="shared" si="0"/>
        <v>1.14848484848485</v>
      </c>
      <c r="AG13" s="21">
        <f t="shared" si="1"/>
        <v>1.1327137992938301</v>
      </c>
      <c r="AH13" s="21">
        <f t="shared" si="2"/>
        <v>1.17867449629054</v>
      </c>
      <c r="AI13" s="21">
        <f t="shared" si="3"/>
        <v>0.99793401353789701</v>
      </c>
      <c r="AJ13" s="19">
        <v>24.5</v>
      </c>
      <c r="AK13" s="21">
        <f t="shared" si="4"/>
        <v>1.1327137992938301</v>
      </c>
      <c r="AL13" s="19">
        <v>1</v>
      </c>
      <c r="AM13" s="21">
        <f t="shared" si="5"/>
        <v>1.14848484848485</v>
      </c>
      <c r="AN13" s="19">
        <v>1</v>
      </c>
    </row>
    <row r="14" spans="1:40" x14ac:dyDescent="0.35">
      <c r="A14" s="12" t="s">
        <v>238</v>
      </c>
      <c r="B14" s="8">
        <v>43528.708333333299</v>
      </c>
      <c r="C14" s="8">
        <v>43549.708333333299</v>
      </c>
      <c r="D14" s="9">
        <v>7905500</v>
      </c>
      <c r="E14" s="9">
        <v>9106857.1424484309</v>
      </c>
      <c r="F14" s="9">
        <v>7884600</v>
      </c>
      <c r="G14" s="8">
        <v>43599.416666666701</v>
      </c>
      <c r="H14" s="9">
        <v>1201357.1424484299</v>
      </c>
      <c r="I14" s="18">
        <v>1.15196472613351</v>
      </c>
      <c r="J14" s="9">
        <v>1222257.1424484299</v>
      </c>
      <c r="K14" s="18">
        <v>1.1550182815169301</v>
      </c>
      <c r="L14" s="12" t="s">
        <v>351</v>
      </c>
      <c r="M14" s="18">
        <v>1.19583333333333</v>
      </c>
      <c r="N14" s="18">
        <v>0.99996235313251303</v>
      </c>
      <c r="O14" s="8">
        <v>43698.625</v>
      </c>
      <c r="P14" s="8">
        <v>43685.625</v>
      </c>
      <c r="Q14" s="8">
        <v>43634.5</v>
      </c>
      <c r="R14" s="8">
        <v>43706.583333333299</v>
      </c>
      <c r="S14" s="8">
        <v>43685.625</v>
      </c>
      <c r="T14" s="8">
        <v>43668.583333333299</v>
      </c>
      <c r="U14" s="8">
        <v>43696.625</v>
      </c>
      <c r="V14" s="8">
        <v>43671.583333333299</v>
      </c>
      <c r="W14" s="8">
        <v>43655.666666666701</v>
      </c>
      <c r="X14" s="9">
        <v>10340242.857551601</v>
      </c>
      <c r="Y14" s="9">
        <v>10010664.0604982</v>
      </c>
      <c r="Z14" s="9">
        <v>10016299.696911501</v>
      </c>
      <c r="AA14" s="9">
        <v>9938099.2537016608</v>
      </c>
      <c r="AB14" s="9">
        <v>9730198.2308019307</v>
      </c>
      <c r="AC14" s="9">
        <v>9662493.2910089698</v>
      </c>
      <c r="AD14" s="9">
        <v>10011788.8026645</v>
      </c>
      <c r="AE14" s="9">
        <v>9995743.7010667305</v>
      </c>
      <c r="AF14" s="21">
        <f t="shared" si="0"/>
        <v>1.19583333333333</v>
      </c>
      <c r="AG14" s="21">
        <f t="shared" si="1"/>
        <v>1.1550182815169301</v>
      </c>
      <c r="AH14" s="21">
        <f t="shared" si="2"/>
        <v>1.15196472613351</v>
      </c>
      <c r="AI14" s="21">
        <f t="shared" si="3"/>
        <v>0.99996235313251303</v>
      </c>
      <c r="AJ14" s="19">
        <v>35.25</v>
      </c>
      <c r="AK14" s="21">
        <f t="shared" si="4"/>
        <v>1.1550182815169301</v>
      </c>
      <c r="AL14" s="19">
        <v>1</v>
      </c>
      <c r="AM14" s="21">
        <f t="shared" si="5"/>
        <v>1.19583333333333</v>
      </c>
      <c r="AN14" s="19">
        <v>1</v>
      </c>
    </row>
    <row r="15" spans="1:40" x14ac:dyDescent="0.35">
      <c r="A15" s="12" t="s">
        <v>246</v>
      </c>
      <c r="B15" s="8">
        <v>43549.708333333299</v>
      </c>
      <c r="C15" s="8">
        <v>43570.708333333299</v>
      </c>
      <c r="D15" s="9">
        <v>8752000</v>
      </c>
      <c r="E15" s="9">
        <v>9655448.0642676391</v>
      </c>
      <c r="F15" s="9">
        <v>8317000</v>
      </c>
      <c r="G15" s="8">
        <v>43630.625</v>
      </c>
      <c r="H15" s="9">
        <v>903448.064267635</v>
      </c>
      <c r="I15" s="18">
        <v>1.1032276124620199</v>
      </c>
      <c r="J15" s="9">
        <v>1338448.06426764</v>
      </c>
      <c r="K15" s="18">
        <v>1.1609291889224</v>
      </c>
      <c r="L15" s="12" t="s">
        <v>352</v>
      </c>
      <c r="M15" s="18">
        <v>1.22435897435897</v>
      </c>
      <c r="N15" s="18">
        <v>0.992833247877693</v>
      </c>
      <c r="O15" s="8">
        <v>43710.708333333299</v>
      </c>
      <c r="P15" s="8">
        <v>43703.708333333299</v>
      </c>
      <c r="Q15" s="8">
        <v>43647.666666666701</v>
      </c>
      <c r="R15" s="8">
        <v>43717.666666666701</v>
      </c>
      <c r="S15" s="8">
        <v>43703.708333333299</v>
      </c>
      <c r="T15" s="8">
        <v>43684.666666666701</v>
      </c>
      <c r="U15" s="8">
        <v>43684.416666666701</v>
      </c>
      <c r="V15" s="8">
        <v>43663.458333333299</v>
      </c>
      <c r="W15" s="8">
        <v>43650.375</v>
      </c>
      <c r="X15" s="9">
        <v>10224051.9357324</v>
      </c>
      <c r="Y15" s="9">
        <v>9959694.4502123594</v>
      </c>
      <c r="Z15" s="9">
        <v>10045611.497927001</v>
      </c>
      <c r="AA15" s="9">
        <v>9874592.1569332406</v>
      </c>
      <c r="AB15" s="9">
        <v>9805989.6079979595</v>
      </c>
      <c r="AC15" s="9">
        <v>9658677.1425818205</v>
      </c>
      <c r="AD15" s="9">
        <v>9976187.7470581103</v>
      </c>
      <c r="AE15" s="9">
        <v>9941938.0746459607</v>
      </c>
      <c r="AF15" s="21">
        <f t="shared" si="0"/>
        <v>1.22435897435897</v>
      </c>
      <c r="AG15" s="21">
        <f t="shared" si="1"/>
        <v>1.1609291889224</v>
      </c>
      <c r="AH15" s="21">
        <f t="shared" si="2"/>
        <v>1.1032276124620199</v>
      </c>
      <c r="AI15" s="21">
        <f t="shared" si="3"/>
        <v>0.992833247877693</v>
      </c>
      <c r="AJ15" s="19">
        <v>43.75</v>
      </c>
      <c r="AK15" s="21">
        <f t="shared" si="4"/>
        <v>1.1609291889224</v>
      </c>
      <c r="AL15" s="19">
        <v>1</v>
      </c>
      <c r="AM15" s="21">
        <f t="shared" si="5"/>
        <v>1.22435897435897</v>
      </c>
      <c r="AN15" s="19">
        <v>1</v>
      </c>
    </row>
    <row r="16" spans="1:40" x14ac:dyDescent="0.35">
      <c r="A16" s="12" t="s">
        <v>251</v>
      </c>
      <c r="B16" s="8">
        <v>43570.708333333299</v>
      </c>
      <c r="C16" s="8">
        <v>43591.708333333299</v>
      </c>
      <c r="D16" s="9">
        <v>9076000</v>
      </c>
      <c r="E16" s="9">
        <v>10215644.3190575</v>
      </c>
      <c r="F16" s="9">
        <v>9078400</v>
      </c>
      <c r="G16" s="8">
        <v>43648.708333333299</v>
      </c>
      <c r="H16" s="9">
        <v>1139644.3190574599</v>
      </c>
      <c r="I16" s="18">
        <v>1.1255668046559599</v>
      </c>
      <c r="J16" s="9">
        <v>1137244.3190574599</v>
      </c>
      <c r="K16" s="18">
        <v>1.12526924557824</v>
      </c>
      <c r="L16" s="12" t="s">
        <v>353</v>
      </c>
      <c r="M16" s="18">
        <v>1.1952380952381001</v>
      </c>
      <c r="N16" s="18">
        <v>0.98502024164986202</v>
      </c>
      <c r="O16" s="8">
        <v>43700.5</v>
      </c>
      <c r="P16" s="8">
        <v>43696.416666666701</v>
      </c>
      <c r="Q16" s="8">
        <v>43650.583333333299</v>
      </c>
      <c r="R16" s="8">
        <v>43707.583333333299</v>
      </c>
      <c r="S16" s="8">
        <v>43696.416666666701</v>
      </c>
      <c r="T16" s="8">
        <v>43683.708333333299</v>
      </c>
      <c r="U16" s="8">
        <v>43686.708333333299</v>
      </c>
      <c r="V16" s="8">
        <v>43671.625</v>
      </c>
      <c r="W16" s="8">
        <v>43663.416666666701</v>
      </c>
      <c r="X16" s="9">
        <v>10425255.6809425</v>
      </c>
      <c r="Y16" s="9">
        <v>10275318.591914801</v>
      </c>
      <c r="Z16" s="9">
        <v>10275002.17001</v>
      </c>
      <c r="AA16" s="9">
        <v>10205251.3665256</v>
      </c>
      <c r="AB16" s="9">
        <v>10141791.872400399</v>
      </c>
      <c r="AC16" s="9">
        <v>10079805.993235501</v>
      </c>
      <c r="AD16" s="9">
        <v>10275255.294146899</v>
      </c>
      <c r="AE16" s="9">
        <v>10260616.6282993</v>
      </c>
      <c r="AF16" s="21">
        <f t="shared" si="0"/>
        <v>1.1952380952381001</v>
      </c>
      <c r="AG16" s="21">
        <f t="shared" si="1"/>
        <v>1.12526924557824</v>
      </c>
      <c r="AH16" s="21">
        <f t="shared" si="2"/>
        <v>1.1255668046559599</v>
      </c>
      <c r="AI16" s="21">
        <f t="shared" si="3"/>
        <v>0.98502024164986202</v>
      </c>
      <c r="AJ16" s="19">
        <v>41</v>
      </c>
      <c r="AK16" s="21">
        <f t="shared" si="4"/>
        <v>1.12526924557824</v>
      </c>
      <c r="AL16" s="19">
        <v>1</v>
      </c>
      <c r="AM16" s="21">
        <f t="shared" si="5"/>
        <v>1.1952380952381001</v>
      </c>
      <c r="AN16" s="19">
        <v>1</v>
      </c>
    </row>
    <row r="17" spans="1:40" x14ac:dyDescent="0.35">
      <c r="A17" s="12" t="s">
        <v>256</v>
      </c>
      <c r="B17" s="8">
        <v>43591.708333333299</v>
      </c>
      <c r="C17" s="8">
        <v>43612.708333333299</v>
      </c>
      <c r="D17" s="9">
        <v>9255000</v>
      </c>
      <c r="E17" s="9">
        <v>10661005.170345301</v>
      </c>
      <c r="F17" s="9">
        <v>9726400</v>
      </c>
      <c r="G17" s="8">
        <v>43658.5</v>
      </c>
      <c r="H17" s="9">
        <v>1406005.1703453099</v>
      </c>
      <c r="I17" s="18">
        <v>1.1519184408801</v>
      </c>
      <c r="J17" s="9">
        <v>934605.17034530605</v>
      </c>
      <c r="K17" s="18">
        <v>1.096089526479</v>
      </c>
      <c r="L17" s="12" t="s">
        <v>354</v>
      </c>
      <c r="M17" s="18">
        <v>1.14888888888889</v>
      </c>
      <c r="N17" s="18">
        <v>0.99702884184160401</v>
      </c>
      <c r="O17" s="8">
        <v>43691.375</v>
      </c>
      <c r="P17" s="8">
        <v>43685.625</v>
      </c>
      <c r="Q17" s="8">
        <v>43651.5</v>
      </c>
      <c r="R17" s="8">
        <v>43697.666666666701</v>
      </c>
      <c r="S17" s="8">
        <v>43685.625</v>
      </c>
      <c r="T17" s="8">
        <v>43679.375</v>
      </c>
      <c r="U17" s="8">
        <v>43698.5</v>
      </c>
      <c r="V17" s="8">
        <v>43686.5</v>
      </c>
      <c r="W17" s="8">
        <v>43679.666666666701</v>
      </c>
      <c r="X17" s="9">
        <v>10627894.829654699</v>
      </c>
      <c r="Y17" s="9">
        <v>10548864.5960724</v>
      </c>
      <c r="Z17" s="9">
        <v>10509003.0017941</v>
      </c>
      <c r="AA17" s="9">
        <v>10511066.6795834</v>
      </c>
      <c r="AB17" s="9">
        <v>10440395.511213399</v>
      </c>
      <c r="AC17" s="9">
        <v>10442278.275111301</v>
      </c>
      <c r="AD17" s="9">
        <v>10540570.6994175</v>
      </c>
      <c r="AE17" s="9">
        <v>10541016.472480901</v>
      </c>
      <c r="AF17" s="21">
        <f t="shared" si="0"/>
        <v>1.14888888888889</v>
      </c>
      <c r="AG17" s="21">
        <f t="shared" si="1"/>
        <v>1.096089526479</v>
      </c>
      <c r="AH17" s="21">
        <f t="shared" si="2"/>
        <v>1.1519184408801</v>
      </c>
      <c r="AI17" s="21">
        <f t="shared" si="3"/>
        <v>0.99702884184160401</v>
      </c>
      <c r="AJ17" s="19">
        <v>33.4</v>
      </c>
      <c r="AK17" s="21">
        <f t="shared" si="4"/>
        <v>1.096089526479</v>
      </c>
      <c r="AL17" s="19">
        <v>1</v>
      </c>
      <c r="AM17" s="21">
        <f t="shared" si="5"/>
        <v>1.14888888888889</v>
      </c>
      <c r="AN17" s="19">
        <v>1</v>
      </c>
    </row>
    <row r="18" spans="1:40" x14ac:dyDescent="0.35">
      <c r="A18" s="12" t="s">
        <v>259</v>
      </c>
      <c r="B18" s="8">
        <v>43612.708333333299</v>
      </c>
      <c r="C18" s="8">
        <v>43633.708333333299</v>
      </c>
      <c r="D18" s="9">
        <v>9712000</v>
      </c>
      <c r="E18" s="9">
        <v>10941932.9893589</v>
      </c>
      <c r="F18" s="9">
        <v>9970800</v>
      </c>
      <c r="G18" s="8">
        <v>43691.666666666701</v>
      </c>
      <c r="H18" s="9">
        <v>1229932.9893589001</v>
      </c>
      <c r="I18" s="18">
        <v>1.12664054668028</v>
      </c>
      <c r="J18" s="9">
        <v>971132.98935890198</v>
      </c>
      <c r="K18" s="18">
        <v>1.09739770022053</v>
      </c>
      <c r="L18" s="12" t="s">
        <v>355</v>
      </c>
      <c r="M18" s="18">
        <v>1.1744791666666701</v>
      </c>
      <c r="N18" s="18">
        <v>0.99994818271500097</v>
      </c>
      <c r="O18" s="8">
        <v>43697.708333333299</v>
      </c>
      <c r="P18" s="8">
        <v>43693.708333333299</v>
      </c>
      <c r="Q18" s="8">
        <v>43658.666666666701</v>
      </c>
      <c r="R18" s="8">
        <v>43703.583333333299</v>
      </c>
      <c r="S18" s="8">
        <v>43693.708333333299</v>
      </c>
      <c r="T18" s="8">
        <v>43690.375</v>
      </c>
      <c r="U18" s="8">
        <v>43686.375</v>
      </c>
      <c r="V18" s="8">
        <v>43678.5</v>
      </c>
      <c r="W18" s="8">
        <v>43675.583333333299</v>
      </c>
      <c r="X18" s="9">
        <v>10591367.0106411</v>
      </c>
      <c r="Y18" s="9">
        <v>10536289.6219633</v>
      </c>
      <c r="Z18" s="9">
        <v>10521611.8915741</v>
      </c>
      <c r="AA18" s="9">
        <v>10499176.3460891</v>
      </c>
      <c r="AB18" s="9">
        <v>10472725.501997501</v>
      </c>
      <c r="AC18" s="9">
        <v>10452281.1858845</v>
      </c>
      <c r="AD18" s="9">
        <v>10533291.827790501</v>
      </c>
      <c r="AE18" s="9">
        <v>10528455.6497855</v>
      </c>
      <c r="AF18" s="21">
        <f t="shared" si="0"/>
        <v>1.1744791666666701</v>
      </c>
      <c r="AG18" s="21">
        <f t="shared" si="1"/>
        <v>1.09739770022053</v>
      </c>
      <c r="AH18" s="21">
        <f t="shared" si="2"/>
        <v>1.12664054668028</v>
      </c>
      <c r="AI18" s="21">
        <f t="shared" si="3"/>
        <v>0.99994818271500097</v>
      </c>
      <c r="AJ18" s="19">
        <v>41.875</v>
      </c>
      <c r="AK18" s="21">
        <f t="shared" si="4"/>
        <v>1.09739770022053</v>
      </c>
      <c r="AL18" s="19">
        <v>1</v>
      </c>
      <c r="AM18" s="21">
        <f t="shared" si="5"/>
        <v>1.1744791666666701</v>
      </c>
      <c r="AN18" s="19">
        <v>1</v>
      </c>
    </row>
    <row r="19" spans="1:40" x14ac:dyDescent="0.35">
      <c r="A19" s="12" t="s">
        <v>265</v>
      </c>
      <c r="B19" s="8">
        <v>43633.708333333299</v>
      </c>
      <c r="C19" s="8">
        <v>43654.708333333299</v>
      </c>
      <c r="D19" s="9">
        <v>10457500</v>
      </c>
      <c r="E19" s="9">
        <v>11191337.210685</v>
      </c>
      <c r="F19" s="9">
        <v>10155800</v>
      </c>
      <c r="G19" s="8">
        <v>43726.625</v>
      </c>
      <c r="H19" s="9">
        <v>733837.21068501496</v>
      </c>
      <c r="I19" s="18">
        <v>1.0701732929175201</v>
      </c>
      <c r="J19" s="9">
        <v>1035537.21068501</v>
      </c>
      <c r="K19" s="18">
        <v>1.1019651047367001</v>
      </c>
      <c r="L19" s="12" t="s">
        <v>356</v>
      </c>
      <c r="M19" s="18">
        <v>1.20294117647059</v>
      </c>
      <c r="N19" s="18">
        <v>0.99998545420051099</v>
      </c>
      <c r="O19" s="8">
        <v>43717.625</v>
      </c>
      <c r="P19" s="8">
        <v>43714.708333333299</v>
      </c>
      <c r="Q19" s="8">
        <v>43677.458333333299</v>
      </c>
      <c r="R19" s="8">
        <v>43720.375</v>
      </c>
      <c r="S19" s="8">
        <v>43714.708333333299</v>
      </c>
      <c r="T19" s="8">
        <v>43710.708333333299</v>
      </c>
      <c r="U19" s="8">
        <v>43672.416666666701</v>
      </c>
      <c r="V19" s="8">
        <v>43669.708333333299</v>
      </c>
      <c r="W19" s="8">
        <v>43668.708333333299</v>
      </c>
      <c r="X19" s="9">
        <v>10526962.789315</v>
      </c>
      <c r="Y19" s="9">
        <v>10492619.004267501</v>
      </c>
      <c r="Z19" s="9">
        <v>10502624.941129999</v>
      </c>
      <c r="AA19" s="9">
        <v>10464346.0840271</v>
      </c>
      <c r="AB19" s="9">
        <v>10470533.1432177</v>
      </c>
      <c r="AC19" s="9">
        <v>10435796.238266399</v>
      </c>
      <c r="AD19" s="9">
        <v>10494573.736013301</v>
      </c>
      <c r="AE19" s="9">
        <v>10486557.364168899</v>
      </c>
      <c r="AF19" s="21">
        <f t="shared" si="0"/>
        <v>1.20294117647059</v>
      </c>
      <c r="AG19" s="21">
        <f t="shared" si="1"/>
        <v>1.1019651047367001</v>
      </c>
      <c r="AH19" s="21">
        <f t="shared" si="2"/>
        <v>1.0701732929175201</v>
      </c>
      <c r="AI19" s="21">
        <f t="shared" si="3"/>
        <v>0.99998545420051099</v>
      </c>
      <c r="AJ19" s="19">
        <v>51.75</v>
      </c>
      <c r="AK19" s="21">
        <f t="shared" si="4"/>
        <v>1.1019651047367001</v>
      </c>
      <c r="AL19" s="19">
        <v>1</v>
      </c>
      <c r="AM19" s="21">
        <f t="shared" si="5"/>
        <v>1.20294117647059</v>
      </c>
      <c r="AN19" s="19">
        <v>1</v>
      </c>
    </row>
    <row r="20" spans="1:40" x14ac:dyDescent="0.35">
      <c r="A20" s="12" t="s">
        <v>271</v>
      </c>
      <c r="B20" s="8">
        <v>43654.708333333299</v>
      </c>
      <c r="C20" s="8">
        <v>43675.708333333299</v>
      </c>
      <c r="D20" s="9">
        <v>10847500</v>
      </c>
      <c r="E20" s="9">
        <v>11484360.4528904</v>
      </c>
      <c r="F20" s="9">
        <v>10575800</v>
      </c>
      <c r="G20" s="8">
        <v>43741.416666666701</v>
      </c>
      <c r="H20" s="9">
        <v>636860.452890396</v>
      </c>
      <c r="I20" s="18">
        <v>1.0587103436635501</v>
      </c>
      <c r="J20" s="9">
        <v>908560.452890396</v>
      </c>
      <c r="K20" s="18">
        <v>1.0859093830150299</v>
      </c>
      <c r="L20" s="12" t="s">
        <v>357</v>
      </c>
      <c r="M20" s="18">
        <v>1.175</v>
      </c>
      <c r="N20" s="18">
        <v>0.999900783848365</v>
      </c>
      <c r="O20" s="8">
        <v>43720.458333333299</v>
      </c>
      <c r="P20" s="8">
        <v>43720.416666666701</v>
      </c>
      <c r="Q20" s="8">
        <v>43686.458333333299</v>
      </c>
      <c r="R20" s="8">
        <v>43724.375</v>
      </c>
      <c r="S20" s="8">
        <v>43720.416666666701</v>
      </c>
      <c r="T20" s="8">
        <v>43717.625</v>
      </c>
      <c r="U20" s="8">
        <v>43678.625</v>
      </c>
      <c r="V20" s="8">
        <v>43678.458333333299</v>
      </c>
      <c r="W20" s="8">
        <v>43678.375</v>
      </c>
      <c r="X20" s="9">
        <v>10653939.5471096</v>
      </c>
      <c r="Y20" s="9">
        <v>10647757.7050643</v>
      </c>
      <c r="Z20" s="9">
        <v>10649606.3508846</v>
      </c>
      <c r="AA20" s="9">
        <v>10642301.742220899</v>
      </c>
      <c r="AB20" s="9">
        <v>10643767.320329901</v>
      </c>
      <c r="AC20" s="9">
        <v>10637040.600054801</v>
      </c>
      <c r="AD20" s="9">
        <v>10648119.988370899</v>
      </c>
      <c r="AE20" s="9">
        <v>10646596.049437599</v>
      </c>
      <c r="AF20" s="21">
        <f t="shared" si="0"/>
        <v>1.175</v>
      </c>
      <c r="AG20" s="21">
        <f t="shared" si="1"/>
        <v>1.0859093830150299</v>
      </c>
      <c r="AH20" s="21">
        <f t="shared" si="2"/>
        <v>1.0587103436635501</v>
      </c>
      <c r="AI20" s="21">
        <f t="shared" si="3"/>
        <v>0.999900783848365</v>
      </c>
      <c r="AJ20" s="19">
        <v>47.25</v>
      </c>
      <c r="AK20" s="21">
        <f t="shared" si="4"/>
        <v>1.0859093830150299</v>
      </c>
      <c r="AL20" s="19">
        <v>1</v>
      </c>
      <c r="AM20" s="21">
        <f t="shared" si="5"/>
        <v>1.175</v>
      </c>
      <c r="AN20" s="19">
        <v>1</v>
      </c>
    </row>
    <row r="21" spans="1:40" x14ac:dyDescent="0.35">
      <c r="A21" s="12" t="s">
        <v>276</v>
      </c>
      <c r="B21" s="8">
        <v>43675.708333333299</v>
      </c>
      <c r="C21" s="8">
        <v>43696.708333333299</v>
      </c>
      <c r="D21" s="9">
        <v>10967500</v>
      </c>
      <c r="E21" s="9">
        <v>11562500</v>
      </c>
      <c r="F21" s="9">
        <v>10687800</v>
      </c>
      <c r="G21" s="8">
        <v>43745.708333333299</v>
      </c>
      <c r="H21" s="9">
        <v>595000</v>
      </c>
      <c r="I21" s="18">
        <v>1.0542511967175701</v>
      </c>
      <c r="J21" s="9">
        <v>874700</v>
      </c>
      <c r="K21" s="18">
        <v>1.0818409775632001</v>
      </c>
      <c r="L21" s="12" t="s">
        <v>358</v>
      </c>
      <c r="M21" s="18">
        <v>1.12280701754386</v>
      </c>
      <c r="N21" s="18">
        <v>1</v>
      </c>
      <c r="O21" s="8">
        <v>43721.5</v>
      </c>
      <c r="P21" s="8">
        <v>43721.5</v>
      </c>
      <c r="Q21" s="8">
        <v>43690.583333333299</v>
      </c>
      <c r="R21" s="8">
        <v>43724.5</v>
      </c>
      <c r="S21" s="8">
        <v>43721.5</v>
      </c>
      <c r="T21" s="8">
        <v>43720.375</v>
      </c>
      <c r="U21" s="8">
        <v>43696.708333333299</v>
      </c>
      <c r="V21" s="8">
        <v>43696.708333333299</v>
      </c>
      <c r="W21" s="8">
        <v>43696.708333333299</v>
      </c>
      <c r="X21" s="9">
        <v>10687800</v>
      </c>
      <c r="Y21" s="9">
        <v>10687800</v>
      </c>
      <c r="Z21" s="9">
        <v>10687800</v>
      </c>
      <c r="AA21" s="9">
        <v>10687800</v>
      </c>
      <c r="AB21" s="9">
        <v>10687800</v>
      </c>
      <c r="AC21" s="9">
        <v>10687800</v>
      </c>
      <c r="AD21" s="9">
        <v>10687800</v>
      </c>
      <c r="AE21" s="9">
        <v>10687800</v>
      </c>
      <c r="AF21" s="21">
        <f t="shared" si="0"/>
        <v>1.12280701754386</v>
      </c>
      <c r="AG21" s="21">
        <f t="shared" si="1"/>
        <v>1.0818409775632001</v>
      </c>
      <c r="AH21" s="21">
        <f t="shared" si="2"/>
        <v>1.0542511967175701</v>
      </c>
      <c r="AI21" s="19">
        <f t="shared" si="3"/>
        <v>1</v>
      </c>
      <c r="AJ21" s="19">
        <v>35</v>
      </c>
      <c r="AK21" s="21">
        <f t="shared" si="4"/>
        <v>1.0818409775632001</v>
      </c>
      <c r="AL21" s="19">
        <v>1</v>
      </c>
      <c r="AM21" s="21">
        <f t="shared" si="5"/>
        <v>1.12280701754386</v>
      </c>
      <c r="AN21" s="19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O14" sqref="O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P16" sqref="P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>
      <selection activeCell="O13" sqref="O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O15" sqref="O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>
      <selection activeCell="M25" sqref="M2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TP14</vt:lpstr>
      <vt:lpstr>TP15</vt:lpstr>
      <vt:lpstr>TP16</vt:lpstr>
      <vt:lpstr>TP17</vt:lpstr>
      <vt:lpstr>TP18</vt:lpstr>
      <vt:lpstr>TP19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Christiaens</dc:creator>
  <cp:lastModifiedBy>Amin Azimi</cp:lastModifiedBy>
  <dcterms:created xsi:type="dcterms:W3CDTF">2019-11-27T12:11:20Z</dcterms:created>
  <dcterms:modified xsi:type="dcterms:W3CDTF">2026-08-24T12:50:11Z</dcterms:modified>
</cp:coreProperties>
</file>