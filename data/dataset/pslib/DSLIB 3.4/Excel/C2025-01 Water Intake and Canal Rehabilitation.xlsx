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9F4E8301-C817-4161-A2E0-49201647D9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10" r:id="rId5"/>
    <sheet name="TP3" sheetId="11" r:id="rId6"/>
    <sheet name="TP4" sheetId="12" r:id="rId7"/>
    <sheet name="Agenda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10" l="1"/>
  <c r="S73" i="5"/>
  <c r="S59" i="11"/>
  <c r="U59" i="11"/>
  <c r="U58" i="11"/>
  <c r="S58" i="11"/>
  <c r="S54" i="10"/>
  <c r="S36" i="10"/>
  <c r="S18" i="5"/>
</calcChain>
</file>

<file path=xl/sharedStrings.xml><?xml version="1.0" encoding="utf-8"?>
<sst xmlns="http://schemas.openxmlformats.org/spreadsheetml/2006/main" count="1087" uniqueCount="309">
  <si>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</si>
  <si>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</si>
  <si>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</si>
  <si>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</si>
  <si>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</si>
  <si>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</si>
  <si>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</si>
  <si>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</si>
  <si>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</si>
  <si>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</si>
  <si>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</si>
  <si>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</si>
  <si>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</si>
  <si>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</si>
  <si>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</si>
  <si>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</si>
  <si>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</si>
  <si>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</si>
  <si>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</si>
  <si>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</si>
  <si>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</si>
  <si>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</si>
  <si>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</si>
  <si>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</si>
  <si>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</si>
  <si>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</si>
  <si>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</si>
  <si>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</si>
  <si>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</si>
  <si>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</si>
  <si>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</si>
  <si>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</si>
  <si>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</si>
  <si>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</si>
  <si>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</si>
  <si>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</si>
  <si>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</si>
  <si>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</si>
  <si>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</si>
  <si>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</si>
  <si>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</si>
  <si>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</si>
  <si>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</si>
  <si>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</si>
  <si>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</si>
  <si>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</si>
  <si>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</si>
  <si>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</si>
  <si>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</si>
  <si>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</si>
  <si>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</si>
  <si>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</si>
  <si>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</si>
  <si>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</si>
  <si>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</si>
  <si>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</si>
  <si>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</si>
  <si>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</si>
  <si>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</si>
  <si>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</si>
  <si>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</si>
  <si>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</si>
  <si>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</si>
  <si>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</si>
  <si>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</si>
  <si>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</si>
  <si>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</si>
  <si>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</si>
  <si>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</si>
  <si>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</si>
  <si>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</si>
  <si>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</si>
  <si>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</si>
  <si>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</si>
  <si>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</si>
  <si>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</si>
  <si>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</si>
  <si>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</si>
  <si>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</si>
  <si>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</si>
  <si>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</si>
  <si>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</si>
  <si>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</si>
  <si>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</si>
  <si>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</si>
  <si>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</si>
  <si>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</si>
  <si>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</si>
  <si>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</si>
  <si>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</si>
  <si>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</si>
  <si>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</si>
  <si>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</si>
  <si>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</si>
  <si>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</si>
  <si>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</si>
  <si>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1.1</t>
  </si>
  <si>
    <t>1d</t>
  </si>
  <si>
    <t>carpenter [1,00 #8]</t>
  </si>
  <si>
    <t>1.2</t>
  </si>
  <si>
    <t>1.2.1</t>
  </si>
  <si>
    <t>1.3</t>
  </si>
  <si>
    <t>1.3.1</t>
  </si>
  <si>
    <t>SEGURIDAD Y SALUD</t>
  </si>
  <si>
    <t>1.4</t>
  </si>
  <si>
    <t>1.4.1</t>
  </si>
  <si>
    <t>1.4.2</t>
  </si>
  <si>
    <t>CAPACITACION EN SEGURIDAD Y SALUD</t>
  </si>
  <si>
    <t>1.4.3</t>
  </si>
  <si>
    <t>team subcontractor[2,00 #8]</t>
  </si>
  <si>
    <t>FLETE</t>
  </si>
  <si>
    <t>mason [2,00 #8]</t>
  </si>
  <si>
    <t>steel worker [1,00 #8]</t>
  </si>
  <si>
    <t>2d</t>
  </si>
  <si>
    <t>29FS</t>
  </si>
  <si>
    <t>team subcontractor[1,00 #8]</t>
  </si>
  <si>
    <t>TRABAJOS PRELIMINARES</t>
  </si>
  <si>
    <t>MOVIMIENTO DE TIERRAS</t>
  </si>
  <si>
    <t>36FS</t>
  </si>
  <si>
    <t>steel worker [2,00 #8]</t>
  </si>
  <si>
    <t>ELIMINACION DE MATERIAL EXCEDENTE</t>
  </si>
  <si>
    <t>OBRAS DE CONCRETO SIMPLE</t>
  </si>
  <si>
    <t>50FS</t>
  </si>
  <si>
    <t>FS69</t>
  </si>
  <si>
    <t>FS68</t>
  </si>
  <si>
    <t>68FS</t>
  </si>
  <si>
    <t>72FS</t>
  </si>
  <si>
    <t>3d</t>
  </si>
  <si>
    <t>VARIOS</t>
  </si>
  <si>
    <t>4d</t>
  </si>
  <si>
    <t>12 people</t>
  </si>
  <si>
    <t>steel worker</t>
  </si>
  <si>
    <t>REPARACION DE BOCATOMA, DESARENADOR Y CANAL DE RIEGO; EN EL(LA) SISTEMA DE RIEGO PATE</t>
  </si>
  <si>
    <t>CARTEL DE IDENTIFICACION DE LA OBRA (2.50mx1.80m)</t>
  </si>
  <si>
    <t>FS3</t>
  </si>
  <si>
    <t>ALQUILER DEL LOCAL PARA LA OBRA</t>
  </si>
  <si>
    <t>2FS</t>
  </si>
  <si>
    <t>FS6</t>
  </si>
  <si>
    <t xml:space="preserve">RECONSTRUSSIÓN DE BOCATOMA </t>
  </si>
  <si>
    <t xml:space="preserve">TRAZO NIVEL Y REPLANTEO </t>
  </si>
  <si>
    <t>1.2.1.1</t>
  </si>
  <si>
    <t>3FS</t>
  </si>
  <si>
    <t>FS8-1d; FS65</t>
  </si>
  <si>
    <t>1.2.2</t>
  </si>
  <si>
    <t>EXCAVACION MANUAL PARA ESTRUCTURA EN TERRENO NORMAL</t>
  </si>
  <si>
    <t>1.2.2.1</t>
  </si>
  <si>
    <t>6FS-1d</t>
  </si>
  <si>
    <t>FS9-2d</t>
  </si>
  <si>
    <t>EXCAVACION EN ROCA FIJA</t>
  </si>
  <si>
    <t>1.2.2.2</t>
  </si>
  <si>
    <t>8FS-2d</t>
  </si>
  <si>
    <t>FS10-2d; FS11</t>
  </si>
  <si>
    <t>mason [3,00 #8]</t>
  </si>
  <si>
    <t>NIVELACION INTERIOR Y APISONADO MANUAL</t>
  </si>
  <si>
    <t>1.2.2.3</t>
  </si>
  <si>
    <t>9FS-2d</t>
  </si>
  <si>
    <t>FS17-3d</t>
  </si>
  <si>
    <t>mason [1,00 #8]</t>
  </si>
  <si>
    <t>1.2.2.4</t>
  </si>
  <si>
    <t>9FS</t>
  </si>
  <si>
    <t>team subcontractor[3,00 #8]</t>
  </si>
  <si>
    <t>1.2.3</t>
  </si>
  <si>
    <t>ENCOFRADO Y DESENCOFRADO</t>
  </si>
  <si>
    <t>1.2.3.1</t>
  </si>
  <si>
    <t>17FS-2d</t>
  </si>
  <si>
    <t>FS14-5d</t>
  </si>
  <si>
    <t>CONCRETO EN COLCHON DISIPADOR f'c=210 kg/cm2</t>
  </si>
  <si>
    <t>1.2.3.2</t>
  </si>
  <si>
    <t>13FS-5d</t>
  </si>
  <si>
    <t>FS15-2d;FS19;FS21-7d;FS23;FS29</t>
  </si>
  <si>
    <t>CONCRETO EN MUROS f'c=175 kg/cm2</t>
  </si>
  <si>
    <t>1.2.3.3</t>
  </si>
  <si>
    <t>14FS-2d</t>
  </si>
  <si>
    <t>FS16-3d</t>
  </si>
  <si>
    <t>mason [4,00 #8]</t>
  </si>
  <si>
    <t>CONCRETO CIPLOPEO EN BARRAJE FIJO f'c=175 kg/cm2 + 30 DE P. M</t>
  </si>
  <si>
    <t>1.2.3.4</t>
  </si>
  <si>
    <t>15FS-3d</t>
  </si>
  <si>
    <t>ACERO FY= 4200 KG/CM2</t>
  </si>
  <si>
    <t>1.2.3.5</t>
  </si>
  <si>
    <t>10FS-3d</t>
  </si>
  <si>
    <t>FS13-2d</t>
  </si>
  <si>
    <t>JUNTAS DE DILATACION</t>
  </si>
  <si>
    <t>1.2.4</t>
  </si>
  <si>
    <t>JUNTAS DE WATERSTOP 6"</t>
  </si>
  <si>
    <t>1.2.4.1</t>
  </si>
  <si>
    <t>14FS</t>
  </si>
  <si>
    <t xml:space="preserve">CURADO DE CONCRETO </t>
  </si>
  <si>
    <t>1.2.5</t>
  </si>
  <si>
    <t>CURADO DE CONCRETO</t>
  </si>
  <si>
    <t>1.2.5.1</t>
  </si>
  <si>
    <t>14FS-7d</t>
  </si>
  <si>
    <t>REVESTIMIENTOS</t>
  </si>
  <si>
    <t>1.2.6</t>
  </si>
  <si>
    <t>TARRAJEO CON IMPERMEABILIZANTES</t>
  </si>
  <si>
    <t>1.2.6.1</t>
  </si>
  <si>
    <t>FS25-2d</t>
  </si>
  <si>
    <t>1.2.7</t>
  </si>
  <si>
    <t>REJILLA METALICA 0.30m x 0.25m</t>
  </si>
  <si>
    <t>1.2.7.1</t>
  </si>
  <si>
    <t>23FS-2d</t>
  </si>
  <si>
    <t>FS26-2d</t>
  </si>
  <si>
    <t>COMPUERTA METALICA 1.45 m x 0.60 m</t>
  </si>
  <si>
    <t>1.2.7.2</t>
  </si>
  <si>
    <t>25FS-2d</t>
  </si>
  <si>
    <t>RECONSTRUSSION DEL DESARENADOR</t>
  </si>
  <si>
    <t>TRAZO, NIVELACION Y REPLANTEO</t>
  </si>
  <si>
    <t>1.3.1.1</t>
  </si>
  <si>
    <t>FS31; FS49</t>
  </si>
  <si>
    <t>1.3.2</t>
  </si>
  <si>
    <t>1.3.2.1</t>
  </si>
  <si>
    <t>FS32-4d;FS33-2d;FS38</t>
  </si>
  <si>
    <t>1.3.2.2</t>
  </si>
  <si>
    <t>31FS-4d</t>
  </si>
  <si>
    <t>1.3.2.3</t>
  </si>
  <si>
    <t>31FS-2d</t>
  </si>
  <si>
    <t>1.3.3</t>
  </si>
  <si>
    <t>1.3.3.1</t>
  </si>
  <si>
    <t>38FS-2d</t>
  </si>
  <si>
    <t>36FS-2d</t>
  </si>
  <si>
    <t>carpenter [2,00 #8]</t>
  </si>
  <si>
    <t>CONCRETO CICLOPEO FS=175KG/CM2   + 30 % PM.</t>
  </si>
  <si>
    <t>1.3.3.2</t>
  </si>
  <si>
    <t>35FS-2d</t>
  </si>
  <si>
    <t>FS37-2d; FS40</t>
  </si>
  <si>
    <t>1.3.3.3</t>
  </si>
  <si>
    <t>FS42;FS44</t>
  </si>
  <si>
    <t>1.3.3.4</t>
  </si>
  <si>
    <t>31FS</t>
  </si>
  <si>
    <t>FS35-2d</t>
  </si>
  <si>
    <t>1.3.4</t>
  </si>
  <si>
    <t>1.3.4.1</t>
  </si>
  <si>
    <t>1.3.5</t>
  </si>
  <si>
    <t>1.3.5.1</t>
  </si>
  <si>
    <t>37FS</t>
  </si>
  <si>
    <t>1.3.6</t>
  </si>
  <si>
    <t>1.3.6.1</t>
  </si>
  <si>
    <t>FS46-2d</t>
  </si>
  <si>
    <t>6d</t>
  </si>
  <si>
    <t>1.3.7</t>
  </si>
  <si>
    <t>COMPUERTA METALICA 0.50m x 0.50m,h=0.95 m</t>
  </si>
  <si>
    <t>1.3.7.1</t>
  </si>
  <si>
    <t>44FS-2d</t>
  </si>
  <si>
    <t>RECONSTRUSSION DEL CANAL DE CONCRETO</t>
  </si>
  <si>
    <t>LIMPIEZA Y DESBROCE DEL TERRENO</t>
  </si>
  <si>
    <t>1.4.1.1</t>
  </si>
  <si>
    <t>FS50-5d</t>
  </si>
  <si>
    <t>10d</t>
  </si>
  <si>
    <t>1.4.1.2</t>
  </si>
  <si>
    <t>49FS-5d</t>
  </si>
  <si>
    <t>EXCAVACION DE ZANJA EN MATERIAL SUELTO</t>
  </si>
  <si>
    <t>1.4.2.1</t>
  </si>
  <si>
    <t>FS53-20d; FS54-20d</t>
  </si>
  <si>
    <t>30d</t>
  </si>
  <si>
    <t>REFINE Y COMPACTACION EN ZANJAS</t>
  </si>
  <si>
    <t>1.4.2.2</t>
  </si>
  <si>
    <t>52FS-20d</t>
  </si>
  <si>
    <t>FS56-18d</t>
  </si>
  <si>
    <t>22d</t>
  </si>
  <si>
    <t>1.4.2.3</t>
  </si>
  <si>
    <t>FS72-7d</t>
  </si>
  <si>
    <t>OBRAS DE CONCRETO</t>
  </si>
  <si>
    <t>1.4.3.1</t>
  </si>
  <si>
    <t>53FS-18d</t>
  </si>
  <si>
    <t>FS57-20d</t>
  </si>
  <si>
    <t>20d</t>
  </si>
  <si>
    <t>1.4.3.2</t>
  </si>
  <si>
    <t>56FS-20d</t>
  </si>
  <si>
    <t>FS59-20d;FS61-5d;FS63-21d</t>
  </si>
  <si>
    <t>1.4.4</t>
  </si>
  <si>
    <t>1.4.4.1</t>
  </si>
  <si>
    <t>57FS-20d</t>
  </si>
  <si>
    <t>1.4.5</t>
  </si>
  <si>
    <t>JUNTA ASFALTICA</t>
  </si>
  <si>
    <t>1.4.5.1</t>
  </si>
  <si>
    <t>57FS-5d</t>
  </si>
  <si>
    <t>1.4.6</t>
  </si>
  <si>
    <t>1.4.6.1</t>
  </si>
  <si>
    <t>57FS-21d</t>
  </si>
  <si>
    <t>1.4.7</t>
  </si>
  <si>
    <t>EQUIPO DE SEGURIDAD INDIVIDUAL</t>
  </si>
  <si>
    <t>1.4.7.1</t>
  </si>
  <si>
    <t>6FS</t>
  </si>
  <si>
    <t>FS66-5d</t>
  </si>
  <si>
    <t>1.4.7.2</t>
  </si>
  <si>
    <t>66FS-5d</t>
  </si>
  <si>
    <t>1.4.8</t>
  </si>
  <si>
    <t>FLETE DE TRANSPORTE TERRESTRE</t>
  </si>
  <si>
    <t>1.4.8.1</t>
  </si>
  <si>
    <t>FLETE RURAL (TRANSPORTE CON ACEMILAS)</t>
  </si>
  <si>
    <t>1.4.8.2</t>
  </si>
  <si>
    <t>LIMPIEZA FINAL Y PLACA RECORDATORIA</t>
  </si>
  <si>
    <t>1.4.9</t>
  </si>
  <si>
    <t>LIMPIEZA FINAL</t>
  </si>
  <si>
    <t>1.4.9.1</t>
  </si>
  <si>
    <t>PLACA RECORDATORIA</t>
  </si>
  <si>
    <t>1.4.9.2</t>
  </si>
  <si>
    <t>54FS-7d</t>
  </si>
  <si>
    <t>FS71</t>
  </si>
  <si>
    <t>4 people</t>
  </si>
  <si>
    <t xml:space="preserve">RECONSTRUCCIÓN DE BOCATOMA </t>
  </si>
  <si>
    <t>RECONSTRUCCION DEL DESARENADOR</t>
  </si>
  <si>
    <t>CONCRETO CICLOPEO FC=175KG/CM2   + 30 % PM.</t>
  </si>
  <si>
    <t>RECONSTRUCCION DEL CANAL DE CONCRETO</t>
  </si>
  <si>
    <t>8d</t>
  </si>
  <si>
    <t>FS36-2d</t>
  </si>
  <si>
    <t>FS52</t>
  </si>
  <si>
    <t>66FS</t>
  </si>
  <si>
    <t>21/11/2023  8:00:00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</si>
</sst>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hh:mm"/>
    <numFmt numFmtId="171" formatCode="[$-409]m/d/yy\ h:mm\ AM/PM;@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2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4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wrapText="1"/>
    </xf>
    <xf numFmtId="168" fontId="7" fillId="1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2" fillId="3" borderId="1" xfId="0" applyNumberFormat="1" applyFont="1" applyFill="1" applyBorder="1" applyAlignment="1">
      <alignment horizontal="right" wrapText="1"/>
    </xf>
    <xf numFmtId="165" fontId="7" fillId="9" borderId="2" xfId="4" applyNumberFormat="1" applyFont="1" applyFill="1" applyBorder="1" applyAlignment="1">
      <alignment horizontal="center" vertical="center" wrapText="1"/>
    </xf>
    <xf numFmtId="170" fontId="7" fillId="12" borderId="2" xfId="0" applyNumberFormat="1" applyFont="1" applyFill="1" applyBorder="1" applyAlignment="1">
      <alignment horizontal="left" vertical="top" wrapText="1"/>
    </xf>
    <xf numFmtId="170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wrapText="1"/>
    </xf>
    <xf numFmtId="170" fontId="7" fillId="12" borderId="2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wrapText="1"/>
    </xf>
    <xf numFmtId="165" fontId="0" fillId="0" borderId="0" xfId="0" applyNumberFormat="1"/>
    <xf numFmtId="167" fontId="0" fillId="0" borderId="0" xfId="0" applyNumberFormat="1"/>
    <xf numFmtId="171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5">
    <cellStyle name="Comma 2" xfId="4" xr:uid="{375672D6-26F0-4ED6-BC30-EE26236E2A38}"/>
    <cellStyle name="Normal" xfId="0" builtinId="0"/>
    <cellStyle name="Normal 2" xfId="2" xr:uid="{DF9FD891-92E8-484A-A6A5-A9DF880819DB}"/>
    <cellStyle name="Normal 3" xfId="1" xr:uid="{614A7EFC-AB0C-455B-90BF-5268E25D12FC}"/>
    <cellStyle name="Standaard 2" xfId="3" xr:uid="{7A339F83-A494-4296-B976-106A72037474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zoomScale="115" zoomScaleNormal="115" workbookViewId="0">
      <selection activeCell="J10" sqref="J10"/>
    </sheetView>
  </sheetViews>
  <sheetFormatPr defaultRowHeight="15" x14ac:dyDescent="0.25"/>
  <cols>
    <col min="1" max="1" width="3.7109375" customWidth="1"/>
    <col min="2" max="2" width="25.7109375" customWidth="1"/>
    <col min="3" max="3" width="7.855468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1" width="11.140625" bestFit="1" customWidth="1"/>
    <col min="12" max="12" width="10.7109375" customWidth="1"/>
    <col min="14" max="14" width="12.7109375" customWidth="1"/>
  </cols>
  <sheetData>
    <row r="1" spans="1:17" x14ac:dyDescent="0.25">
      <c r="A1" s="44" t="s">
        <v>0</v>
      </c>
      <c r="B1" s="44"/>
      <c r="C1" s="44"/>
      <c r="D1" s="44" t="s">
        <v>1</v>
      </c>
      <c r="E1" s="44"/>
      <c r="F1" s="44" t="s">
        <v>2</v>
      </c>
      <c r="G1" s="44"/>
      <c r="H1" s="44"/>
      <c r="I1" s="44" t="s">
        <v>3</v>
      </c>
      <c r="J1" s="44"/>
      <c r="K1" s="44" t="s">
        <v>4</v>
      </c>
      <c r="L1" s="44"/>
      <c r="M1" s="44"/>
      <c r="N1" s="44"/>
    </row>
    <row r="2" spans="1:17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33.75" x14ac:dyDescent="0.25">
      <c r="A3" s="14">
        <v>0</v>
      </c>
      <c r="B3" s="14" t="s">
        <v>132</v>
      </c>
      <c r="C3" s="30">
        <v>1</v>
      </c>
      <c r="D3" s="16"/>
      <c r="E3" s="16"/>
      <c r="F3" s="31"/>
      <c r="G3" s="16"/>
      <c r="H3" s="16"/>
      <c r="I3" s="16"/>
      <c r="J3" s="16"/>
      <c r="K3" s="17"/>
      <c r="L3" s="16"/>
      <c r="M3" s="17"/>
      <c r="N3" s="18"/>
      <c r="Q3" s="4"/>
    </row>
    <row r="4" spans="1:17" x14ac:dyDescent="0.25">
      <c r="A4" s="14">
        <v>1</v>
      </c>
      <c r="B4" s="14" t="s">
        <v>116</v>
      </c>
      <c r="C4" s="30" t="s">
        <v>96</v>
      </c>
      <c r="D4" s="19"/>
      <c r="E4" s="19"/>
      <c r="F4" s="31"/>
      <c r="G4" s="16"/>
      <c r="H4" s="16"/>
      <c r="I4" s="16"/>
      <c r="J4" s="16"/>
      <c r="K4" s="17"/>
      <c r="L4" s="16"/>
      <c r="M4" s="17"/>
      <c r="N4" s="18"/>
      <c r="Q4" s="4"/>
    </row>
    <row r="5" spans="1:17" ht="22.5" x14ac:dyDescent="0.25">
      <c r="A5" s="32">
        <v>2</v>
      </c>
      <c r="B5" s="32" t="s">
        <v>133</v>
      </c>
      <c r="C5" s="33" t="s">
        <v>18</v>
      </c>
      <c r="D5" s="20"/>
      <c r="E5" s="20" t="s">
        <v>134</v>
      </c>
      <c r="F5" s="34">
        <v>45231.333333333336</v>
      </c>
      <c r="G5" s="6"/>
      <c r="H5" s="2" t="s">
        <v>97</v>
      </c>
      <c r="I5" s="3" t="s">
        <v>98</v>
      </c>
      <c r="J5" s="6"/>
      <c r="K5" s="7">
        <v>1775.27</v>
      </c>
      <c r="L5" s="6"/>
      <c r="M5" s="7">
        <v>0</v>
      </c>
      <c r="N5" s="6"/>
      <c r="Q5" s="4"/>
    </row>
    <row r="6" spans="1:17" x14ac:dyDescent="0.25">
      <c r="A6" s="32">
        <v>3</v>
      </c>
      <c r="B6" s="32" t="s">
        <v>135</v>
      </c>
      <c r="C6" s="33" t="s">
        <v>21</v>
      </c>
      <c r="D6" s="20" t="s">
        <v>136</v>
      </c>
      <c r="E6" s="20" t="s">
        <v>137</v>
      </c>
      <c r="F6" s="34">
        <v>45231.333333333336</v>
      </c>
      <c r="G6" s="6"/>
      <c r="H6" s="2" t="s">
        <v>113</v>
      </c>
      <c r="I6" s="3" t="s">
        <v>111</v>
      </c>
      <c r="J6" s="6"/>
      <c r="K6" s="7">
        <v>3000</v>
      </c>
      <c r="L6" s="6"/>
      <c r="M6" s="7">
        <v>0</v>
      </c>
      <c r="N6" s="6"/>
      <c r="Q6" s="4"/>
    </row>
    <row r="7" spans="1:17" x14ac:dyDescent="0.25">
      <c r="A7" s="15">
        <v>4</v>
      </c>
      <c r="B7" s="15" t="s">
        <v>138</v>
      </c>
      <c r="C7" s="30" t="s">
        <v>99</v>
      </c>
      <c r="D7" s="25"/>
      <c r="E7" s="19"/>
      <c r="F7" s="31"/>
      <c r="G7" s="21"/>
      <c r="H7" s="21"/>
      <c r="I7" s="21"/>
      <c r="J7" s="21"/>
      <c r="K7" s="21"/>
      <c r="L7" s="21"/>
      <c r="M7" s="21"/>
      <c r="N7" s="21"/>
      <c r="Q7" s="4"/>
    </row>
    <row r="8" spans="1:17" x14ac:dyDescent="0.25">
      <c r="A8" s="14">
        <v>5</v>
      </c>
      <c r="B8" s="14" t="s">
        <v>116</v>
      </c>
      <c r="C8" s="30" t="s">
        <v>100</v>
      </c>
      <c r="D8" s="25"/>
      <c r="E8" s="19"/>
      <c r="F8" s="31"/>
      <c r="G8" s="16"/>
      <c r="H8" s="16"/>
      <c r="I8" s="16"/>
      <c r="J8" s="16"/>
      <c r="K8" s="17"/>
      <c r="L8" s="16"/>
      <c r="M8" s="17"/>
      <c r="N8" s="18"/>
      <c r="Q8" s="4"/>
    </row>
    <row r="9" spans="1:17" x14ac:dyDescent="0.25">
      <c r="A9" s="32">
        <v>6</v>
      </c>
      <c r="B9" s="32" t="s">
        <v>139</v>
      </c>
      <c r="C9" s="33" t="s">
        <v>140</v>
      </c>
      <c r="D9" s="28" t="s">
        <v>141</v>
      </c>
      <c r="E9" s="20" t="s">
        <v>142</v>
      </c>
      <c r="F9" s="34">
        <v>45233.333333333336</v>
      </c>
      <c r="G9" s="6"/>
      <c r="H9" s="2" t="s">
        <v>97</v>
      </c>
      <c r="I9" s="3" t="s">
        <v>109</v>
      </c>
      <c r="J9" s="6"/>
      <c r="K9" s="7">
        <v>254.7</v>
      </c>
      <c r="L9" s="6"/>
      <c r="M9" s="7">
        <v>0</v>
      </c>
      <c r="N9" s="6"/>
      <c r="Q9" s="4"/>
    </row>
    <row r="10" spans="1:17" x14ac:dyDescent="0.25">
      <c r="A10" s="15">
        <v>7</v>
      </c>
      <c r="B10" s="14" t="s">
        <v>117</v>
      </c>
      <c r="C10" s="30" t="s">
        <v>143</v>
      </c>
      <c r="D10" s="16"/>
      <c r="E10" s="31"/>
      <c r="F10" s="31"/>
      <c r="G10" s="16"/>
      <c r="H10" s="16"/>
      <c r="I10" s="16"/>
      <c r="J10" s="16"/>
      <c r="K10" s="17"/>
      <c r="L10" s="16"/>
      <c r="M10" s="17"/>
      <c r="N10" s="18"/>
      <c r="Q10" s="4"/>
    </row>
    <row r="11" spans="1:17" ht="22.5" x14ac:dyDescent="0.25">
      <c r="A11" s="32">
        <v>8</v>
      </c>
      <c r="B11" s="32" t="s">
        <v>144</v>
      </c>
      <c r="C11" s="33" t="s">
        <v>145</v>
      </c>
      <c r="D11" s="20" t="s">
        <v>146</v>
      </c>
      <c r="E11" s="20" t="s">
        <v>147</v>
      </c>
      <c r="F11" s="34">
        <v>45233.333333333336</v>
      </c>
      <c r="G11" s="6"/>
      <c r="H11" s="2" t="s">
        <v>113</v>
      </c>
      <c r="I11" s="3" t="s">
        <v>111</v>
      </c>
      <c r="J11" s="6"/>
      <c r="K11" s="7">
        <v>191.81</v>
      </c>
      <c r="L11" s="6"/>
      <c r="M11" s="7">
        <v>0</v>
      </c>
      <c r="N11" s="6"/>
      <c r="Q11" s="4"/>
    </row>
    <row r="12" spans="1:17" x14ac:dyDescent="0.25">
      <c r="A12" s="32">
        <v>9</v>
      </c>
      <c r="B12" s="32" t="s">
        <v>148</v>
      </c>
      <c r="C12" s="33" t="s">
        <v>149</v>
      </c>
      <c r="D12" s="20" t="s">
        <v>150</v>
      </c>
      <c r="E12" s="20" t="s">
        <v>151</v>
      </c>
      <c r="F12" s="34">
        <v>45233.333333333336</v>
      </c>
      <c r="G12" s="6"/>
      <c r="H12" s="2" t="s">
        <v>129</v>
      </c>
      <c r="I12" s="3" t="s">
        <v>152</v>
      </c>
      <c r="J12" s="6"/>
      <c r="K12" s="7">
        <v>7161.78</v>
      </c>
      <c r="L12" s="6"/>
      <c r="M12" s="7">
        <v>1256.3</v>
      </c>
      <c r="N12" s="6"/>
      <c r="Q12" s="4"/>
    </row>
    <row r="13" spans="1:17" ht="22.5" x14ac:dyDescent="0.25">
      <c r="A13" s="32">
        <v>10</v>
      </c>
      <c r="B13" s="32" t="s">
        <v>153</v>
      </c>
      <c r="C13" s="33" t="s">
        <v>154</v>
      </c>
      <c r="D13" s="20" t="s">
        <v>155</v>
      </c>
      <c r="E13" s="20" t="s">
        <v>156</v>
      </c>
      <c r="F13" s="34">
        <v>45235.333333333336</v>
      </c>
      <c r="G13" s="6"/>
      <c r="H13" s="2" t="s">
        <v>113</v>
      </c>
      <c r="I13" s="3" t="s">
        <v>157</v>
      </c>
      <c r="J13" s="6"/>
      <c r="K13" s="7">
        <v>336.2</v>
      </c>
      <c r="L13" s="6"/>
      <c r="M13" s="7">
        <v>0</v>
      </c>
      <c r="N13" s="6"/>
      <c r="Q13" s="4"/>
    </row>
    <row r="14" spans="1:17" ht="22.5" x14ac:dyDescent="0.25">
      <c r="A14" s="32">
        <v>11</v>
      </c>
      <c r="B14" s="32" t="s">
        <v>120</v>
      </c>
      <c r="C14" s="33" t="s">
        <v>158</v>
      </c>
      <c r="D14" s="20" t="s">
        <v>159</v>
      </c>
      <c r="E14" s="20"/>
      <c r="F14" s="34">
        <v>45237.333333333336</v>
      </c>
      <c r="G14" s="6"/>
      <c r="H14" s="2" t="s">
        <v>113</v>
      </c>
      <c r="I14" s="3" t="s">
        <v>160</v>
      </c>
      <c r="J14" s="6"/>
      <c r="K14" s="7">
        <v>926.56</v>
      </c>
      <c r="L14" s="6"/>
      <c r="M14" s="7">
        <v>0</v>
      </c>
      <c r="N14" s="6"/>
      <c r="Q14" s="4"/>
    </row>
    <row r="15" spans="1:17" x14ac:dyDescent="0.25">
      <c r="A15" s="15">
        <v>12</v>
      </c>
      <c r="B15" s="14" t="s">
        <v>121</v>
      </c>
      <c r="C15" s="30" t="s">
        <v>161</v>
      </c>
      <c r="D15" s="16"/>
      <c r="E15" s="19"/>
      <c r="F15" s="31"/>
      <c r="G15" s="16"/>
      <c r="H15" s="16"/>
      <c r="I15" s="16"/>
      <c r="J15" s="16"/>
      <c r="K15" s="17"/>
      <c r="L15" s="16"/>
      <c r="M15" s="17"/>
      <c r="N15" s="18"/>
      <c r="Q15" s="4"/>
    </row>
    <row r="16" spans="1:17" x14ac:dyDescent="0.25">
      <c r="A16" s="32">
        <v>13</v>
      </c>
      <c r="B16" s="32" t="s">
        <v>162</v>
      </c>
      <c r="C16" s="33" t="s">
        <v>163</v>
      </c>
      <c r="D16" s="20" t="s">
        <v>164</v>
      </c>
      <c r="E16" s="20" t="s">
        <v>165</v>
      </c>
      <c r="F16" s="34">
        <v>45235.333333333336</v>
      </c>
      <c r="G16" s="6"/>
      <c r="H16" s="2" t="s">
        <v>19</v>
      </c>
      <c r="I16" s="3" t="s">
        <v>98</v>
      </c>
      <c r="J16" s="6"/>
      <c r="K16" s="7">
        <v>8919.39</v>
      </c>
      <c r="L16" s="6"/>
      <c r="M16" s="7">
        <v>0</v>
      </c>
      <c r="N16" s="6"/>
      <c r="Q16" s="4"/>
    </row>
    <row r="17" spans="1:17" ht="22.5" x14ac:dyDescent="0.25">
      <c r="A17" s="32">
        <v>14</v>
      </c>
      <c r="B17" s="32" t="s">
        <v>166</v>
      </c>
      <c r="C17" s="33" t="s">
        <v>167</v>
      </c>
      <c r="D17" s="20" t="s">
        <v>168</v>
      </c>
      <c r="E17" s="20" t="s">
        <v>169</v>
      </c>
      <c r="F17" s="34">
        <v>45237.333333333336</v>
      </c>
      <c r="G17" s="6"/>
      <c r="H17" s="2" t="s">
        <v>19</v>
      </c>
      <c r="I17" s="3" t="s">
        <v>109</v>
      </c>
      <c r="J17" s="6"/>
      <c r="K17" s="7">
        <v>9401.4599999999991</v>
      </c>
      <c r="L17" s="6"/>
      <c r="M17" s="7">
        <v>0</v>
      </c>
      <c r="N17" s="6"/>
      <c r="Q17" s="4"/>
    </row>
    <row r="18" spans="1:17" x14ac:dyDescent="0.25">
      <c r="A18" s="32">
        <v>15</v>
      </c>
      <c r="B18" s="32" t="s">
        <v>170</v>
      </c>
      <c r="C18" s="33" t="s">
        <v>171</v>
      </c>
      <c r="D18" s="20" t="s">
        <v>172</v>
      </c>
      <c r="E18" s="20" t="s">
        <v>173</v>
      </c>
      <c r="F18" s="34">
        <v>45242.333333333336</v>
      </c>
      <c r="G18" s="6"/>
      <c r="H18" s="2" t="s">
        <v>113</v>
      </c>
      <c r="I18" s="3" t="s">
        <v>174</v>
      </c>
      <c r="J18" s="6"/>
      <c r="K18" s="7">
        <v>2110.6</v>
      </c>
      <c r="L18" s="6"/>
      <c r="M18" s="7">
        <v>0</v>
      </c>
      <c r="N18" s="6"/>
      <c r="Q18" s="4"/>
    </row>
    <row r="19" spans="1:17" ht="22.5" x14ac:dyDescent="0.25">
      <c r="A19" s="32">
        <v>16</v>
      </c>
      <c r="B19" s="32" t="s">
        <v>175</v>
      </c>
      <c r="C19" s="33" t="s">
        <v>176</v>
      </c>
      <c r="D19" s="20" t="s">
        <v>177</v>
      </c>
      <c r="E19" s="20"/>
      <c r="F19" s="34">
        <v>45241.333333333336</v>
      </c>
      <c r="G19" s="6"/>
      <c r="H19" s="2" t="s">
        <v>127</v>
      </c>
      <c r="I19" s="3" t="s">
        <v>111</v>
      </c>
      <c r="J19" s="6"/>
      <c r="K19" s="7">
        <v>2134.75</v>
      </c>
      <c r="L19" s="6"/>
      <c r="M19" s="7">
        <v>0</v>
      </c>
      <c r="N19" s="6"/>
      <c r="Q19" s="4"/>
    </row>
    <row r="20" spans="1:17" x14ac:dyDescent="0.25">
      <c r="A20" s="32">
        <v>17</v>
      </c>
      <c r="B20" s="32" t="s">
        <v>178</v>
      </c>
      <c r="C20" s="33" t="s">
        <v>179</v>
      </c>
      <c r="D20" s="20" t="s">
        <v>180</v>
      </c>
      <c r="E20" s="20" t="s">
        <v>181</v>
      </c>
      <c r="F20" s="34">
        <v>45234.333333333336</v>
      </c>
      <c r="G20" s="6"/>
      <c r="H20" s="2" t="s">
        <v>127</v>
      </c>
      <c r="I20" s="3" t="s">
        <v>119</v>
      </c>
      <c r="J20" s="6"/>
      <c r="K20" s="7">
        <v>6413.93</v>
      </c>
      <c r="L20" s="6"/>
      <c r="M20" s="7">
        <v>0</v>
      </c>
      <c r="N20" s="6"/>
      <c r="Q20" s="4"/>
    </row>
    <row r="21" spans="1:17" x14ac:dyDescent="0.25">
      <c r="A21" s="15">
        <v>18</v>
      </c>
      <c r="B21" s="14" t="s">
        <v>182</v>
      </c>
      <c r="C21" s="30" t="s">
        <v>183</v>
      </c>
      <c r="D21" s="16"/>
      <c r="E21" s="19"/>
      <c r="F21" s="31"/>
      <c r="G21" s="16"/>
      <c r="H21" s="16"/>
      <c r="I21" s="16"/>
      <c r="J21" s="16"/>
      <c r="K21" s="17"/>
      <c r="L21" s="16"/>
      <c r="M21" s="17"/>
      <c r="N21" s="18"/>
      <c r="Q21" s="4"/>
    </row>
    <row r="22" spans="1:17" x14ac:dyDescent="0.25">
      <c r="A22" s="32">
        <v>19</v>
      </c>
      <c r="B22" s="32" t="s">
        <v>184</v>
      </c>
      <c r="C22" s="33" t="s">
        <v>185</v>
      </c>
      <c r="D22" s="28" t="s">
        <v>186</v>
      </c>
      <c r="E22" s="20"/>
      <c r="F22" s="34">
        <v>45244.333333333336</v>
      </c>
      <c r="G22" s="6"/>
      <c r="H22" s="2" t="s">
        <v>97</v>
      </c>
      <c r="I22" s="3" t="s">
        <v>20</v>
      </c>
      <c r="J22" s="6"/>
      <c r="K22" s="7">
        <v>114.8</v>
      </c>
      <c r="L22" s="6"/>
      <c r="M22" s="7">
        <v>0</v>
      </c>
      <c r="N22" s="6"/>
      <c r="Q22" s="4"/>
    </row>
    <row r="23" spans="1:17" x14ac:dyDescent="0.25">
      <c r="A23" s="14">
        <v>20</v>
      </c>
      <c r="B23" s="14" t="s">
        <v>187</v>
      </c>
      <c r="C23" s="30" t="s">
        <v>188</v>
      </c>
      <c r="D23" s="16"/>
      <c r="E23" s="19"/>
      <c r="F23" s="31"/>
      <c r="G23" s="16"/>
      <c r="H23" s="16"/>
      <c r="I23" s="16"/>
      <c r="J23" s="16"/>
      <c r="K23" s="17"/>
      <c r="L23" s="16"/>
      <c r="M23" s="17"/>
      <c r="N23" s="18"/>
      <c r="Q23" s="4"/>
    </row>
    <row r="24" spans="1:17" x14ac:dyDescent="0.25">
      <c r="A24" s="32">
        <v>21</v>
      </c>
      <c r="B24" s="32" t="s">
        <v>189</v>
      </c>
      <c r="C24" s="33" t="s">
        <v>190</v>
      </c>
      <c r="D24" s="28" t="s">
        <v>191</v>
      </c>
      <c r="E24" s="20"/>
      <c r="F24" s="34">
        <v>45237.333333333336</v>
      </c>
      <c r="G24" s="6"/>
      <c r="H24" s="2" t="s">
        <v>19</v>
      </c>
      <c r="I24" s="3" t="s">
        <v>20</v>
      </c>
      <c r="J24" s="6"/>
      <c r="K24" s="7">
        <v>176.16</v>
      </c>
      <c r="L24" s="6"/>
      <c r="M24" s="7">
        <v>0</v>
      </c>
      <c r="N24" s="6"/>
      <c r="Q24" s="4"/>
    </row>
    <row r="25" spans="1:17" x14ac:dyDescent="0.25">
      <c r="A25" s="15">
        <v>22</v>
      </c>
      <c r="B25" s="14" t="s">
        <v>192</v>
      </c>
      <c r="C25" s="30" t="s">
        <v>193</v>
      </c>
      <c r="D25" s="16"/>
      <c r="E25" s="19"/>
      <c r="F25" s="31"/>
      <c r="G25" s="16"/>
      <c r="H25" s="16"/>
      <c r="I25" s="16"/>
      <c r="J25" s="16"/>
      <c r="K25" s="17"/>
      <c r="L25" s="16"/>
      <c r="M25" s="17"/>
      <c r="N25" s="18"/>
      <c r="Q25" s="4"/>
    </row>
    <row r="26" spans="1:17" x14ac:dyDescent="0.25">
      <c r="A26" s="32">
        <v>23</v>
      </c>
      <c r="B26" s="32" t="s">
        <v>194</v>
      </c>
      <c r="C26" s="33" t="s">
        <v>195</v>
      </c>
      <c r="D26" s="20" t="s">
        <v>186</v>
      </c>
      <c r="E26" s="20" t="s">
        <v>196</v>
      </c>
      <c r="F26" s="34">
        <v>45244.333333333336</v>
      </c>
      <c r="G26" s="6"/>
      <c r="H26" s="2" t="s">
        <v>113</v>
      </c>
      <c r="I26" s="3" t="s">
        <v>20</v>
      </c>
      <c r="J26" s="6"/>
      <c r="K26" s="7">
        <v>3008.2</v>
      </c>
      <c r="L26" s="6"/>
      <c r="M26" s="7">
        <v>0</v>
      </c>
      <c r="N26" s="6"/>
      <c r="Q26" s="4"/>
    </row>
    <row r="27" spans="1:17" x14ac:dyDescent="0.25">
      <c r="A27" s="15">
        <v>24</v>
      </c>
      <c r="B27" s="14" t="s">
        <v>128</v>
      </c>
      <c r="C27" s="30" t="s">
        <v>197</v>
      </c>
      <c r="D27" s="16"/>
      <c r="E27" s="19"/>
      <c r="F27" s="31"/>
      <c r="G27" s="16"/>
      <c r="H27" s="16"/>
      <c r="I27" s="16"/>
      <c r="J27" s="16"/>
      <c r="K27" s="17"/>
      <c r="L27" s="16"/>
      <c r="M27" s="17"/>
      <c r="N27" s="18"/>
      <c r="Q27" s="4"/>
    </row>
    <row r="28" spans="1:17" x14ac:dyDescent="0.25">
      <c r="A28" s="32">
        <v>25</v>
      </c>
      <c r="B28" s="32" t="s">
        <v>198</v>
      </c>
      <c r="C28" s="33" t="s">
        <v>199</v>
      </c>
      <c r="D28" s="28" t="s">
        <v>200</v>
      </c>
      <c r="E28" s="20" t="s">
        <v>201</v>
      </c>
      <c r="F28" s="34">
        <v>45244.333333333336</v>
      </c>
      <c r="G28" s="6"/>
      <c r="H28" s="2" t="s">
        <v>113</v>
      </c>
      <c r="I28" s="3" t="s">
        <v>112</v>
      </c>
      <c r="J28" s="6"/>
      <c r="K28" s="7">
        <v>846.98</v>
      </c>
      <c r="L28" s="6"/>
      <c r="M28" s="7">
        <v>0</v>
      </c>
      <c r="N28" s="6"/>
      <c r="Q28" s="4"/>
    </row>
    <row r="29" spans="1:17" ht="22.5" x14ac:dyDescent="0.25">
      <c r="A29" s="32">
        <v>26</v>
      </c>
      <c r="B29" s="32" t="s">
        <v>202</v>
      </c>
      <c r="C29" s="33" t="s">
        <v>203</v>
      </c>
      <c r="D29" s="28" t="s">
        <v>204</v>
      </c>
      <c r="E29" s="20"/>
      <c r="F29" s="34">
        <v>45244.333333333336</v>
      </c>
      <c r="G29" s="6"/>
      <c r="H29" s="2" t="s">
        <v>113</v>
      </c>
      <c r="I29" s="3" t="s">
        <v>119</v>
      </c>
      <c r="J29" s="6"/>
      <c r="K29" s="7">
        <v>1039.5999999999999</v>
      </c>
      <c r="L29" s="6"/>
      <c r="M29" s="7">
        <v>101.2</v>
      </c>
      <c r="N29" s="6"/>
      <c r="Q29" s="4"/>
    </row>
    <row r="30" spans="1:17" x14ac:dyDescent="0.25">
      <c r="A30" s="15">
        <v>27</v>
      </c>
      <c r="B30" s="14" t="s">
        <v>205</v>
      </c>
      <c r="C30" s="30" t="s">
        <v>101</v>
      </c>
      <c r="D30" s="16"/>
      <c r="E30" s="19"/>
      <c r="F30" s="31"/>
      <c r="G30" s="16"/>
      <c r="H30" s="16"/>
      <c r="I30" s="16"/>
      <c r="J30" s="16"/>
      <c r="K30" s="17"/>
      <c r="L30" s="16"/>
      <c r="M30" s="17"/>
      <c r="N30" s="18"/>
      <c r="Q30" s="4"/>
    </row>
    <row r="31" spans="1:17" x14ac:dyDescent="0.25">
      <c r="A31" s="15">
        <v>28</v>
      </c>
      <c r="B31" s="14" t="s">
        <v>116</v>
      </c>
      <c r="C31" s="30" t="s">
        <v>102</v>
      </c>
      <c r="D31" s="25"/>
      <c r="E31" s="19"/>
      <c r="F31" s="31"/>
      <c r="G31" s="16"/>
      <c r="H31" s="16"/>
      <c r="I31" s="16"/>
      <c r="J31" s="16"/>
      <c r="K31" s="17"/>
      <c r="L31" s="16"/>
      <c r="M31" s="17"/>
      <c r="N31" s="18"/>
      <c r="Q31" s="4"/>
    </row>
    <row r="32" spans="1:17" x14ac:dyDescent="0.25">
      <c r="A32" s="32">
        <v>29</v>
      </c>
      <c r="B32" s="32" t="s">
        <v>206</v>
      </c>
      <c r="C32" s="33" t="s">
        <v>207</v>
      </c>
      <c r="D32" s="28" t="s">
        <v>186</v>
      </c>
      <c r="E32" s="20" t="s">
        <v>208</v>
      </c>
      <c r="F32" s="34">
        <v>45244.333333333336</v>
      </c>
      <c r="G32" s="6"/>
      <c r="H32" s="2" t="s">
        <v>113</v>
      </c>
      <c r="I32" s="3" t="s">
        <v>115</v>
      </c>
      <c r="J32" s="6"/>
      <c r="K32" s="7">
        <v>101.61</v>
      </c>
      <c r="L32" s="6"/>
      <c r="M32" s="7">
        <v>0</v>
      </c>
      <c r="N32" s="6"/>
      <c r="Q32" s="4"/>
    </row>
    <row r="33" spans="1:17" x14ac:dyDescent="0.25">
      <c r="A33" s="15">
        <v>30</v>
      </c>
      <c r="B33" s="14" t="s">
        <v>117</v>
      </c>
      <c r="C33" s="30" t="s">
        <v>209</v>
      </c>
      <c r="D33" s="25"/>
      <c r="E33" s="19"/>
      <c r="F33" s="31"/>
      <c r="G33" s="16"/>
      <c r="H33" s="16"/>
      <c r="I33" s="16"/>
      <c r="J33" s="16"/>
      <c r="K33" s="17"/>
      <c r="L33" s="16"/>
      <c r="M33" s="17"/>
      <c r="N33" s="18"/>
      <c r="Q33" s="4"/>
    </row>
    <row r="34" spans="1:17" ht="22.5" x14ac:dyDescent="0.25">
      <c r="A34" s="32">
        <v>31</v>
      </c>
      <c r="B34" s="32" t="s">
        <v>144</v>
      </c>
      <c r="C34" s="33" t="s">
        <v>210</v>
      </c>
      <c r="D34" s="28" t="s">
        <v>114</v>
      </c>
      <c r="E34" s="20" t="s">
        <v>211</v>
      </c>
      <c r="F34" s="34">
        <v>45246.333333333336</v>
      </c>
      <c r="G34" s="6"/>
      <c r="H34" s="2" t="s">
        <v>129</v>
      </c>
      <c r="I34" s="3" t="s">
        <v>115</v>
      </c>
      <c r="J34" s="6"/>
      <c r="K34" s="7">
        <v>957.74</v>
      </c>
      <c r="L34" s="6"/>
      <c r="M34" s="7">
        <v>0</v>
      </c>
      <c r="N34" s="6"/>
      <c r="Q34" s="4"/>
    </row>
    <row r="35" spans="1:17" ht="22.5" x14ac:dyDescent="0.25">
      <c r="A35" s="32">
        <v>32</v>
      </c>
      <c r="B35" s="32" t="s">
        <v>153</v>
      </c>
      <c r="C35" s="33" t="s">
        <v>212</v>
      </c>
      <c r="D35" s="28" t="s">
        <v>213</v>
      </c>
      <c r="E35" s="20"/>
      <c r="F35" s="34">
        <v>45246.333333333336</v>
      </c>
      <c r="G35" s="6"/>
      <c r="H35" s="2" t="s">
        <v>129</v>
      </c>
      <c r="I35" s="3" t="s">
        <v>115</v>
      </c>
      <c r="J35" s="6"/>
      <c r="K35" s="7">
        <v>121.5</v>
      </c>
      <c r="L35" s="6"/>
      <c r="M35" s="7">
        <v>0</v>
      </c>
      <c r="N35" s="6"/>
      <c r="Q35" s="4"/>
    </row>
    <row r="36" spans="1:17" ht="22.5" x14ac:dyDescent="0.25">
      <c r="A36" s="32">
        <v>33</v>
      </c>
      <c r="B36" s="32" t="s">
        <v>120</v>
      </c>
      <c r="C36" s="33" t="s">
        <v>214</v>
      </c>
      <c r="D36" s="28" t="s">
        <v>215</v>
      </c>
      <c r="E36" s="20"/>
      <c r="F36" s="34">
        <v>45247.333333333336</v>
      </c>
      <c r="G36" s="6"/>
      <c r="H36" s="2" t="s">
        <v>129</v>
      </c>
      <c r="I36" s="3" t="s">
        <v>115</v>
      </c>
      <c r="J36" s="6"/>
      <c r="K36" s="7">
        <v>231.15</v>
      </c>
      <c r="L36" s="6"/>
      <c r="M36" s="7">
        <v>0</v>
      </c>
      <c r="N36" s="6"/>
      <c r="Q36" s="4"/>
    </row>
    <row r="37" spans="1:17" x14ac:dyDescent="0.25">
      <c r="A37" s="15">
        <v>34</v>
      </c>
      <c r="B37" s="14" t="s">
        <v>121</v>
      </c>
      <c r="C37" s="30" t="s">
        <v>216</v>
      </c>
      <c r="D37" s="25"/>
      <c r="E37" s="19"/>
      <c r="F37" s="31"/>
      <c r="G37" s="16"/>
      <c r="H37" s="16"/>
      <c r="I37" s="16"/>
      <c r="J37" s="16"/>
      <c r="K37" s="17"/>
      <c r="L37" s="16"/>
      <c r="M37" s="17"/>
      <c r="N37" s="18"/>
      <c r="Q37" s="4"/>
    </row>
    <row r="38" spans="1:17" x14ac:dyDescent="0.25">
      <c r="A38" s="32">
        <v>35</v>
      </c>
      <c r="B38" s="32" t="s">
        <v>162</v>
      </c>
      <c r="C38" s="33" t="s">
        <v>217</v>
      </c>
      <c r="D38" s="28" t="s">
        <v>218</v>
      </c>
      <c r="E38" s="20" t="s">
        <v>305</v>
      </c>
      <c r="F38" s="34">
        <v>45249.333333333336</v>
      </c>
      <c r="G38" s="5"/>
      <c r="H38" s="2" t="s">
        <v>129</v>
      </c>
      <c r="I38" s="3" t="s">
        <v>220</v>
      </c>
      <c r="J38" s="6"/>
      <c r="K38" s="7">
        <v>4010.68</v>
      </c>
      <c r="L38" s="6"/>
      <c r="M38" s="7">
        <v>526.29999999999995</v>
      </c>
      <c r="N38" s="6"/>
      <c r="Q38" s="4"/>
    </row>
    <row r="39" spans="1:17" ht="22.5" x14ac:dyDescent="0.25">
      <c r="A39" s="32">
        <v>36</v>
      </c>
      <c r="B39" s="32" t="s">
        <v>221</v>
      </c>
      <c r="C39" s="33" t="s">
        <v>222</v>
      </c>
      <c r="D39" s="20" t="s">
        <v>223</v>
      </c>
      <c r="E39" s="20" t="s">
        <v>224</v>
      </c>
      <c r="F39" s="34">
        <v>45251.333333333336</v>
      </c>
      <c r="G39" s="5"/>
      <c r="H39" s="2" t="s">
        <v>129</v>
      </c>
      <c r="I39" s="3" t="s">
        <v>111</v>
      </c>
      <c r="J39" s="6"/>
      <c r="K39" s="7">
        <v>729.5</v>
      </c>
      <c r="L39" s="6"/>
      <c r="M39" s="7">
        <v>0</v>
      </c>
      <c r="N39" s="6"/>
      <c r="Q39" s="4"/>
    </row>
    <row r="40" spans="1:17" x14ac:dyDescent="0.25">
      <c r="A40" s="32">
        <v>37</v>
      </c>
      <c r="B40" s="32" t="s">
        <v>170</v>
      </c>
      <c r="C40" s="33" t="s">
        <v>225</v>
      </c>
      <c r="D40" s="28" t="s">
        <v>219</v>
      </c>
      <c r="E40" s="20" t="s">
        <v>226</v>
      </c>
      <c r="F40" s="34">
        <v>45253.333333333336</v>
      </c>
      <c r="G40" s="5"/>
      <c r="H40" s="2" t="s">
        <v>129</v>
      </c>
      <c r="I40" s="3" t="s">
        <v>152</v>
      </c>
      <c r="J40" s="6"/>
      <c r="K40" s="7">
        <v>3529.98</v>
      </c>
      <c r="L40" s="6"/>
      <c r="M40" s="7">
        <v>0</v>
      </c>
      <c r="N40" s="6"/>
      <c r="Q40" s="4"/>
    </row>
    <row r="41" spans="1:17" x14ac:dyDescent="0.25">
      <c r="A41" s="32">
        <v>38</v>
      </c>
      <c r="B41" s="32" t="s">
        <v>178</v>
      </c>
      <c r="C41" s="33" t="s">
        <v>227</v>
      </c>
      <c r="D41" s="28" t="s">
        <v>228</v>
      </c>
      <c r="E41" s="20" t="s">
        <v>229</v>
      </c>
      <c r="F41" s="34">
        <v>45249.333333333336</v>
      </c>
      <c r="G41" s="5"/>
      <c r="H41" s="2" t="s">
        <v>113</v>
      </c>
      <c r="I41" s="3" t="s">
        <v>119</v>
      </c>
      <c r="J41" s="6"/>
      <c r="K41" s="7">
        <v>2542.15</v>
      </c>
      <c r="L41" s="6"/>
      <c r="M41" s="7">
        <v>0</v>
      </c>
      <c r="N41" s="6"/>
      <c r="Q41" s="4"/>
    </row>
    <row r="42" spans="1:17" x14ac:dyDescent="0.25">
      <c r="A42" s="15">
        <v>39</v>
      </c>
      <c r="B42" s="14" t="s">
        <v>182</v>
      </c>
      <c r="C42" s="30" t="s">
        <v>230</v>
      </c>
      <c r="D42" s="16"/>
      <c r="E42" s="19"/>
      <c r="F42" s="31"/>
      <c r="G42" s="16"/>
      <c r="H42" s="16"/>
      <c r="I42" s="16"/>
      <c r="J42" s="16"/>
      <c r="K42" s="17"/>
      <c r="L42" s="16"/>
      <c r="M42" s="17"/>
      <c r="N42" s="18"/>
      <c r="Q42" s="4"/>
    </row>
    <row r="43" spans="1:17" x14ac:dyDescent="0.25">
      <c r="A43" s="32">
        <v>40</v>
      </c>
      <c r="B43" s="32" t="s">
        <v>184</v>
      </c>
      <c r="C43" s="33" t="s">
        <v>231</v>
      </c>
      <c r="D43" s="28" t="s">
        <v>118</v>
      </c>
      <c r="E43" s="20"/>
      <c r="F43" s="34">
        <v>45255.333333333336</v>
      </c>
      <c r="G43" s="5"/>
      <c r="H43" s="2" t="s">
        <v>113</v>
      </c>
      <c r="I43" s="3" t="s">
        <v>20</v>
      </c>
      <c r="J43" s="6"/>
      <c r="K43" s="7">
        <v>56.34</v>
      </c>
      <c r="L43" s="6"/>
      <c r="M43" s="7">
        <v>0</v>
      </c>
      <c r="N43" s="6"/>
      <c r="Q43" s="4"/>
    </row>
    <row r="44" spans="1:17" x14ac:dyDescent="0.25">
      <c r="A44" s="14">
        <v>41</v>
      </c>
      <c r="B44" s="14" t="s">
        <v>189</v>
      </c>
      <c r="C44" s="30" t="s">
        <v>232</v>
      </c>
      <c r="D44" s="25"/>
      <c r="E44" s="19"/>
      <c r="F44" s="31"/>
      <c r="G44" s="16"/>
      <c r="H44" s="16"/>
      <c r="I44" s="16"/>
      <c r="J44" s="16"/>
      <c r="K44" s="17"/>
      <c r="L44" s="16"/>
      <c r="M44" s="17"/>
      <c r="N44" s="18"/>
      <c r="Q44" s="4"/>
    </row>
    <row r="45" spans="1:17" x14ac:dyDescent="0.25">
      <c r="A45" s="32">
        <v>42</v>
      </c>
      <c r="B45" s="32" t="s">
        <v>189</v>
      </c>
      <c r="C45" s="33" t="s">
        <v>233</v>
      </c>
      <c r="D45" s="28" t="s">
        <v>234</v>
      </c>
      <c r="E45" s="20"/>
      <c r="F45" s="34">
        <v>45257.333333333336</v>
      </c>
      <c r="G45" s="5"/>
      <c r="H45" s="2" t="s">
        <v>19</v>
      </c>
      <c r="I45" s="3" t="s">
        <v>24</v>
      </c>
      <c r="J45" s="6"/>
      <c r="K45" s="7">
        <v>82.21</v>
      </c>
      <c r="L45" s="6"/>
      <c r="M45" s="7">
        <v>0</v>
      </c>
      <c r="N45" s="6"/>
    </row>
    <row r="46" spans="1:17" x14ac:dyDescent="0.25">
      <c r="A46" s="15">
        <v>43</v>
      </c>
      <c r="B46" s="14" t="s">
        <v>192</v>
      </c>
      <c r="C46" s="30" t="s">
        <v>235</v>
      </c>
      <c r="D46" s="25"/>
      <c r="E46" s="19"/>
      <c r="F46" s="31"/>
      <c r="G46" s="16"/>
      <c r="H46" s="16"/>
      <c r="I46" s="16"/>
      <c r="J46" s="16"/>
      <c r="K46" s="17"/>
      <c r="L46" s="16"/>
      <c r="M46" s="17"/>
      <c r="N46" s="18"/>
    </row>
    <row r="47" spans="1:17" x14ac:dyDescent="0.25">
      <c r="A47" s="32">
        <v>44</v>
      </c>
      <c r="B47" s="32" t="s">
        <v>194</v>
      </c>
      <c r="C47" s="33" t="s">
        <v>236</v>
      </c>
      <c r="D47" s="28" t="s">
        <v>234</v>
      </c>
      <c r="E47" s="20" t="s">
        <v>237</v>
      </c>
      <c r="F47" s="34">
        <v>45257.333333333336</v>
      </c>
      <c r="G47" s="5"/>
      <c r="H47" s="2" t="s">
        <v>238</v>
      </c>
      <c r="I47" s="3" t="s">
        <v>24</v>
      </c>
      <c r="J47" s="6"/>
      <c r="K47" s="7">
        <v>1318.13</v>
      </c>
      <c r="L47" s="6"/>
      <c r="M47" s="7">
        <v>0</v>
      </c>
      <c r="N47" s="6"/>
    </row>
    <row r="48" spans="1:17" x14ac:dyDescent="0.25">
      <c r="A48" s="15">
        <v>45</v>
      </c>
      <c r="B48" s="14" t="s">
        <v>128</v>
      </c>
      <c r="C48" s="30" t="s">
        <v>239</v>
      </c>
      <c r="D48" s="25"/>
      <c r="E48" s="19"/>
      <c r="F48" s="31"/>
      <c r="G48" s="16"/>
      <c r="H48" s="16"/>
      <c r="I48" s="16"/>
      <c r="J48" s="16"/>
      <c r="K48" s="17"/>
      <c r="L48" s="16"/>
      <c r="M48" s="17"/>
      <c r="N48" s="18"/>
    </row>
    <row r="49" spans="1:14" ht="22.5" x14ac:dyDescent="0.25">
      <c r="A49" s="32">
        <v>46</v>
      </c>
      <c r="B49" s="32" t="s">
        <v>240</v>
      </c>
      <c r="C49" s="33" t="s">
        <v>241</v>
      </c>
      <c r="D49" s="28" t="s">
        <v>242</v>
      </c>
      <c r="E49" s="20"/>
      <c r="F49" s="34">
        <v>45261.333333333336</v>
      </c>
      <c r="G49" s="5"/>
      <c r="H49" s="2" t="s">
        <v>113</v>
      </c>
      <c r="I49" s="3" t="s">
        <v>119</v>
      </c>
      <c r="J49" s="6"/>
      <c r="K49" s="7">
        <v>829.6</v>
      </c>
      <c r="L49" s="6"/>
      <c r="M49" s="7">
        <v>0</v>
      </c>
      <c r="N49" s="6"/>
    </row>
    <row r="50" spans="1:14" ht="22.5" x14ac:dyDescent="0.25">
      <c r="A50" s="14">
        <v>47</v>
      </c>
      <c r="B50" s="14" t="s">
        <v>243</v>
      </c>
      <c r="C50" s="30" t="s">
        <v>104</v>
      </c>
      <c r="D50" s="25"/>
      <c r="E50" s="19"/>
      <c r="F50" s="31"/>
      <c r="G50" s="16"/>
      <c r="H50" s="16"/>
      <c r="I50" s="16"/>
      <c r="J50" s="16"/>
      <c r="K50" s="17"/>
      <c r="L50" s="16"/>
      <c r="M50" s="17"/>
      <c r="N50" s="18"/>
    </row>
    <row r="51" spans="1:14" x14ac:dyDescent="0.25">
      <c r="A51" s="15">
        <v>48</v>
      </c>
      <c r="B51" s="14" t="s">
        <v>116</v>
      </c>
      <c r="C51" s="30" t="s">
        <v>105</v>
      </c>
      <c r="D51" s="25"/>
      <c r="E51" s="19"/>
      <c r="F51" s="31"/>
      <c r="G51" s="16"/>
      <c r="H51" s="16"/>
      <c r="I51" s="16"/>
      <c r="J51" s="16"/>
      <c r="K51" s="17"/>
      <c r="L51" s="16"/>
      <c r="M51" s="17"/>
      <c r="N51" s="18"/>
    </row>
    <row r="52" spans="1:14" x14ac:dyDescent="0.25">
      <c r="A52" s="32">
        <v>49</v>
      </c>
      <c r="B52" s="32" t="s">
        <v>244</v>
      </c>
      <c r="C52" s="33" t="s">
        <v>245</v>
      </c>
      <c r="D52" s="28" t="s">
        <v>114</v>
      </c>
      <c r="E52" s="20" t="s">
        <v>246</v>
      </c>
      <c r="F52" s="34">
        <v>45246.333333333336</v>
      </c>
      <c r="G52" s="5"/>
      <c r="H52" s="2" t="s">
        <v>247</v>
      </c>
      <c r="I52" s="3" t="s">
        <v>157</v>
      </c>
      <c r="J52" s="6"/>
      <c r="K52" s="7">
        <v>1061.05</v>
      </c>
      <c r="L52" s="6"/>
      <c r="M52" s="7">
        <v>0</v>
      </c>
      <c r="N52" s="6"/>
    </row>
    <row r="53" spans="1:14" x14ac:dyDescent="0.25">
      <c r="A53" s="32">
        <v>50</v>
      </c>
      <c r="B53" s="32" t="s">
        <v>206</v>
      </c>
      <c r="C53" s="33" t="s">
        <v>248</v>
      </c>
      <c r="D53" s="28" t="s">
        <v>249</v>
      </c>
      <c r="E53" s="20" t="s">
        <v>306</v>
      </c>
      <c r="F53" s="34">
        <v>45250.333333333336</v>
      </c>
      <c r="G53" s="5"/>
      <c r="H53" s="2" t="s">
        <v>58</v>
      </c>
      <c r="I53" s="3" t="s">
        <v>157</v>
      </c>
      <c r="J53" s="6"/>
      <c r="K53" s="7">
        <v>3730.94</v>
      </c>
      <c r="L53" s="6"/>
      <c r="M53" s="7">
        <v>0</v>
      </c>
      <c r="N53" s="6"/>
    </row>
    <row r="54" spans="1:14" x14ac:dyDescent="0.25">
      <c r="A54" s="14">
        <v>51</v>
      </c>
      <c r="B54" s="14" t="s">
        <v>117</v>
      </c>
      <c r="C54" s="30" t="s">
        <v>106</v>
      </c>
      <c r="D54" s="25"/>
      <c r="E54" s="19"/>
      <c r="F54" s="31"/>
      <c r="G54" s="16"/>
      <c r="H54" s="16"/>
      <c r="I54" s="16"/>
      <c r="J54" s="16"/>
      <c r="K54" s="17"/>
      <c r="L54" s="16"/>
      <c r="M54" s="17"/>
      <c r="N54" s="18"/>
    </row>
    <row r="55" spans="1:14" ht="22.5" x14ac:dyDescent="0.25">
      <c r="A55" s="32">
        <v>52</v>
      </c>
      <c r="B55" s="32" t="s">
        <v>250</v>
      </c>
      <c r="C55" s="33" t="s">
        <v>251</v>
      </c>
      <c r="D55" s="20" t="s">
        <v>122</v>
      </c>
      <c r="E55" s="20" t="s">
        <v>252</v>
      </c>
      <c r="F55" s="34">
        <v>45255.333333333336</v>
      </c>
      <c r="G55" s="5"/>
      <c r="H55" s="2" t="s">
        <v>253</v>
      </c>
      <c r="I55" s="3" t="s">
        <v>115</v>
      </c>
      <c r="J55" s="6"/>
      <c r="K55" s="7">
        <v>26693.49</v>
      </c>
      <c r="L55" s="6"/>
      <c r="M55" s="7">
        <v>52.63</v>
      </c>
      <c r="N55" s="6"/>
    </row>
    <row r="56" spans="1:14" x14ac:dyDescent="0.25">
      <c r="A56" s="32">
        <v>53</v>
      </c>
      <c r="B56" s="32" t="s">
        <v>254</v>
      </c>
      <c r="C56" s="33" t="s">
        <v>255</v>
      </c>
      <c r="D56" s="28" t="s">
        <v>256</v>
      </c>
      <c r="E56" s="20" t="s">
        <v>257</v>
      </c>
      <c r="F56" s="34">
        <v>45264.333333333336</v>
      </c>
      <c r="G56" s="5"/>
      <c r="H56" s="2" t="s">
        <v>258</v>
      </c>
      <c r="I56" s="3" t="s">
        <v>115</v>
      </c>
      <c r="J56" s="6"/>
      <c r="K56" s="7">
        <v>1484.31</v>
      </c>
      <c r="L56" s="6"/>
      <c r="M56" s="7">
        <v>0</v>
      </c>
      <c r="N56" s="6"/>
    </row>
    <row r="57" spans="1:14" ht="22.5" x14ac:dyDescent="0.25">
      <c r="A57" s="32">
        <v>54</v>
      </c>
      <c r="B57" s="32" t="s">
        <v>120</v>
      </c>
      <c r="C57" s="33" t="s">
        <v>259</v>
      </c>
      <c r="D57" s="28" t="s">
        <v>256</v>
      </c>
      <c r="E57" s="20" t="s">
        <v>260</v>
      </c>
      <c r="F57" s="34">
        <v>45264.333333333336</v>
      </c>
      <c r="G57" s="5"/>
      <c r="H57" s="2" t="s">
        <v>258</v>
      </c>
      <c r="I57" s="3" t="s">
        <v>20</v>
      </c>
      <c r="J57" s="6"/>
      <c r="K57" s="7">
        <v>5839.13</v>
      </c>
      <c r="L57" s="6"/>
      <c r="M57" s="7">
        <v>0</v>
      </c>
      <c r="N57" s="6"/>
    </row>
    <row r="58" spans="1:14" x14ac:dyDescent="0.25">
      <c r="A58" s="15">
        <v>55</v>
      </c>
      <c r="B58" s="14" t="s">
        <v>261</v>
      </c>
      <c r="C58" s="30" t="s">
        <v>108</v>
      </c>
      <c r="D58" s="25"/>
      <c r="E58" s="19"/>
      <c r="F58" s="31"/>
      <c r="G58" s="16"/>
      <c r="H58" s="16"/>
      <c r="I58" s="16"/>
      <c r="J58" s="16"/>
      <c r="K58" s="17"/>
      <c r="L58" s="16"/>
      <c r="M58" s="17"/>
      <c r="N58" s="18"/>
    </row>
    <row r="59" spans="1:14" x14ac:dyDescent="0.25">
      <c r="A59" s="32">
        <v>56</v>
      </c>
      <c r="B59" s="32" t="s">
        <v>162</v>
      </c>
      <c r="C59" s="33" t="s">
        <v>262</v>
      </c>
      <c r="D59" s="28" t="s">
        <v>263</v>
      </c>
      <c r="E59" s="20" t="s">
        <v>264</v>
      </c>
      <c r="F59" s="34">
        <v>45268.333333333336</v>
      </c>
      <c r="G59" s="5"/>
      <c r="H59" s="2" t="s">
        <v>265</v>
      </c>
      <c r="I59" s="3" t="s">
        <v>98</v>
      </c>
      <c r="J59" s="6"/>
      <c r="K59" s="7">
        <v>32534.46</v>
      </c>
      <c r="L59" s="6"/>
      <c r="M59" s="7">
        <v>0</v>
      </c>
      <c r="N59" s="6"/>
    </row>
    <row r="60" spans="1:14" ht="22.5" x14ac:dyDescent="0.25">
      <c r="A60" s="32">
        <v>57</v>
      </c>
      <c r="B60" s="32" t="s">
        <v>170</v>
      </c>
      <c r="C60" s="33" t="s">
        <v>266</v>
      </c>
      <c r="D60" s="28" t="s">
        <v>267</v>
      </c>
      <c r="E60" s="20" t="s">
        <v>268</v>
      </c>
      <c r="F60" s="34">
        <v>45268.333333333336</v>
      </c>
      <c r="G60" s="5"/>
      <c r="H60" s="2" t="s">
        <v>265</v>
      </c>
      <c r="I60" s="3" t="s">
        <v>111</v>
      </c>
      <c r="J60" s="6"/>
      <c r="K60" s="7">
        <v>39098.870000000003</v>
      </c>
      <c r="L60" s="6"/>
      <c r="M60" s="7">
        <v>0</v>
      </c>
      <c r="N60" s="6"/>
    </row>
    <row r="61" spans="1:14" x14ac:dyDescent="0.25">
      <c r="A61" s="15">
        <v>58</v>
      </c>
      <c r="B61" s="14" t="s">
        <v>192</v>
      </c>
      <c r="C61" s="30" t="s">
        <v>269</v>
      </c>
      <c r="D61" s="25"/>
      <c r="E61" s="19"/>
      <c r="F61" s="31"/>
      <c r="G61" s="16"/>
      <c r="H61" s="16"/>
      <c r="I61" s="16"/>
      <c r="J61" s="16"/>
      <c r="K61" s="17"/>
      <c r="L61" s="16"/>
      <c r="M61" s="17"/>
      <c r="N61" s="18"/>
    </row>
    <row r="62" spans="1:14" x14ac:dyDescent="0.25">
      <c r="A62" s="32">
        <v>59</v>
      </c>
      <c r="B62" s="32" t="s">
        <v>194</v>
      </c>
      <c r="C62" s="33" t="s">
        <v>270</v>
      </c>
      <c r="D62" s="28" t="s">
        <v>271</v>
      </c>
      <c r="E62" s="20"/>
      <c r="F62" s="34">
        <v>45268.333333333336</v>
      </c>
      <c r="G62" s="5"/>
      <c r="H62" s="2" t="s">
        <v>265</v>
      </c>
      <c r="I62" s="3" t="s">
        <v>111</v>
      </c>
      <c r="J62" s="6"/>
      <c r="K62" s="7">
        <v>16556.22</v>
      </c>
      <c r="L62" s="6"/>
      <c r="M62" s="7">
        <v>0</v>
      </c>
      <c r="N62" s="6"/>
    </row>
    <row r="63" spans="1:14" x14ac:dyDescent="0.25">
      <c r="A63" s="15">
        <v>60</v>
      </c>
      <c r="B63" s="14" t="s">
        <v>182</v>
      </c>
      <c r="C63" s="30" t="s">
        <v>272</v>
      </c>
      <c r="D63" s="16"/>
      <c r="E63" s="19"/>
      <c r="F63" s="31"/>
      <c r="G63" s="16"/>
      <c r="H63" s="16"/>
      <c r="I63" s="16"/>
      <c r="J63" s="16"/>
      <c r="K63" s="17"/>
      <c r="L63" s="16"/>
      <c r="M63" s="17"/>
      <c r="N63" s="18"/>
    </row>
    <row r="64" spans="1:14" x14ac:dyDescent="0.25">
      <c r="A64" s="32">
        <v>61</v>
      </c>
      <c r="B64" s="32" t="s">
        <v>273</v>
      </c>
      <c r="C64" s="33" t="s">
        <v>274</v>
      </c>
      <c r="D64" s="28" t="s">
        <v>275</v>
      </c>
      <c r="E64" s="20"/>
      <c r="F64" s="34">
        <v>45282.333333333336</v>
      </c>
      <c r="G64" s="5"/>
      <c r="H64" s="2" t="s">
        <v>58</v>
      </c>
      <c r="I64" s="3" t="s">
        <v>24</v>
      </c>
      <c r="J64" s="6"/>
      <c r="K64" s="7">
        <v>3655.67</v>
      </c>
      <c r="L64" s="6"/>
      <c r="M64" s="7">
        <v>0</v>
      </c>
      <c r="N64" s="6"/>
    </row>
    <row r="65" spans="1:14" x14ac:dyDescent="0.25">
      <c r="A65" s="14">
        <v>62</v>
      </c>
      <c r="B65" s="14" t="s">
        <v>187</v>
      </c>
      <c r="C65" s="30" t="s">
        <v>276</v>
      </c>
      <c r="D65" s="16"/>
      <c r="E65" s="19"/>
      <c r="F65" s="31"/>
      <c r="G65" s="16"/>
      <c r="H65" s="16"/>
      <c r="I65" s="16"/>
      <c r="J65" s="16"/>
      <c r="K65" s="17"/>
      <c r="L65" s="16"/>
      <c r="M65" s="17"/>
      <c r="N65" s="18"/>
    </row>
    <row r="66" spans="1:14" x14ac:dyDescent="0.25">
      <c r="A66" s="32">
        <v>63</v>
      </c>
      <c r="B66" s="32" t="s">
        <v>187</v>
      </c>
      <c r="C66" s="33" t="s">
        <v>277</v>
      </c>
      <c r="D66" s="28" t="s">
        <v>278</v>
      </c>
      <c r="E66" s="20"/>
      <c r="F66" s="34">
        <v>45267.333333333336</v>
      </c>
      <c r="G66" s="5"/>
      <c r="H66" s="2" t="s">
        <v>265</v>
      </c>
      <c r="I66" s="3" t="s">
        <v>119</v>
      </c>
      <c r="J66" s="6"/>
      <c r="K66" s="7">
        <v>666.9</v>
      </c>
      <c r="L66" s="6"/>
      <c r="M66" s="7">
        <v>0</v>
      </c>
      <c r="N66" s="6"/>
    </row>
    <row r="67" spans="1:14" x14ac:dyDescent="0.25">
      <c r="A67" s="15">
        <v>64</v>
      </c>
      <c r="B67" s="14" t="s">
        <v>103</v>
      </c>
      <c r="C67" s="30" t="s">
        <v>279</v>
      </c>
      <c r="D67" s="16"/>
      <c r="E67" s="19"/>
      <c r="F67" s="31"/>
      <c r="G67" s="16"/>
      <c r="H67" s="16"/>
      <c r="I67" s="16"/>
      <c r="J67" s="16"/>
      <c r="K67" s="17"/>
      <c r="L67" s="16"/>
      <c r="M67" s="17"/>
      <c r="N67" s="18"/>
    </row>
    <row r="68" spans="1:14" x14ac:dyDescent="0.25">
      <c r="A68" s="32">
        <v>65</v>
      </c>
      <c r="B68" s="32" t="s">
        <v>280</v>
      </c>
      <c r="C68" s="33" t="s">
        <v>281</v>
      </c>
      <c r="D68" s="28" t="s">
        <v>282</v>
      </c>
      <c r="E68" s="20" t="s">
        <v>283</v>
      </c>
      <c r="F68" s="34">
        <v>45234.333333333336</v>
      </c>
      <c r="G68" s="5"/>
      <c r="H68" s="2" t="s">
        <v>58</v>
      </c>
      <c r="I68" s="3" t="s">
        <v>115</v>
      </c>
      <c r="J68" s="6"/>
      <c r="K68" s="7">
        <v>10019.35</v>
      </c>
      <c r="L68" s="6"/>
      <c r="M68" s="7">
        <v>0</v>
      </c>
      <c r="N68" s="6"/>
    </row>
    <row r="69" spans="1:14" ht="22.5" x14ac:dyDescent="0.25">
      <c r="A69" s="32">
        <v>66</v>
      </c>
      <c r="B69" s="32" t="s">
        <v>107</v>
      </c>
      <c r="C69" s="33" t="s">
        <v>284</v>
      </c>
      <c r="D69" s="28" t="s">
        <v>285</v>
      </c>
      <c r="E69" s="20" t="s">
        <v>124</v>
      </c>
      <c r="F69" s="34">
        <v>45234.333333333336</v>
      </c>
      <c r="G69" s="5"/>
      <c r="H69" s="2" t="s">
        <v>58</v>
      </c>
      <c r="I69" s="3" t="s">
        <v>115</v>
      </c>
      <c r="J69" s="6"/>
      <c r="K69" s="7">
        <v>8000</v>
      </c>
      <c r="L69" s="6"/>
      <c r="M69" s="7">
        <v>0</v>
      </c>
      <c r="N69" s="6"/>
    </row>
    <row r="70" spans="1:14" x14ac:dyDescent="0.25">
      <c r="A70" s="15">
        <v>67</v>
      </c>
      <c r="B70" s="14" t="s">
        <v>110</v>
      </c>
      <c r="C70" s="30" t="s">
        <v>286</v>
      </c>
      <c r="D70" s="16"/>
      <c r="E70" s="19"/>
      <c r="F70" s="31"/>
      <c r="G70" s="16"/>
      <c r="H70" s="16"/>
      <c r="I70" s="16"/>
      <c r="J70" s="16"/>
      <c r="K70" s="17"/>
      <c r="L70" s="16"/>
      <c r="M70" s="17"/>
      <c r="N70" s="18"/>
    </row>
    <row r="71" spans="1:14" x14ac:dyDescent="0.25">
      <c r="A71" s="32">
        <v>68</v>
      </c>
      <c r="B71" s="32" t="s">
        <v>287</v>
      </c>
      <c r="C71" s="33" t="s">
        <v>288</v>
      </c>
      <c r="D71" s="20" t="s">
        <v>307</v>
      </c>
      <c r="E71" s="20" t="s">
        <v>123</v>
      </c>
      <c r="F71" s="34">
        <v>45239.333333333336</v>
      </c>
      <c r="G71" s="5"/>
      <c r="H71" s="2" t="s">
        <v>58</v>
      </c>
      <c r="I71" s="3" t="s">
        <v>115</v>
      </c>
      <c r="J71" s="6"/>
      <c r="K71" s="7">
        <v>22000</v>
      </c>
      <c r="L71" s="6"/>
      <c r="M71" s="7">
        <v>2000</v>
      </c>
      <c r="N71" s="6"/>
    </row>
    <row r="72" spans="1:14" ht="22.5" x14ac:dyDescent="0.25">
      <c r="A72" s="32">
        <v>69</v>
      </c>
      <c r="B72" s="32" t="s">
        <v>289</v>
      </c>
      <c r="C72" s="33" t="s">
        <v>290</v>
      </c>
      <c r="D72" s="20" t="s">
        <v>125</v>
      </c>
      <c r="E72" s="20"/>
      <c r="F72" s="34">
        <v>45244.333333333336</v>
      </c>
      <c r="G72" s="5"/>
      <c r="H72" s="2" t="s">
        <v>58</v>
      </c>
      <c r="I72" s="3" t="s">
        <v>115</v>
      </c>
      <c r="J72" s="6"/>
      <c r="K72" s="7">
        <v>38000</v>
      </c>
      <c r="L72" s="6"/>
      <c r="M72" s="7">
        <v>0</v>
      </c>
      <c r="N72" s="6"/>
    </row>
    <row r="73" spans="1:14" ht="22.5" x14ac:dyDescent="0.25">
      <c r="A73" s="15">
        <v>70</v>
      </c>
      <c r="B73" s="14" t="s">
        <v>291</v>
      </c>
      <c r="C73" s="30" t="s">
        <v>292</v>
      </c>
      <c r="D73" s="19"/>
      <c r="E73" s="19"/>
      <c r="F73" s="31"/>
      <c r="G73" s="16"/>
      <c r="H73" s="16"/>
      <c r="I73" s="16"/>
      <c r="J73" s="16"/>
      <c r="K73" s="17"/>
      <c r="L73" s="16"/>
      <c r="M73" s="17"/>
      <c r="N73" s="18"/>
    </row>
    <row r="74" spans="1:14" x14ac:dyDescent="0.25">
      <c r="A74" s="32">
        <v>71</v>
      </c>
      <c r="B74" s="32" t="s">
        <v>293</v>
      </c>
      <c r="C74" s="33" t="s">
        <v>294</v>
      </c>
      <c r="D74" s="20" t="s">
        <v>126</v>
      </c>
      <c r="E74" s="20"/>
      <c r="F74" s="34">
        <v>45281.333333333336</v>
      </c>
      <c r="G74" s="5"/>
      <c r="H74" s="2" t="s">
        <v>58</v>
      </c>
      <c r="I74" s="3" t="s">
        <v>109</v>
      </c>
      <c r="J74" s="6"/>
      <c r="K74" s="7">
        <v>4081.2</v>
      </c>
      <c r="L74" s="6"/>
      <c r="M74" s="7">
        <v>0</v>
      </c>
      <c r="N74" s="6"/>
    </row>
    <row r="75" spans="1:14" x14ac:dyDescent="0.25">
      <c r="A75" s="32">
        <v>72</v>
      </c>
      <c r="B75" s="32" t="s">
        <v>295</v>
      </c>
      <c r="C75" s="33" t="s">
        <v>296</v>
      </c>
      <c r="D75" s="20" t="s">
        <v>297</v>
      </c>
      <c r="E75" s="20" t="s">
        <v>298</v>
      </c>
      <c r="F75" s="34">
        <v>45249.333333333336</v>
      </c>
      <c r="G75" s="5"/>
      <c r="H75" s="2" t="s">
        <v>127</v>
      </c>
      <c r="I75" s="3" t="s">
        <v>109</v>
      </c>
      <c r="J75" s="6"/>
      <c r="K75" s="7">
        <v>2312.96</v>
      </c>
      <c r="L75" s="6"/>
      <c r="M75" s="7">
        <v>0</v>
      </c>
      <c r="N75" s="6"/>
    </row>
    <row r="76" spans="1:14" x14ac:dyDescent="0.25">
      <c r="K76" s="41"/>
    </row>
    <row r="78" spans="1:14" x14ac:dyDescent="0.25">
      <c r="K78" s="42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zoomScale="115" workbookViewId="0">
      <selection activeCell="D12" sqref="D12"/>
    </sheetView>
  </sheetViews>
  <sheetFormatPr defaultRowHeight="15" x14ac:dyDescent="0.25"/>
  <cols>
    <col min="2" max="2" width="15.7109375" customWidth="1"/>
    <col min="7" max="7" width="40.7109375" customWidth="1"/>
    <col min="8" max="8" width="10.7109375" customWidth="1"/>
  </cols>
  <sheetData>
    <row r="1" spans="1:8" x14ac:dyDescent="0.25">
      <c r="A1" s="44" t="s">
        <v>0</v>
      </c>
      <c r="B1" s="44"/>
      <c r="C1" s="44"/>
      <c r="D1" s="44"/>
      <c r="E1" s="44" t="s">
        <v>13</v>
      </c>
      <c r="F1" s="44"/>
      <c r="G1" s="44" t="s">
        <v>3</v>
      </c>
      <c r="H1" s="44"/>
    </row>
    <row r="2" spans="1:8" ht="24.95" customHeight="1" x14ac:dyDescent="0.25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25">
      <c r="A3" s="22">
        <v>1</v>
      </c>
      <c r="B3" s="23" t="s">
        <v>23</v>
      </c>
      <c r="C3" s="14" t="s">
        <v>30</v>
      </c>
      <c r="D3" s="14" t="s">
        <v>130</v>
      </c>
      <c r="E3" s="35">
        <v>0</v>
      </c>
      <c r="F3" s="35">
        <v>32</v>
      </c>
      <c r="G3" s="24"/>
      <c r="H3" s="24"/>
    </row>
    <row r="4" spans="1:8" x14ac:dyDescent="0.25">
      <c r="A4" s="22">
        <v>2</v>
      </c>
      <c r="B4" s="23" t="s">
        <v>20</v>
      </c>
      <c r="C4" s="14" t="s">
        <v>30</v>
      </c>
      <c r="D4" s="14" t="s">
        <v>32</v>
      </c>
      <c r="E4" s="35">
        <v>0</v>
      </c>
      <c r="F4" s="35">
        <v>36</v>
      </c>
      <c r="G4" s="24"/>
      <c r="H4" s="24"/>
    </row>
    <row r="5" spans="1:8" x14ac:dyDescent="0.25">
      <c r="A5" s="22">
        <v>3</v>
      </c>
      <c r="B5" s="23" t="s">
        <v>22</v>
      </c>
      <c r="C5" s="14" t="s">
        <v>30</v>
      </c>
      <c r="D5" s="14" t="s">
        <v>299</v>
      </c>
      <c r="E5" s="35">
        <v>0</v>
      </c>
      <c r="F5" s="35">
        <v>27</v>
      </c>
      <c r="G5" s="24"/>
      <c r="H5" s="24"/>
    </row>
    <row r="6" spans="1:8" x14ac:dyDescent="0.25">
      <c r="A6" s="22">
        <v>4</v>
      </c>
      <c r="B6" s="23" t="s">
        <v>24</v>
      </c>
      <c r="C6" s="14" t="s">
        <v>30</v>
      </c>
      <c r="D6" s="14" t="s">
        <v>31</v>
      </c>
      <c r="E6" s="35">
        <v>0</v>
      </c>
      <c r="F6" s="35">
        <v>26</v>
      </c>
      <c r="G6" s="24"/>
      <c r="H6" s="24"/>
    </row>
    <row r="7" spans="1:8" x14ac:dyDescent="0.25">
      <c r="A7" s="22">
        <v>5</v>
      </c>
      <c r="B7" s="23" t="s">
        <v>131</v>
      </c>
      <c r="C7" s="14" t="s">
        <v>30</v>
      </c>
      <c r="D7" s="14" t="s">
        <v>32</v>
      </c>
      <c r="E7" s="35">
        <v>0</v>
      </c>
      <c r="F7" s="35">
        <v>25</v>
      </c>
      <c r="G7" s="24"/>
      <c r="H7" s="24"/>
    </row>
    <row r="8" spans="1:8" x14ac:dyDescent="0.25">
      <c r="H8" s="24"/>
    </row>
    <row r="9" spans="1:8" x14ac:dyDescent="0.25">
      <c r="H9" s="2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5"/>
  <sheetViews>
    <sheetView workbookViewId="0">
      <selection activeCell="F14" sqref="F14"/>
    </sheetView>
  </sheetViews>
  <sheetFormatPr defaultRowHeight="15" x14ac:dyDescent="0.2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25" x14ac:dyDescent="0.25">
      <c r="A1" s="44" t="s">
        <v>0</v>
      </c>
      <c r="B1" s="44"/>
      <c r="C1" s="1" t="s">
        <v>2</v>
      </c>
      <c r="D1" s="44" t="s">
        <v>33</v>
      </c>
      <c r="E1" s="44"/>
      <c r="F1" s="44"/>
      <c r="G1" s="44"/>
    </row>
    <row r="2" spans="1:25" x14ac:dyDescent="0.25">
      <c r="A2" s="1" t="s">
        <v>5</v>
      </c>
      <c r="B2" s="1" t="s">
        <v>6</v>
      </c>
      <c r="C2" s="1" t="s">
        <v>12</v>
      </c>
      <c r="D2" s="1" t="s">
        <v>34</v>
      </c>
      <c r="E2" s="1" t="s">
        <v>35</v>
      </c>
      <c r="F2" s="1" t="s">
        <v>36</v>
      </c>
      <c r="G2" s="1" t="s">
        <v>37</v>
      </c>
      <c r="W2" s="1"/>
      <c r="X2" s="1"/>
      <c r="Y2" s="1"/>
    </row>
    <row r="3" spans="1:25" ht="56.25" x14ac:dyDescent="0.25">
      <c r="A3" s="14">
        <v>0</v>
      </c>
      <c r="B3" s="14" t="s">
        <v>132</v>
      </c>
      <c r="C3" s="9"/>
      <c r="D3" s="3"/>
      <c r="E3" s="3"/>
      <c r="F3" s="3"/>
      <c r="G3" s="3"/>
      <c r="W3" s="4"/>
      <c r="X3" s="4"/>
      <c r="Y3" s="4"/>
    </row>
    <row r="4" spans="1:25" x14ac:dyDescent="0.25">
      <c r="A4" s="14">
        <v>1</v>
      </c>
      <c r="B4" s="14" t="s">
        <v>116</v>
      </c>
      <c r="C4" s="9"/>
      <c r="D4" s="3"/>
      <c r="E4" s="3"/>
      <c r="F4" s="3"/>
      <c r="G4" s="3"/>
      <c r="W4" s="4"/>
      <c r="X4" s="4"/>
      <c r="Y4" s="4"/>
    </row>
    <row r="5" spans="1:25" ht="33.75" x14ac:dyDescent="0.25">
      <c r="A5" s="32">
        <v>2</v>
      </c>
      <c r="B5" s="32" t="s">
        <v>133</v>
      </c>
      <c r="C5" s="9"/>
      <c r="D5" s="3" t="s">
        <v>39</v>
      </c>
      <c r="E5" s="3">
        <v>50</v>
      </c>
      <c r="F5" s="3">
        <v>100</v>
      </c>
      <c r="G5" s="3">
        <v>150</v>
      </c>
      <c r="W5" s="4"/>
      <c r="X5" s="4"/>
      <c r="Y5" s="4"/>
    </row>
    <row r="6" spans="1:25" ht="22.5" x14ac:dyDescent="0.25">
      <c r="A6" s="32">
        <v>3</v>
      </c>
      <c r="B6" s="32" t="s">
        <v>135</v>
      </c>
      <c r="C6" s="9"/>
      <c r="D6" s="3" t="s">
        <v>39</v>
      </c>
      <c r="E6" s="3">
        <v>50</v>
      </c>
      <c r="F6" s="3">
        <v>100</v>
      </c>
      <c r="G6" s="3">
        <v>150</v>
      </c>
      <c r="W6" s="4"/>
      <c r="X6" s="4"/>
      <c r="Y6" s="4"/>
    </row>
    <row r="7" spans="1:25" ht="22.5" x14ac:dyDescent="0.25">
      <c r="A7" s="15">
        <v>4</v>
      </c>
      <c r="B7" s="15" t="s">
        <v>300</v>
      </c>
      <c r="C7" s="9"/>
      <c r="D7" s="3"/>
      <c r="E7" s="3"/>
      <c r="F7" s="3"/>
      <c r="G7" s="3"/>
      <c r="W7" s="4"/>
      <c r="X7" s="4"/>
      <c r="Y7" s="4"/>
    </row>
    <row r="8" spans="1:25" x14ac:dyDescent="0.25">
      <c r="A8" s="14">
        <v>5</v>
      </c>
      <c r="B8" s="14" t="s">
        <v>116</v>
      </c>
      <c r="C8" s="9"/>
      <c r="D8" s="3"/>
      <c r="E8" s="3"/>
      <c r="F8" s="3"/>
      <c r="G8" s="3"/>
      <c r="W8" s="4"/>
      <c r="X8" s="4"/>
      <c r="Y8" s="4"/>
    </row>
    <row r="9" spans="1:25" x14ac:dyDescent="0.25">
      <c r="A9" s="32">
        <v>6</v>
      </c>
      <c r="B9" s="32" t="s">
        <v>139</v>
      </c>
      <c r="C9" s="9"/>
      <c r="D9" s="3" t="s">
        <v>39</v>
      </c>
      <c r="E9" s="3">
        <v>50</v>
      </c>
      <c r="F9" s="3">
        <v>100</v>
      </c>
      <c r="G9" s="3">
        <v>150</v>
      </c>
      <c r="W9" s="4"/>
      <c r="X9" s="4"/>
      <c r="Y9" s="4"/>
    </row>
    <row r="10" spans="1:25" x14ac:dyDescent="0.25">
      <c r="A10" s="15">
        <v>7</v>
      </c>
      <c r="B10" s="14" t="s">
        <v>117</v>
      </c>
      <c r="C10" s="9"/>
      <c r="D10" s="3"/>
      <c r="E10" s="3"/>
      <c r="F10" s="3"/>
      <c r="G10" s="3"/>
      <c r="W10" s="4"/>
      <c r="X10" s="4"/>
      <c r="Y10" s="4"/>
    </row>
    <row r="11" spans="1:25" ht="33.75" x14ac:dyDescent="0.25">
      <c r="A11" s="32">
        <v>8</v>
      </c>
      <c r="B11" s="32" t="s">
        <v>144</v>
      </c>
      <c r="C11" s="9"/>
      <c r="D11" s="3" t="s">
        <v>39</v>
      </c>
      <c r="E11" s="3">
        <v>50</v>
      </c>
      <c r="F11" s="3">
        <v>100</v>
      </c>
      <c r="G11" s="3">
        <v>150</v>
      </c>
      <c r="W11" s="4"/>
      <c r="X11" s="4"/>
      <c r="Y11" s="4"/>
    </row>
    <row r="12" spans="1:25" x14ac:dyDescent="0.25">
      <c r="A12" s="32">
        <v>9</v>
      </c>
      <c r="B12" s="32" t="s">
        <v>148</v>
      </c>
      <c r="C12" s="9"/>
      <c r="D12" s="3" t="s">
        <v>39</v>
      </c>
      <c r="E12" s="3">
        <v>50</v>
      </c>
      <c r="F12" s="3">
        <v>100</v>
      </c>
      <c r="G12" s="3">
        <v>150</v>
      </c>
      <c r="W12" s="4"/>
      <c r="X12" s="4"/>
      <c r="Y12" s="4"/>
    </row>
    <row r="13" spans="1:25" ht="22.5" x14ac:dyDescent="0.25">
      <c r="A13" s="32">
        <v>10</v>
      </c>
      <c r="B13" s="32" t="s">
        <v>153</v>
      </c>
      <c r="C13" s="9"/>
      <c r="D13" s="3" t="s">
        <v>39</v>
      </c>
      <c r="E13" s="3">
        <v>50</v>
      </c>
      <c r="F13" s="3">
        <v>100</v>
      </c>
      <c r="G13" s="3">
        <v>150</v>
      </c>
      <c r="W13" s="4"/>
      <c r="X13" s="4"/>
      <c r="Y13" s="4"/>
    </row>
    <row r="14" spans="1:25" ht="22.5" x14ac:dyDescent="0.25">
      <c r="A14" s="32">
        <v>11</v>
      </c>
      <c r="B14" s="32" t="s">
        <v>120</v>
      </c>
      <c r="C14" s="9"/>
      <c r="D14" s="3" t="s">
        <v>39</v>
      </c>
      <c r="E14" s="3">
        <v>50</v>
      </c>
      <c r="F14" s="3">
        <v>100</v>
      </c>
      <c r="G14" s="3">
        <v>150</v>
      </c>
      <c r="W14" s="4"/>
      <c r="X14" s="4"/>
      <c r="Y14" s="4"/>
    </row>
    <row r="15" spans="1:25" ht="22.5" x14ac:dyDescent="0.25">
      <c r="A15" s="15">
        <v>12</v>
      </c>
      <c r="B15" s="14" t="s">
        <v>121</v>
      </c>
      <c r="C15" s="9"/>
      <c r="D15" s="3"/>
      <c r="E15" s="3"/>
      <c r="F15" s="3"/>
      <c r="G15" s="3"/>
      <c r="W15" s="4"/>
      <c r="X15" s="4"/>
      <c r="Y15" s="4"/>
    </row>
    <row r="16" spans="1:25" ht="22.5" x14ac:dyDescent="0.25">
      <c r="A16" s="32">
        <v>13</v>
      </c>
      <c r="B16" s="32" t="s">
        <v>162</v>
      </c>
      <c r="C16" s="9"/>
      <c r="D16" s="3" t="s">
        <v>39</v>
      </c>
      <c r="E16" s="3">
        <v>50</v>
      </c>
      <c r="F16" s="3">
        <v>100</v>
      </c>
      <c r="G16" s="3">
        <v>150</v>
      </c>
      <c r="W16" s="4"/>
      <c r="X16" s="4"/>
      <c r="Y16" s="4"/>
    </row>
    <row r="17" spans="1:25" ht="22.5" x14ac:dyDescent="0.25">
      <c r="A17" s="32">
        <v>14</v>
      </c>
      <c r="B17" s="32" t="s">
        <v>166</v>
      </c>
      <c r="C17" s="9"/>
      <c r="D17" s="3" t="s">
        <v>39</v>
      </c>
      <c r="E17" s="3">
        <v>50</v>
      </c>
      <c r="F17" s="3">
        <v>100</v>
      </c>
      <c r="G17" s="3">
        <v>150</v>
      </c>
      <c r="W17" s="4"/>
      <c r="X17" s="4"/>
      <c r="Y17" s="4"/>
    </row>
    <row r="18" spans="1:25" ht="22.5" x14ac:dyDescent="0.25">
      <c r="A18" s="32">
        <v>15</v>
      </c>
      <c r="B18" s="32" t="s">
        <v>170</v>
      </c>
      <c r="C18" s="9"/>
      <c r="D18" s="3" t="s">
        <v>39</v>
      </c>
      <c r="E18" s="3">
        <v>50</v>
      </c>
      <c r="F18" s="3">
        <v>100</v>
      </c>
      <c r="G18" s="3">
        <v>150</v>
      </c>
      <c r="W18" s="4"/>
      <c r="X18" s="4"/>
      <c r="Y18" s="4"/>
    </row>
    <row r="19" spans="1:25" ht="33.75" x14ac:dyDescent="0.25">
      <c r="A19" s="32">
        <v>16</v>
      </c>
      <c r="B19" s="32" t="s">
        <v>175</v>
      </c>
      <c r="C19" s="9"/>
      <c r="D19" s="3" t="s">
        <v>39</v>
      </c>
      <c r="E19" s="3">
        <v>50</v>
      </c>
      <c r="F19" s="3">
        <v>100</v>
      </c>
      <c r="G19" s="3">
        <v>150</v>
      </c>
      <c r="W19" s="4"/>
      <c r="X19" s="4"/>
      <c r="Y19" s="4"/>
    </row>
    <row r="20" spans="1:25" x14ac:dyDescent="0.25">
      <c r="A20" s="32">
        <v>17</v>
      </c>
      <c r="B20" s="32" t="s">
        <v>178</v>
      </c>
      <c r="C20" s="9"/>
      <c r="D20" s="3" t="s">
        <v>39</v>
      </c>
      <c r="E20" s="3">
        <v>50</v>
      </c>
      <c r="F20" s="3">
        <v>100</v>
      </c>
      <c r="G20" s="3">
        <v>150</v>
      </c>
      <c r="W20" s="4"/>
      <c r="X20" s="4"/>
      <c r="Y20" s="4"/>
    </row>
    <row r="21" spans="1:25" x14ac:dyDescent="0.25">
      <c r="A21" s="15">
        <v>18</v>
      </c>
      <c r="B21" s="14" t="s">
        <v>182</v>
      </c>
      <c r="C21" s="9"/>
      <c r="D21" s="3"/>
      <c r="E21" s="3"/>
      <c r="F21" s="3"/>
      <c r="G21" s="3"/>
      <c r="W21" s="4"/>
      <c r="X21" s="4"/>
      <c r="Y21" s="4"/>
    </row>
    <row r="22" spans="1:25" x14ac:dyDescent="0.25">
      <c r="A22" s="32">
        <v>19</v>
      </c>
      <c r="B22" s="32" t="s">
        <v>184</v>
      </c>
      <c r="C22" s="9"/>
      <c r="D22" s="3" t="s">
        <v>39</v>
      </c>
      <c r="E22" s="3">
        <v>50</v>
      </c>
      <c r="F22" s="3">
        <v>100</v>
      </c>
      <c r="G22" s="3">
        <v>150</v>
      </c>
      <c r="W22" s="4"/>
      <c r="X22" s="4"/>
      <c r="Y22" s="4"/>
    </row>
    <row r="23" spans="1:25" x14ac:dyDescent="0.25">
      <c r="A23" s="14">
        <v>20</v>
      </c>
      <c r="B23" s="14" t="s">
        <v>187</v>
      </c>
      <c r="C23" s="9"/>
      <c r="D23" s="3"/>
      <c r="E23" s="3"/>
      <c r="F23" s="3"/>
      <c r="G23" s="3"/>
      <c r="W23" s="4"/>
      <c r="X23" s="4"/>
      <c r="Y23" s="4"/>
    </row>
    <row r="24" spans="1:25" x14ac:dyDescent="0.25">
      <c r="A24" s="32">
        <v>21</v>
      </c>
      <c r="B24" s="32" t="s">
        <v>189</v>
      </c>
      <c r="C24" s="9"/>
      <c r="D24" s="3" t="s">
        <v>39</v>
      </c>
      <c r="E24" s="3">
        <v>50</v>
      </c>
      <c r="F24" s="3">
        <v>100</v>
      </c>
      <c r="G24" s="3">
        <v>150</v>
      </c>
      <c r="W24" s="4"/>
      <c r="X24" s="4"/>
      <c r="Y24" s="4"/>
    </row>
    <row r="25" spans="1:25" x14ac:dyDescent="0.25">
      <c r="A25" s="15">
        <v>22</v>
      </c>
      <c r="B25" s="14" t="s">
        <v>192</v>
      </c>
      <c r="C25" s="9"/>
      <c r="D25" s="3"/>
      <c r="E25" s="3"/>
      <c r="F25" s="3"/>
      <c r="G25" s="3"/>
      <c r="W25" s="4"/>
      <c r="X25" s="4"/>
      <c r="Y25" s="4"/>
    </row>
    <row r="26" spans="1:25" ht="22.5" x14ac:dyDescent="0.25">
      <c r="A26" s="32">
        <v>23</v>
      </c>
      <c r="B26" s="32" t="s">
        <v>194</v>
      </c>
      <c r="C26" s="9"/>
      <c r="D26" s="3" t="s">
        <v>39</v>
      </c>
      <c r="E26" s="3">
        <v>50</v>
      </c>
      <c r="F26" s="3">
        <v>100</v>
      </c>
      <c r="G26" s="3">
        <v>150</v>
      </c>
      <c r="W26" s="4"/>
      <c r="X26" s="4"/>
      <c r="Y26" s="4"/>
    </row>
    <row r="27" spans="1:25" x14ac:dyDescent="0.25">
      <c r="A27" s="15">
        <v>24</v>
      </c>
      <c r="B27" s="14" t="s">
        <v>128</v>
      </c>
      <c r="C27" s="9"/>
      <c r="D27" s="3"/>
      <c r="E27" s="3"/>
      <c r="F27" s="3"/>
      <c r="G27" s="3"/>
      <c r="W27" s="4"/>
      <c r="X27" s="4"/>
      <c r="Y27" s="4"/>
    </row>
    <row r="28" spans="1:25" ht="22.5" x14ac:dyDescent="0.25">
      <c r="A28" s="32">
        <v>25</v>
      </c>
      <c r="B28" s="32" t="s">
        <v>198</v>
      </c>
      <c r="C28" s="9"/>
      <c r="D28" s="3" t="s">
        <v>39</v>
      </c>
      <c r="E28" s="3">
        <v>50</v>
      </c>
      <c r="F28" s="3">
        <v>100</v>
      </c>
      <c r="G28" s="3">
        <v>150</v>
      </c>
      <c r="W28" s="4"/>
      <c r="X28" s="4"/>
      <c r="Y28" s="4"/>
    </row>
    <row r="29" spans="1:25" ht="22.5" x14ac:dyDescent="0.25">
      <c r="A29" s="32">
        <v>26</v>
      </c>
      <c r="B29" s="32" t="s">
        <v>202</v>
      </c>
      <c r="C29" s="9"/>
      <c r="D29" s="3" t="s">
        <v>39</v>
      </c>
      <c r="E29" s="3">
        <v>50</v>
      </c>
      <c r="F29" s="3">
        <v>100</v>
      </c>
      <c r="G29" s="3">
        <v>150</v>
      </c>
      <c r="W29" s="4"/>
      <c r="X29" s="4"/>
      <c r="Y29" s="4"/>
    </row>
    <row r="30" spans="1:25" ht="22.5" x14ac:dyDescent="0.25">
      <c r="A30" s="15">
        <v>27</v>
      </c>
      <c r="B30" s="14" t="s">
        <v>301</v>
      </c>
      <c r="C30" s="9"/>
      <c r="D30" s="3"/>
      <c r="E30" s="3"/>
      <c r="F30" s="3"/>
      <c r="G30" s="3"/>
      <c r="W30" s="4"/>
      <c r="X30" s="4"/>
      <c r="Y30" s="4"/>
    </row>
    <row r="31" spans="1:25" x14ac:dyDescent="0.25">
      <c r="A31" s="15">
        <v>28</v>
      </c>
      <c r="B31" s="14" t="s">
        <v>116</v>
      </c>
      <c r="C31" s="9"/>
      <c r="D31" s="3"/>
      <c r="E31" s="3"/>
      <c r="F31" s="3"/>
      <c r="G31" s="3"/>
      <c r="W31" s="4"/>
      <c r="X31" s="4"/>
      <c r="Y31" s="4"/>
    </row>
    <row r="32" spans="1:25" ht="22.5" x14ac:dyDescent="0.25">
      <c r="A32" s="32">
        <v>29</v>
      </c>
      <c r="B32" s="32" t="s">
        <v>206</v>
      </c>
      <c r="C32" s="9"/>
      <c r="D32" s="3" t="s">
        <v>39</v>
      </c>
      <c r="E32" s="3">
        <v>50</v>
      </c>
      <c r="F32" s="3">
        <v>100</v>
      </c>
      <c r="G32" s="3">
        <v>150</v>
      </c>
      <c r="W32" s="4"/>
      <c r="X32" s="4"/>
      <c r="Y32" s="4"/>
    </row>
    <row r="33" spans="1:25" x14ac:dyDescent="0.25">
      <c r="A33" s="15">
        <v>30</v>
      </c>
      <c r="B33" s="14" t="s">
        <v>117</v>
      </c>
      <c r="C33" s="9"/>
      <c r="D33" s="3"/>
      <c r="E33" s="3"/>
      <c r="F33" s="3"/>
      <c r="G33" s="3"/>
      <c r="W33" s="4"/>
      <c r="X33" s="4"/>
      <c r="Y33" s="4"/>
    </row>
    <row r="34" spans="1:25" ht="33.75" x14ac:dyDescent="0.25">
      <c r="A34" s="32">
        <v>31</v>
      </c>
      <c r="B34" s="32" t="s">
        <v>144</v>
      </c>
      <c r="C34" s="9"/>
      <c r="D34" s="3" t="s">
        <v>39</v>
      </c>
      <c r="E34" s="3">
        <v>50</v>
      </c>
      <c r="F34" s="3">
        <v>100</v>
      </c>
      <c r="G34" s="3">
        <v>150</v>
      </c>
      <c r="W34" s="4"/>
      <c r="X34" s="4"/>
      <c r="Y34" s="4"/>
    </row>
    <row r="35" spans="1:25" ht="22.5" x14ac:dyDescent="0.25">
      <c r="A35" s="32">
        <v>32</v>
      </c>
      <c r="B35" s="32" t="s">
        <v>153</v>
      </c>
      <c r="C35" s="9"/>
      <c r="D35" s="3" t="s">
        <v>39</v>
      </c>
      <c r="E35" s="3">
        <v>50</v>
      </c>
      <c r="F35" s="3">
        <v>100</v>
      </c>
      <c r="G35" s="3">
        <v>150</v>
      </c>
      <c r="W35" s="4"/>
      <c r="X35" s="4"/>
      <c r="Y35" s="4"/>
    </row>
    <row r="36" spans="1:25" ht="22.5" x14ac:dyDescent="0.25">
      <c r="A36" s="32">
        <v>33</v>
      </c>
      <c r="B36" s="32" t="s">
        <v>120</v>
      </c>
      <c r="C36" s="9"/>
      <c r="D36" s="3" t="s">
        <v>39</v>
      </c>
      <c r="E36" s="3">
        <v>50</v>
      </c>
      <c r="F36" s="3">
        <v>100</v>
      </c>
      <c r="G36" s="3">
        <v>150</v>
      </c>
      <c r="W36" s="4"/>
      <c r="X36" s="4"/>
      <c r="Y36" s="4"/>
    </row>
    <row r="37" spans="1:25" ht="22.5" x14ac:dyDescent="0.25">
      <c r="A37" s="15">
        <v>34</v>
      </c>
      <c r="B37" s="14" t="s">
        <v>121</v>
      </c>
      <c r="C37" s="9"/>
      <c r="D37" s="3"/>
      <c r="E37" s="3"/>
      <c r="F37" s="3"/>
      <c r="G37" s="3"/>
      <c r="W37" s="4"/>
      <c r="X37" s="4"/>
      <c r="Y37" s="4"/>
    </row>
    <row r="38" spans="1:25" ht="22.5" x14ac:dyDescent="0.25">
      <c r="A38" s="32">
        <v>35</v>
      </c>
      <c r="B38" s="32" t="s">
        <v>162</v>
      </c>
      <c r="C38" s="9"/>
      <c r="D38" s="3" t="s">
        <v>39</v>
      </c>
      <c r="E38" s="3">
        <v>50</v>
      </c>
      <c r="F38" s="3">
        <v>100</v>
      </c>
      <c r="G38" s="3">
        <v>150</v>
      </c>
      <c r="W38" s="4"/>
      <c r="X38" s="4"/>
      <c r="Y38" s="4"/>
    </row>
    <row r="39" spans="1:25" ht="33.75" x14ac:dyDescent="0.25">
      <c r="A39" s="32">
        <v>36</v>
      </c>
      <c r="B39" s="32" t="s">
        <v>302</v>
      </c>
      <c r="C39" s="9"/>
      <c r="D39" s="3" t="s">
        <v>39</v>
      </c>
      <c r="E39" s="3">
        <v>50</v>
      </c>
      <c r="F39" s="3">
        <v>100</v>
      </c>
      <c r="G39" s="3">
        <v>150</v>
      </c>
      <c r="W39" s="4"/>
      <c r="X39" s="4"/>
      <c r="Y39" s="4"/>
    </row>
    <row r="40" spans="1:25" ht="22.5" x14ac:dyDescent="0.25">
      <c r="A40" s="32">
        <v>37</v>
      </c>
      <c r="B40" s="32" t="s">
        <v>170</v>
      </c>
      <c r="C40" s="9"/>
      <c r="D40" s="3" t="s">
        <v>39</v>
      </c>
      <c r="E40" s="3">
        <v>50</v>
      </c>
      <c r="F40" s="3">
        <v>100</v>
      </c>
      <c r="G40" s="3">
        <v>150</v>
      </c>
      <c r="W40" s="4"/>
      <c r="X40" s="4"/>
      <c r="Y40" s="4"/>
    </row>
    <row r="41" spans="1:25" x14ac:dyDescent="0.25">
      <c r="A41" s="32">
        <v>38</v>
      </c>
      <c r="B41" s="32" t="s">
        <v>178</v>
      </c>
      <c r="C41" s="9"/>
      <c r="D41" s="3" t="s">
        <v>39</v>
      </c>
      <c r="E41" s="3">
        <v>50</v>
      </c>
      <c r="F41" s="3">
        <v>100</v>
      </c>
      <c r="G41" s="3">
        <v>150</v>
      </c>
      <c r="W41" s="4"/>
      <c r="X41" s="4"/>
      <c r="Y41" s="4"/>
    </row>
    <row r="42" spans="1:25" x14ac:dyDescent="0.25">
      <c r="A42" s="15">
        <v>39</v>
      </c>
      <c r="B42" s="14" t="s">
        <v>182</v>
      </c>
      <c r="C42" s="9"/>
      <c r="D42" s="3"/>
      <c r="E42" s="3"/>
      <c r="F42" s="3"/>
      <c r="G42" s="3"/>
      <c r="W42" s="4"/>
      <c r="X42" s="4"/>
      <c r="Y42" s="4"/>
    </row>
    <row r="43" spans="1:25" ht="23.25" x14ac:dyDescent="0.25">
      <c r="A43" s="32">
        <v>40</v>
      </c>
      <c r="B43" s="32" t="s">
        <v>184</v>
      </c>
      <c r="C43" s="9"/>
      <c r="D43" s="3" t="s">
        <v>41</v>
      </c>
      <c r="E43" s="3">
        <v>80</v>
      </c>
      <c r="F43" s="3">
        <v>100</v>
      </c>
      <c r="G43" s="3">
        <v>180</v>
      </c>
      <c r="W43" s="4"/>
      <c r="X43" s="4"/>
      <c r="Y43" s="4"/>
    </row>
    <row r="44" spans="1:25" x14ac:dyDescent="0.25">
      <c r="A44" s="14">
        <v>41</v>
      </c>
      <c r="B44" s="14" t="s">
        <v>189</v>
      </c>
      <c r="C44" s="9"/>
      <c r="D44" s="3"/>
      <c r="E44" s="3"/>
      <c r="F44" s="3"/>
      <c r="G44" s="3"/>
      <c r="W44" s="4"/>
      <c r="X44" s="4"/>
      <c r="Y44" s="4"/>
    </row>
    <row r="45" spans="1:25" ht="23.25" x14ac:dyDescent="0.25">
      <c r="A45" s="32">
        <v>42</v>
      </c>
      <c r="B45" s="32" t="s">
        <v>189</v>
      </c>
      <c r="C45" s="9"/>
      <c r="D45" s="3" t="s">
        <v>41</v>
      </c>
      <c r="E45" s="3">
        <v>80</v>
      </c>
      <c r="F45" s="3">
        <v>100</v>
      </c>
      <c r="G45" s="3">
        <v>180</v>
      </c>
    </row>
    <row r="46" spans="1:25" x14ac:dyDescent="0.25">
      <c r="A46" s="15">
        <v>43</v>
      </c>
      <c r="B46" s="14" t="s">
        <v>192</v>
      </c>
      <c r="C46" s="9"/>
      <c r="D46" s="3"/>
      <c r="E46" s="3"/>
      <c r="F46" s="3"/>
      <c r="G46" s="3"/>
    </row>
    <row r="47" spans="1:25" ht="23.25" x14ac:dyDescent="0.25">
      <c r="A47" s="32">
        <v>44</v>
      </c>
      <c r="B47" s="32" t="s">
        <v>194</v>
      </c>
      <c r="C47" s="9"/>
      <c r="D47" s="3" t="s">
        <v>41</v>
      </c>
      <c r="E47" s="3">
        <v>80</v>
      </c>
      <c r="F47" s="3">
        <v>100</v>
      </c>
      <c r="G47" s="3">
        <v>180</v>
      </c>
    </row>
    <row r="48" spans="1:25" x14ac:dyDescent="0.25">
      <c r="A48" s="15">
        <v>45</v>
      </c>
      <c r="B48" s="14" t="s">
        <v>128</v>
      </c>
      <c r="C48" s="9"/>
      <c r="D48" s="3"/>
      <c r="E48" s="3"/>
      <c r="F48" s="3"/>
      <c r="G48" s="3"/>
    </row>
    <row r="49" spans="1:7" ht="23.25" x14ac:dyDescent="0.25">
      <c r="A49" s="32">
        <v>46</v>
      </c>
      <c r="B49" s="32" t="s">
        <v>240</v>
      </c>
      <c r="C49" s="9"/>
      <c r="D49" s="3" t="s">
        <v>40</v>
      </c>
      <c r="E49" s="3">
        <v>20</v>
      </c>
      <c r="F49" s="3">
        <v>100</v>
      </c>
      <c r="G49" s="3">
        <v>120</v>
      </c>
    </row>
    <row r="50" spans="1:7" ht="22.5" x14ac:dyDescent="0.25">
      <c r="A50" s="14">
        <v>47</v>
      </c>
      <c r="B50" s="14" t="s">
        <v>303</v>
      </c>
      <c r="C50" s="9"/>
      <c r="D50" s="3"/>
      <c r="E50" s="3"/>
      <c r="F50" s="3"/>
      <c r="G50" s="3"/>
    </row>
    <row r="51" spans="1:7" x14ac:dyDescent="0.25">
      <c r="A51" s="15">
        <v>48</v>
      </c>
      <c r="B51" s="14" t="s">
        <v>116</v>
      </c>
      <c r="C51" s="9"/>
      <c r="D51" s="3"/>
      <c r="E51" s="3"/>
      <c r="F51" s="3"/>
      <c r="G51" s="3"/>
    </row>
    <row r="52" spans="1:7" ht="22.5" x14ac:dyDescent="0.25">
      <c r="A52" s="32">
        <v>49</v>
      </c>
      <c r="B52" s="32" t="s">
        <v>244</v>
      </c>
      <c r="C52" s="9"/>
      <c r="D52" s="3" t="s">
        <v>38</v>
      </c>
      <c r="E52" s="3">
        <v>50</v>
      </c>
      <c r="F52" s="3">
        <v>100</v>
      </c>
      <c r="G52" s="3">
        <v>150</v>
      </c>
    </row>
    <row r="53" spans="1:7" ht="22.5" x14ac:dyDescent="0.25">
      <c r="A53" s="32">
        <v>50</v>
      </c>
      <c r="B53" s="32" t="s">
        <v>206</v>
      </c>
      <c r="C53" s="9"/>
      <c r="D53" s="3" t="s">
        <v>38</v>
      </c>
      <c r="E53" s="3">
        <v>50</v>
      </c>
      <c r="F53" s="3">
        <v>100</v>
      </c>
      <c r="G53" s="3">
        <v>150</v>
      </c>
    </row>
    <row r="54" spans="1:7" x14ac:dyDescent="0.25">
      <c r="A54" s="14">
        <v>51</v>
      </c>
      <c r="B54" s="14" t="s">
        <v>117</v>
      </c>
      <c r="C54" s="9"/>
      <c r="D54" s="3"/>
      <c r="E54" s="3"/>
      <c r="F54" s="3"/>
      <c r="G54" s="3"/>
    </row>
    <row r="55" spans="1:7" ht="22.5" x14ac:dyDescent="0.25">
      <c r="A55" s="32">
        <v>52</v>
      </c>
      <c r="B55" s="32" t="s">
        <v>250</v>
      </c>
      <c r="C55" s="9"/>
      <c r="D55" s="3" t="s">
        <v>39</v>
      </c>
      <c r="E55" s="3">
        <v>50</v>
      </c>
      <c r="F55" s="3">
        <v>100</v>
      </c>
      <c r="G55" s="3">
        <v>150</v>
      </c>
    </row>
    <row r="56" spans="1:7" ht="22.5" x14ac:dyDescent="0.25">
      <c r="A56" s="32">
        <v>53</v>
      </c>
      <c r="B56" s="32" t="s">
        <v>254</v>
      </c>
      <c r="C56" s="9"/>
      <c r="D56" s="3" t="s">
        <v>39</v>
      </c>
      <c r="E56" s="3">
        <v>50</v>
      </c>
      <c r="F56" s="3">
        <v>100</v>
      </c>
      <c r="G56" s="3">
        <v>150</v>
      </c>
    </row>
    <row r="57" spans="1:7" ht="22.5" x14ac:dyDescent="0.25">
      <c r="A57" s="32">
        <v>54</v>
      </c>
      <c r="B57" s="32" t="s">
        <v>120</v>
      </c>
      <c r="C57" s="9"/>
      <c r="D57" s="3" t="s">
        <v>39</v>
      </c>
      <c r="E57" s="3">
        <v>50</v>
      </c>
      <c r="F57" s="3">
        <v>100</v>
      </c>
      <c r="G57" s="3">
        <v>150</v>
      </c>
    </row>
    <row r="58" spans="1:7" x14ac:dyDescent="0.25">
      <c r="A58" s="15">
        <v>55</v>
      </c>
      <c r="B58" s="14" t="s">
        <v>261</v>
      </c>
      <c r="C58" s="9"/>
      <c r="D58" s="3"/>
      <c r="E58" s="3"/>
      <c r="F58" s="3"/>
      <c r="G58" s="3"/>
    </row>
    <row r="59" spans="1:7" ht="23.25" x14ac:dyDescent="0.25">
      <c r="A59" s="32">
        <v>56</v>
      </c>
      <c r="B59" s="32" t="s">
        <v>162</v>
      </c>
      <c r="C59" s="9"/>
      <c r="D59" s="3" t="s">
        <v>40</v>
      </c>
      <c r="E59" s="3">
        <v>20</v>
      </c>
      <c r="F59" s="3">
        <v>100</v>
      </c>
      <c r="G59" s="3">
        <v>120</v>
      </c>
    </row>
    <row r="60" spans="1:7" ht="22.5" x14ac:dyDescent="0.25">
      <c r="A60" s="32">
        <v>57</v>
      </c>
      <c r="B60" s="32" t="s">
        <v>170</v>
      </c>
      <c r="C60" s="9"/>
      <c r="D60" s="3" t="s">
        <v>38</v>
      </c>
      <c r="E60" s="3">
        <v>50</v>
      </c>
      <c r="F60" s="3">
        <v>100</v>
      </c>
      <c r="G60" s="3">
        <v>150</v>
      </c>
    </row>
    <row r="61" spans="1:7" x14ac:dyDescent="0.25">
      <c r="A61" s="15">
        <v>58</v>
      </c>
      <c r="B61" s="14" t="s">
        <v>192</v>
      </c>
      <c r="C61" s="9"/>
      <c r="D61" s="3"/>
      <c r="E61" s="3"/>
      <c r="F61" s="3"/>
      <c r="G61" s="3"/>
    </row>
    <row r="62" spans="1:7" ht="22.5" x14ac:dyDescent="0.25">
      <c r="A62" s="32">
        <v>59</v>
      </c>
      <c r="B62" s="32" t="s">
        <v>194</v>
      </c>
      <c r="C62" s="9"/>
      <c r="D62" s="3" t="s">
        <v>39</v>
      </c>
      <c r="E62" s="3">
        <v>50</v>
      </c>
      <c r="F62" s="3">
        <v>100</v>
      </c>
      <c r="G62" s="3">
        <v>150</v>
      </c>
    </row>
    <row r="63" spans="1:7" x14ac:dyDescent="0.25">
      <c r="A63" s="15">
        <v>60</v>
      </c>
      <c r="B63" s="14" t="s">
        <v>182</v>
      </c>
      <c r="C63" s="9"/>
      <c r="D63" s="3"/>
      <c r="E63" s="3"/>
      <c r="F63" s="3"/>
      <c r="G63" s="3"/>
    </row>
    <row r="64" spans="1:7" x14ac:dyDescent="0.25">
      <c r="A64" s="32">
        <v>61</v>
      </c>
      <c r="B64" s="32" t="s">
        <v>273</v>
      </c>
      <c r="C64" s="9"/>
      <c r="D64" s="3" t="s">
        <v>39</v>
      </c>
      <c r="E64" s="3">
        <v>50</v>
      </c>
      <c r="F64" s="3">
        <v>100</v>
      </c>
      <c r="G64" s="3">
        <v>150</v>
      </c>
    </row>
    <row r="65" spans="1:7" x14ac:dyDescent="0.25">
      <c r="A65" s="14">
        <v>62</v>
      </c>
      <c r="B65" s="14" t="s">
        <v>187</v>
      </c>
      <c r="C65" s="9"/>
      <c r="D65" s="3"/>
      <c r="E65" s="3"/>
      <c r="F65" s="3"/>
      <c r="G65" s="3"/>
    </row>
    <row r="66" spans="1:7" x14ac:dyDescent="0.25">
      <c r="A66" s="32">
        <v>63</v>
      </c>
      <c r="B66" s="32" t="s">
        <v>187</v>
      </c>
      <c r="C66" s="9"/>
      <c r="D66" s="3" t="s">
        <v>38</v>
      </c>
      <c r="E66" s="3">
        <v>50</v>
      </c>
      <c r="F66" s="3">
        <v>100</v>
      </c>
      <c r="G66" s="3">
        <v>150</v>
      </c>
    </row>
    <row r="67" spans="1:7" x14ac:dyDescent="0.25">
      <c r="A67" s="15">
        <v>64</v>
      </c>
      <c r="B67" s="14" t="s">
        <v>103</v>
      </c>
      <c r="C67" s="9"/>
      <c r="D67" s="3"/>
      <c r="E67" s="3"/>
      <c r="F67" s="3"/>
      <c r="G67" s="3"/>
    </row>
    <row r="68" spans="1:7" ht="22.5" x14ac:dyDescent="0.25">
      <c r="A68" s="32">
        <v>65</v>
      </c>
      <c r="B68" s="32" t="s">
        <v>280</v>
      </c>
      <c r="C68" s="9"/>
      <c r="D68" s="3" t="s">
        <v>39</v>
      </c>
      <c r="E68" s="3">
        <v>50</v>
      </c>
      <c r="F68" s="3">
        <v>100</v>
      </c>
      <c r="G68" s="3">
        <v>150</v>
      </c>
    </row>
    <row r="69" spans="1:7" ht="22.5" x14ac:dyDescent="0.25">
      <c r="A69" s="32">
        <v>66</v>
      </c>
      <c r="B69" s="32" t="s">
        <v>107</v>
      </c>
      <c r="C69" s="9"/>
      <c r="D69" s="3" t="s">
        <v>39</v>
      </c>
      <c r="E69" s="3">
        <v>50</v>
      </c>
      <c r="F69" s="3">
        <v>100</v>
      </c>
      <c r="G69" s="3">
        <v>150</v>
      </c>
    </row>
    <row r="70" spans="1:7" x14ac:dyDescent="0.25">
      <c r="A70" s="15">
        <v>67</v>
      </c>
      <c r="B70" s="14" t="s">
        <v>110</v>
      </c>
      <c r="C70" s="9"/>
      <c r="D70" s="3"/>
      <c r="E70" s="3"/>
      <c r="F70" s="3"/>
      <c r="G70" s="3"/>
    </row>
    <row r="71" spans="1:7" ht="22.5" x14ac:dyDescent="0.25">
      <c r="A71" s="32">
        <v>68</v>
      </c>
      <c r="B71" s="32" t="s">
        <v>287</v>
      </c>
      <c r="C71" s="9"/>
      <c r="D71" s="3" t="s">
        <v>39</v>
      </c>
      <c r="E71" s="3">
        <v>50</v>
      </c>
      <c r="F71" s="3">
        <v>100</v>
      </c>
      <c r="G71" s="3">
        <v>150</v>
      </c>
    </row>
    <row r="72" spans="1:7" ht="22.5" x14ac:dyDescent="0.25">
      <c r="A72" s="32">
        <v>69</v>
      </c>
      <c r="B72" s="32" t="s">
        <v>289</v>
      </c>
      <c r="C72" s="9"/>
      <c r="D72" s="3" t="s">
        <v>39</v>
      </c>
      <c r="E72" s="3">
        <v>50</v>
      </c>
      <c r="F72" s="3">
        <v>100</v>
      </c>
      <c r="G72" s="3">
        <v>150</v>
      </c>
    </row>
    <row r="73" spans="1:7" ht="22.5" x14ac:dyDescent="0.25">
      <c r="A73" s="15">
        <v>70</v>
      </c>
      <c r="B73" s="14" t="s">
        <v>291</v>
      </c>
      <c r="C73" s="9"/>
      <c r="D73" s="3"/>
      <c r="E73" s="3"/>
      <c r="F73" s="3"/>
      <c r="G73" s="3"/>
    </row>
    <row r="74" spans="1:7" x14ac:dyDescent="0.25">
      <c r="A74" s="32">
        <v>71</v>
      </c>
      <c r="B74" s="32" t="s">
        <v>293</v>
      </c>
      <c r="C74" s="9"/>
      <c r="D74" s="3" t="s">
        <v>38</v>
      </c>
      <c r="E74" s="3">
        <v>50</v>
      </c>
      <c r="F74" s="3">
        <v>100</v>
      </c>
      <c r="G74" s="3">
        <v>150</v>
      </c>
    </row>
    <row r="75" spans="1:7" x14ac:dyDescent="0.25">
      <c r="A75" s="32">
        <v>72</v>
      </c>
      <c r="B75" s="32" t="s">
        <v>295</v>
      </c>
      <c r="C75" s="9"/>
      <c r="D75" s="3" t="s">
        <v>39</v>
      </c>
      <c r="E75" s="3">
        <v>50</v>
      </c>
      <c r="F75" s="3">
        <v>100</v>
      </c>
      <c r="G75" s="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7"/>
  <sheetViews>
    <sheetView topLeftCell="A36" workbookViewId="0">
      <selection activeCell="C1" sqref="C1"/>
    </sheetView>
  </sheetViews>
  <sheetFormatPr defaultRowHeight="15" x14ac:dyDescent="0.25"/>
  <cols>
    <col min="1" max="1" width="5.7109375" customWidth="1"/>
    <col min="2" max="2" width="18.7109375" customWidth="1"/>
    <col min="3" max="3" width="19.140625" customWidth="1"/>
    <col min="4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42</v>
      </c>
      <c r="C1" s="43">
        <v>45271.333333333336</v>
      </c>
      <c r="E1" s="1" t="s">
        <v>43</v>
      </c>
      <c r="F1" s="3" t="s">
        <v>57</v>
      </c>
    </row>
    <row r="3" spans="1:24" x14ac:dyDescent="0.2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44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56.25" x14ac:dyDescent="0.2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2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33.75" x14ac:dyDescent="0.2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7">
        <v>45231.333333333336</v>
      </c>
      <c r="M7" s="20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2.5" x14ac:dyDescent="0.2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7">
        <v>45231.333333333336</v>
      </c>
      <c r="M8" s="20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2.5" x14ac:dyDescent="0.2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9"/>
      <c r="M9" s="19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2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9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7">
        <v>45233.333333333336</v>
      </c>
      <c r="M11" s="20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2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9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3.75" x14ac:dyDescent="0.2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7">
        <v>45235.333333333336</v>
      </c>
      <c r="M13" s="20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2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7">
        <v>45237.333333333336</v>
      </c>
      <c r="M14" s="20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2.5" x14ac:dyDescent="0.2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7">
        <v>45238.333333333336</v>
      </c>
      <c r="M15" s="20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2.5" x14ac:dyDescent="0.2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7">
        <v>45240.333333333336</v>
      </c>
      <c r="M16" s="20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ht="22.5" x14ac:dyDescent="0.2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2.5" x14ac:dyDescent="0.2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0" t="s">
        <v>113</v>
      </c>
      <c r="N18" s="6"/>
      <c r="O18" s="6"/>
      <c r="P18" s="9"/>
      <c r="Q18" s="6"/>
      <c r="R18" s="8"/>
      <c r="S18" s="7">
        <f>8919.39/4</f>
        <v>2229.8474999999999</v>
      </c>
      <c r="T18" s="6"/>
      <c r="U18" s="38">
        <v>0.25</v>
      </c>
      <c r="V18" s="9"/>
      <c r="W18" s="6"/>
      <c r="X18" s="6"/>
    </row>
    <row r="19" spans="1:24" ht="22.5" x14ac:dyDescent="0.2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40"/>
      <c r="M19" s="2">
        <v>0</v>
      </c>
      <c r="N19" s="6"/>
      <c r="O19" s="6"/>
      <c r="P19" s="9"/>
      <c r="Q19" s="6"/>
      <c r="R19" s="8"/>
      <c r="S19" s="7">
        <v>0</v>
      </c>
      <c r="T19" s="6"/>
      <c r="U19" s="38">
        <v>0</v>
      </c>
      <c r="V19" s="9"/>
      <c r="W19" s="6"/>
      <c r="X19" s="6"/>
    </row>
    <row r="20" spans="1:24" ht="22.5" x14ac:dyDescent="0.2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40"/>
      <c r="M20" s="2">
        <v>0</v>
      </c>
      <c r="N20" s="6"/>
      <c r="O20" s="6"/>
      <c r="P20" s="9"/>
      <c r="Q20" s="6"/>
      <c r="R20" s="8"/>
      <c r="S20" s="7">
        <v>0</v>
      </c>
      <c r="T20" s="6"/>
      <c r="U20" s="38">
        <v>0</v>
      </c>
      <c r="V20" s="9"/>
      <c r="W20" s="6"/>
      <c r="X20" s="6"/>
    </row>
    <row r="21" spans="1:24" ht="33.75" x14ac:dyDescent="0.2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40"/>
      <c r="M21" s="2">
        <v>0</v>
      </c>
      <c r="N21" s="6"/>
      <c r="O21" s="6"/>
      <c r="P21" s="9"/>
      <c r="Q21" s="6"/>
      <c r="R21" s="8"/>
      <c r="S21" s="7">
        <v>0</v>
      </c>
      <c r="T21" s="6"/>
      <c r="U21" s="38">
        <v>0</v>
      </c>
      <c r="V21" s="9"/>
      <c r="W21" s="6"/>
      <c r="X21" s="6"/>
    </row>
    <row r="22" spans="1:24" x14ac:dyDescent="0.2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0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2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40"/>
      <c r="M24" s="2">
        <v>0</v>
      </c>
      <c r="N24" s="6"/>
      <c r="O24" s="6"/>
      <c r="P24" s="9"/>
      <c r="Q24" s="6"/>
      <c r="R24" s="8"/>
      <c r="S24" s="7">
        <v>0</v>
      </c>
      <c r="T24" s="6"/>
      <c r="U24" s="38">
        <v>0</v>
      </c>
      <c r="V24" s="9"/>
      <c r="W24" s="6"/>
      <c r="X24" s="6"/>
    </row>
    <row r="25" spans="1:24" x14ac:dyDescent="0.2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2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40"/>
      <c r="M26" s="2">
        <v>0</v>
      </c>
      <c r="N26" s="6"/>
      <c r="O26" s="6"/>
      <c r="P26" s="9"/>
      <c r="Q26" s="6"/>
      <c r="R26" s="8"/>
      <c r="S26" s="7">
        <v>0</v>
      </c>
      <c r="T26" s="6"/>
      <c r="U26" s="38">
        <v>0</v>
      </c>
      <c r="V26" s="9"/>
      <c r="W26" s="6"/>
      <c r="X26" s="6"/>
    </row>
    <row r="27" spans="1:24" x14ac:dyDescent="0.2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2.5" x14ac:dyDescent="0.2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40"/>
      <c r="M28" s="2">
        <v>0</v>
      </c>
      <c r="N28" s="6"/>
      <c r="O28" s="6"/>
      <c r="P28" s="9"/>
      <c r="Q28" s="6"/>
      <c r="R28" s="8"/>
      <c r="S28" s="7">
        <v>0</v>
      </c>
      <c r="T28" s="6"/>
      <c r="U28" s="38">
        <v>0</v>
      </c>
      <c r="V28" s="9"/>
      <c r="W28" s="6"/>
      <c r="X28" s="6"/>
    </row>
    <row r="29" spans="1:24" x14ac:dyDescent="0.2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2.5" x14ac:dyDescent="0.2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40"/>
      <c r="M30" s="2">
        <v>0</v>
      </c>
      <c r="N30" s="6"/>
      <c r="O30" s="6"/>
      <c r="P30" s="9"/>
      <c r="Q30" s="6"/>
      <c r="R30" s="8"/>
      <c r="S30" s="7">
        <v>0</v>
      </c>
      <c r="T30" s="6"/>
      <c r="U30" s="38">
        <v>0</v>
      </c>
      <c r="V30" s="9"/>
      <c r="W30" s="6"/>
      <c r="X30" s="6"/>
    </row>
    <row r="31" spans="1:24" ht="22.5" x14ac:dyDescent="0.2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40"/>
      <c r="M31" s="2">
        <v>0</v>
      </c>
      <c r="N31" s="6"/>
      <c r="O31" s="6"/>
      <c r="P31" s="9"/>
      <c r="Q31" s="6"/>
      <c r="R31" s="8"/>
      <c r="S31" s="7">
        <v>0</v>
      </c>
      <c r="T31" s="6"/>
      <c r="U31" s="38">
        <v>0</v>
      </c>
      <c r="V31" s="9"/>
      <c r="W31" s="6"/>
      <c r="X31" s="6"/>
    </row>
    <row r="32" spans="1:24" ht="22.5" x14ac:dyDescent="0.2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2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2.5" x14ac:dyDescent="0.2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40"/>
      <c r="M34" s="2">
        <v>0</v>
      </c>
      <c r="N34" s="6"/>
      <c r="O34" s="6"/>
      <c r="P34" s="9"/>
      <c r="Q34" s="6"/>
      <c r="R34" s="8"/>
      <c r="S34" s="7">
        <v>0</v>
      </c>
      <c r="T34" s="6"/>
      <c r="U34" s="38">
        <v>0</v>
      </c>
      <c r="V34" s="9"/>
      <c r="W34" s="6"/>
      <c r="X34" s="6"/>
    </row>
    <row r="35" spans="1:24" x14ac:dyDescent="0.2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33.75" x14ac:dyDescent="0.2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40"/>
      <c r="M36" s="2">
        <v>0</v>
      </c>
      <c r="N36" s="6"/>
      <c r="O36" s="6"/>
      <c r="P36" s="9"/>
      <c r="Q36" s="6"/>
      <c r="R36" s="8"/>
      <c r="S36" s="7">
        <v>0</v>
      </c>
      <c r="T36" s="6"/>
      <c r="U36" s="38">
        <v>0</v>
      </c>
      <c r="V36" s="9"/>
      <c r="W36" s="6"/>
      <c r="X36" s="6"/>
    </row>
    <row r="37" spans="1:24" ht="22.5" x14ac:dyDescent="0.2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40"/>
      <c r="M37" s="2">
        <v>0</v>
      </c>
      <c r="N37" s="6"/>
      <c r="O37" s="6"/>
      <c r="P37" s="9"/>
      <c r="Q37" s="6"/>
      <c r="R37" s="8"/>
      <c r="S37" s="7">
        <v>0</v>
      </c>
      <c r="T37" s="6"/>
      <c r="U37" s="38">
        <v>0</v>
      </c>
      <c r="V37" s="9"/>
      <c r="W37" s="6"/>
      <c r="X37" s="6"/>
    </row>
    <row r="38" spans="1:24" ht="22.5" x14ac:dyDescent="0.2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40"/>
      <c r="M38" s="2">
        <v>0</v>
      </c>
      <c r="N38" s="6"/>
      <c r="O38" s="6"/>
      <c r="P38" s="9"/>
      <c r="Q38" s="6"/>
      <c r="R38" s="8"/>
      <c r="S38" s="7">
        <v>0</v>
      </c>
      <c r="T38" s="6"/>
      <c r="U38" s="38">
        <v>0</v>
      </c>
      <c r="V38" s="9"/>
      <c r="W38" s="6"/>
      <c r="X38" s="6"/>
    </row>
    <row r="39" spans="1:24" ht="22.5" x14ac:dyDescent="0.2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22.5" x14ac:dyDescent="0.2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40"/>
      <c r="M40" s="2">
        <v>0</v>
      </c>
      <c r="N40" s="6"/>
      <c r="O40" s="6"/>
      <c r="P40" s="9"/>
      <c r="Q40" s="6"/>
      <c r="R40" s="8"/>
      <c r="S40" s="7">
        <v>0</v>
      </c>
      <c r="T40" s="6"/>
      <c r="U40" s="38">
        <v>0</v>
      </c>
      <c r="V40" s="9"/>
      <c r="W40" s="6"/>
      <c r="X40" s="6"/>
    </row>
    <row r="41" spans="1:24" ht="33.75" x14ac:dyDescent="0.2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40"/>
      <c r="M41" s="2">
        <v>0</v>
      </c>
      <c r="N41" s="6"/>
      <c r="O41" s="6"/>
      <c r="P41" s="9"/>
      <c r="Q41" s="6"/>
      <c r="R41" s="8"/>
      <c r="S41" s="7">
        <v>0</v>
      </c>
      <c r="T41" s="6"/>
      <c r="U41" s="38">
        <v>0</v>
      </c>
      <c r="V41" s="9"/>
      <c r="W41" s="6"/>
      <c r="X41" s="6"/>
    </row>
    <row r="42" spans="1:24" ht="22.5" x14ac:dyDescent="0.2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40"/>
      <c r="M42" s="2">
        <v>0</v>
      </c>
      <c r="N42" s="6"/>
      <c r="O42" s="6"/>
      <c r="P42" s="9"/>
      <c r="Q42" s="6"/>
      <c r="R42" s="8"/>
      <c r="S42" s="7">
        <v>0</v>
      </c>
      <c r="T42" s="6"/>
      <c r="U42" s="38">
        <v>0</v>
      </c>
      <c r="V42" s="9"/>
      <c r="W42" s="6"/>
      <c r="X42" s="6"/>
    </row>
    <row r="43" spans="1:24" x14ac:dyDescent="0.2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40"/>
      <c r="M43" s="2">
        <v>0</v>
      </c>
      <c r="N43" s="6"/>
      <c r="O43" s="6"/>
      <c r="P43" s="9"/>
      <c r="Q43" s="6"/>
      <c r="R43" s="8"/>
      <c r="S43" s="7">
        <v>0</v>
      </c>
      <c r="T43" s="6"/>
      <c r="U43" s="38">
        <v>0</v>
      </c>
      <c r="V43" s="9"/>
      <c r="W43" s="6"/>
      <c r="X43" s="6"/>
    </row>
    <row r="44" spans="1:24" x14ac:dyDescent="0.2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2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40"/>
      <c r="M45" s="2">
        <v>0</v>
      </c>
      <c r="N45" s="6"/>
      <c r="O45" s="6"/>
      <c r="P45" s="9"/>
      <c r="Q45" s="6"/>
      <c r="R45" s="8"/>
      <c r="S45" s="7">
        <v>0</v>
      </c>
      <c r="T45" s="6"/>
      <c r="U45" s="38">
        <v>0</v>
      </c>
      <c r="V45" s="9"/>
      <c r="W45" s="6"/>
      <c r="X45" s="6"/>
    </row>
    <row r="46" spans="1:24" x14ac:dyDescent="0.2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2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40"/>
      <c r="M47" s="2">
        <v>0</v>
      </c>
      <c r="N47" s="6"/>
      <c r="O47" s="6"/>
      <c r="P47" s="9"/>
      <c r="Q47" s="6"/>
      <c r="R47" s="8"/>
      <c r="S47" s="7">
        <v>0</v>
      </c>
      <c r="T47" s="6"/>
      <c r="U47" s="38">
        <v>0</v>
      </c>
      <c r="V47" s="9"/>
      <c r="W47" s="6"/>
      <c r="X47" s="6"/>
    </row>
    <row r="48" spans="1:24" x14ac:dyDescent="0.2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22.5" x14ac:dyDescent="0.2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40"/>
      <c r="M49" s="2">
        <v>0</v>
      </c>
      <c r="N49" s="6"/>
      <c r="O49" s="6"/>
      <c r="P49" s="9"/>
      <c r="Q49" s="6"/>
      <c r="R49" s="8"/>
      <c r="S49" s="7">
        <v>0</v>
      </c>
      <c r="T49" s="6"/>
      <c r="U49" s="38">
        <v>0</v>
      </c>
      <c r="V49" s="9"/>
      <c r="W49" s="6"/>
      <c r="X49" s="6"/>
    </row>
    <row r="50" spans="1:24" x14ac:dyDescent="0.2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22.5" x14ac:dyDescent="0.2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40"/>
      <c r="M51" s="2">
        <v>0</v>
      </c>
      <c r="N51" s="6"/>
      <c r="O51" s="6"/>
      <c r="P51" s="9"/>
      <c r="Q51" s="6"/>
      <c r="R51" s="8"/>
      <c r="S51" s="7">
        <v>0</v>
      </c>
      <c r="T51" s="6"/>
      <c r="U51" s="38">
        <v>0</v>
      </c>
      <c r="V51" s="9"/>
      <c r="W51" s="6"/>
      <c r="X51" s="6"/>
    </row>
    <row r="52" spans="1:24" ht="22.5" x14ac:dyDescent="0.2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2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2.5" x14ac:dyDescent="0.2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40"/>
      <c r="M54" s="2">
        <v>0</v>
      </c>
      <c r="N54" s="6"/>
      <c r="O54" s="6"/>
      <c r="P54" s="9"/>
      <c r="Q54" s="6"/>
      <c r="R54" s="8"/>
      <c r="S54" s="7">
        <v>0</v>
      </c>
      <c r="T54" s="6"/>
      <c r="U54" s="38">
        <v>0</v>
      </c>
      <c r="V54" s="9"/>
      <c r="W54" s="6"/>
      <c r="X54" s="6"/>
    </row>
    <row r="55" spans="1:24" ht="22.5" x14ac:dyDescent="0.2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40"/>
      <c r="M55" s="2">
        <v>0</v>
      </c>
      <c r="N55" s="6"/>
      <c r="O55" s="6"/>
      <c r="P55" s="9"/>
      <c r="Q55" s="6"/>
      <c r="R55" s="8"/>
      <c r="S55" s="7">
        <v>0</v>
      </c>
      <c r="T55" s="6"/>
      <c r="U55" s="38">
        <v>0</v>
      </c>
      <c r="V55" s="9"/>
      <c r="W55" s="6"/>
      <c r="X55" s="6"/>
    </row>
    <row r="56" spans="1:24" x14ac:dyDescent="0.2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2.5" x14ac:dyDescent="0.2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40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2.5" x14ac:dyDescent="0.2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40"/>
      <c r="M58" s="2">
        <v>0</v>
      </c>
      <c r="N58" s="6"/>
      <c r="O58" s="6"/>
      <c r="P58" s="9"/>
      <c r="Q58" s="6"/>
      <c r="R58" s="8"/>
      <c r="S58" s="7">
        <v>0</v>
      </c>
      <c r="T58" s="6"/>
      <c r="U58" s="38">
        <v>0</v>
      </c>
      <c r="V58" s="9"/>
      <c r="W58" s="6"/>
      <c r="X58" s="6"/>
    </row>
    <row r="59" spans="1:24" ht="22.5" x14ac:dyDescent="0.2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40"/>
      <c r="M59" s="2">
        <v>0</v>
      </c>
      <c r="N59" s="6"/>
      <c r="O59" s="6"/>
      <c r="P59" s="9"/>
      <c r="Q59" s="6"/>
      <c r="R59" s="8"/>
      <c r="S59" s="7">
        <v>0</v>
      </c>
      <c r="T59" s="6"/>
      <c r="U59" s="38">
        <v>0</v>
      </c>
      <c r="V59" s="9"/>
      <c r="W59" s="6"/>
      <c r="X59" s="6"/>
    </row>
    <row r="60" spans="1:24" x14ac:dyDescent="0.2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2.5" x14ac:dyDescent="0.2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40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2.5" x14ac:dyDescent="0.2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40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2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2.5" x14ac:dyDescent="0.2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40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2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2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40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2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2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40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2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2.5" x14ac:dyDescent="0.2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>
        <v>45236.333333333336</v>
      </c>
      <c r="M70" s="20" t="s">
        <v>58</v>
      </c>
      <c r="N70" s="6"/>
      <c r="O70" s="6"/>
      <c r="P70" s="9"/>
      <c r="Q70" s="6"/>
      <c r="R70" s="8"/>
      <c r="S70" s="7">
        <v>10019.35</v>
      </c>
      <c r="T70" s="6"/>
      <c r="U70" s="38">
        <v>1</v>
      </c>
      <c r="V70" s="9"/>
      <c r="W70" s="6"/>
      <c r="X70" s="6"/>
    </row>
    <row r="71" spans="1:24" ht="22.5" x14ac:dyDescent="0.2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>
        <v>45236.333333333336</v>
      </c>
      <c r="M71" s="20" t="s">
        <v>58</v>
      </c>
      <c r="N71" s="6"/>
      <c r="O71" s="6"/>
      <c r="P71" s="9"/>
      <c r="Q71" s="6"/>
      <c r="R71" s="8"/>
      <c r="S71" s="7">
        <v>8000</v>
      </c>
      <c r="T71" s="6"/>
      <c r="U71" s="38">
        <v>1</v>
      </c>
      <c r="V71" s="9"/>
      <c r="W71" s="6"/>
      <c r="X71" s="6"/>
    </row>
    <row r="72" spans="1:24" x14ac:dyDescent="0.2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2.5" x14ac:dyDescent="0.2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>
        <v>45241.333333333336</v>
      </c>
      <c r="M73" s="20" t="s">
        <v>97</v>
      </c>
      <c r="N73" s="6"/>
      <c r="O73" s="6"/>
      <c r="P73" s="9"/>
      <c r="Q73" s="6"/>
      <c r="R73" s="8"/>
      <c r="S73" s="7">
        <f>22000/5</f>
        <v>4400</v>
      </c>
      <c r="T73" s="6"/>
      <c r="U73" s="38">
        <v>0.2</v>
      </c>
      <c r="V73" s="9"/>
      <c r="W73" s="6"/>
      <c r="X73" s="6"/>
    </row>
    <row r="74" spans="1:24" ht="22.5" x14ac:dyDescent="0.2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40"/>
      <c r="M74" s="2">
        <v>0</v>
      </c>
      <c r="N74" s="6"/>
      <c r="O74" s="6"/>
      <c r="P74" s="9"/>
      <c r="Q74" s="6"/>
      <c r="R74" s="8"/>
      <c r="S74" s="7">
        <v>0</v>
      </c>
      <c r="T74" s="6"/>
      <c r="U74" s="38">
        <v>0</v>
      </c>
      <c r="V74" s="9"/>
      <c r="W74" s="6"/>
      <c r="X74" s="6"/>
    </row>
    <row r="75" spans="1:24" ht="22.5" x14ac:dyDescent="0.2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2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40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2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40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631A-1361-4A58-B1A4-FF526E2D35BA}">
  <dimension ref="A1:X77"/>
  <sheetViews>
    <sheetView workbookViewId="0">
      <selection activeCell="D11" sqref="D11"/>
    </sheetView>
  </sheetViews>
  <sheetFormatPr defaultRowHeight="15" x14ac:dyDescent="0.25"/>
  <cols>
    <col min="1" max="1" width="5.7109375" customWidth="1"/>
    <col min="2" max="2" width="18.7109375" customWidth="1"/>
    <col min="3" max="3" width="18.42578125" customWidth="1"/>
    <col min="4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24" ht="22.5" x14ac:dyDescent="0.25">
      <c r="B1" s="1" t="s">
        <v>42</v>
      </c>
      <c r="C1" s="43" t="s">
        <v>308</v>
      </c>
      <c r="E1" s="1" t="s">
        <v>43</v>
      </c>
      <c r="F1" s="3" t="s">
        <v>57</v>
      </c>
    </row>
    <row r="3" spans="1:24" x14ac:dyDescent="0.2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44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56.25" x14ac:dyDescent="0.2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2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33.75" x14ac:dyDescent="0.2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2.5" x14ac:dyDescent="0.2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2.5" x14ac:dyDescent="0.2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2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2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3.75" x14ac:dyDescent="0.2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2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2.5" x14ac:dyDescent="0.2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2.5" x14ac:dyDescent="0.2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ht="22.5" x14ac:dyDescent="0.2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2.5" x14ac:dyDescent="0.2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2.5" x14ac:dyDescent="0.2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2.5" x14ac:dyDescent="0.2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3.75" x14ac:dyDescent="0.2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2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2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2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2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2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2.5" x14ac:dyDescent="0.2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2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2.5" x14ac:dyDescent="0.2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2.5" x14ac:dyDescent="0.2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2.5" x14ac:dyDescent="0.2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2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2.5" x14ac:dyDescent="0.2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34">
        <v>45248.333333333336</v>
      </c>
      <c r="M34" s="2" t="s">
        <v>97</v>
      </c>
      <c r="N34" s="6"/>
      <c r="O34" s="6"/>
      <c r="P34" s="9"/>
      <c r="Q34" s="6"/>
      <c r="R34" s="8"/>
      <c r="S34" s="7">
        <v>101.61</v>
      </c>
      <c r="T34" s="6"/>
      <c r="U34" s="38">
        <v>1</v>
      </c>
      <c r="V34" s="9"/>
      <c r="W34" s="6"/>
      <c r="X34" s="6"/>
    </row>
    <row r="35" spans="1:24" x14ac:dyDescent="0.2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33.75" x14ac:dyDescent="0.2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34">
        <v>45249.333333333336</v>
      </c>
      <c r="M36" s="2" t="s">
        <v>127</v>
      </c>
      <c r="N36" s="6"/>
      <c r="O36" s="6"/>
      <c r="P36" s="9"/>
      <c r="Q36" s="6"/>
      <c r="R36" s="8"/>
      <c r="S36" s="7">
        <f>957.74/2</f>
        <v>478.87</v>
      </c>
      <c r="T36" s="6"/>
      <c r="U36" s="38">
        <v>0.5</v>
      </c>
      <c r="V36" s="9"/>
      <c r="W36" s="6"/>
      <c r="X36" s="6"/>
    </row>
    <row r="37" spans="1:24" ht="22.5" x14ac:dyDescent="0.2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40"/>
      <c r="M37" s="2">
        <v>0</v>
      </c>
      <c r="N37" s="6"/>
      <c r="O37" s="6"/>
      <c r="P37" s="9"/>
      <c r="Q37" s="6"/>
      <c r="R37" s="8"/>
      <c r="S37" s="7">
        <v>0</v>
      </c>
      <c r="T37" s="6"/>
      <c r="U37" s="38">
        <v>0</v>
      </c>
      <c r="V37" s="9"/>
      <c r="W37" s="6"/>
      <c r="X37" s="6"/>
    </row>
    <row r="38" spans="1:24" ht="22.5" x14ac:dyDescent="0.2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40"/>
      <c r="M38" s="2">
        <v>0</v>
      </c>
      <c r="N38" s="6"/>
      <c r="O38" s="6"/>
      <c r="P38" s="9"/>
      <c r="Q38" s="6"/>
      <c r="R38" s="8"/>
      <c r="S38" s="7">
        <v>0</v>
      </c>
      <c r="T38" s="6"/>
      <c r="U38" s="38">
        <v>0</v>
      </c>
      <c r="V38" s="9"/>
      <c r="W38" s="6"/>
      <c r="X38" s="6"/>
    </row>
    <row r="39" spans="1:24" ht="22.5" x14ac:dyDescent="0.2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22.5" x14ac:dyDescent="0.2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40"/>
      <c r="M40" s="2">
        <v>0</v>
      </c>
      <c r="N40" s="6"/>
      <c r="O40" s="6"/>
      <c r="P40" s="9"/>
      <c r="Q40" s="6"/>
      <c r="R40" s="8"/>
      <c r="S40" s="7">
        <v>0</v>
      </c>
      <c r="T40" s="6"/>
      <c r="U40" s="38">
        <v>0</v>
      </c>
      <c r="V40" s="9"/>
      <c r="W40" s="6"/>
      <c r="X40" s="6"/>
    </row>
    <row r="41" spans="1:24" ht="33.75" x14ac:dyDescent="0.2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40"/>
      <c r="M41" s="2">
        <v>0</v>
      </c>
      <c r="N41" s="6"/>
      <c r="O41" s="6"/>
      <c r="P41" s="9"/>
      <c r="Q41" s="6"/>
      <c r="R41" s="8"/>
      <c r="S41" s="7">
        <v>0</v>
      </c>
      <c r="T41" s="6"/>
      <c r="U41" s="38">
        <v>0</v>
      </c>
      <c r="V41" s="9"/>
      <c r="W41" s="6"/>
      <c r="X41" s="6"/>
    </row>
    <row r="42" spans="1:24" ht="22.5" x14ac:dyDescent="0.2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40"/>
      <c r="M42" s="2">
        <v>0</v>
      </c>
      <c r="N42" s="6"/>
      <c r="O42" s="6"/>
      <c r="P42" s="9"/>
      <c r="Q42" s="6"/>
      <c r="R42" s="8"/>
      <c r="S42" s="7">
        <v>0</v>
      </c>
      <c r="T42" s="6"/>
      <c r="U42" s="38">
        <v>0</v>
      </c>
      <c r="V42" s="9"/>
      <c r="W42" s="6"/>
      <c r="X42" s="6"/>
    </row>
    <row r="43" spans="1:24" x14ac:dyDescent="0.2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40"/>
      <c r="M43" s="2">
        <v>0</v>
      </c>
      <c r="N43" s="6"/>
      <c r="O43" s="6"/>
      <c r="P43" s="9"/>
      <c r="Q43" s="6"/>
      <c r="R43" s="8"/>
      <c r="S43" s="7">
        <v>0</v>
      </c>
      <c r="T43" s="6"/>
      <c r="U43" s="38">
        <v>0</v>
      </c>
      <c r="V43" s="9"/>
      <c r="W43" s="6"/>
      <c r="X43" s="6"/>
    </row>
    <row r="44" spans="1:24" x14ac:dyDescent="0.2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2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40"/>
      <c r="M45" s="2">
        <v>0</v>
      </c>
      <c r="N45" s="6"/>
      <c r="O45" s="6"/>
      <c r="P45" s="9"/>
      <c r="Q45" s="6"/>
      <c r="R45" s="8"/>
      <c r="S45" s="7">
        <v>0</v>
      </c>
      <c r="T45" s="6"/>
      <c r="U45" s="38">
        <v>0</v>
      </c>
      <c r="V45" s="9"/>
      <c r="W45" s="6"/>
      <c r="X45" s="6"/>
    </row>
    <row r="46" spans="1:24" x14ac:dyDescent="0.2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2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40"/>
      <c r="M47" s="2">
        <v>0</v>
      </c>
      <c r="N47" s="6"/>
      <c r="O47" s="6"/>
      <c r="P47" s="9"/>
      <c r="Q47" s="6"/>
      <c r="R47" s="8"/>
      <c r="S47" s="7">
        <v>0</v>
      </c>
      <c r="T47" s="6"/>
      <c r="U47" s="38">
        <v>0</v>
      </c>
      <c r="V47" s="9"/>
      <c r="W47" s="6"/>
      <c r="X47" s="6"/>
    </row>
    <row r="48" spans="1:24" x14ac:dyDescent="0.2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22.5" x14ac:dyDescent="0.2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40"/>
      <c r="M49" s="2">
        <v>0</v>
      </c>
      <c r="N49" s="6"/>
      <c r="O49" s="6"/>
      <c r="P49" s="9"/>
      <c r="Q49" s="6"/>
      <c r="R49" s="8"/>
      <c r="S49" s="7">
        <v>0</v>
      </c>
      <c r="T49" s="6"/>
      <c r="U49" s="38">
        <v>0</v>
      </c>
      <c r="V49" s="9"/>
      <c r="W49" s="6"/>
      <c r="X49" s="6"/>
    </row>
    <row r="50" spans="1:24" x14ac:dyDescent="0.2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22.5" x14ac:dyDescent="0.2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40"/>
      <c r="M51" s="2">
        <v>0</v>
      </c>
      <c r="N51" s="6"/>
      <c r="O51" s="6"/>
      <c r="P51" s="9"/>
      <c r="Q51" s="6"/>
      <c r="R51" s="8"/>
      <c r="S51" s="7">
        <v>0</v>
      </c>
      <c r="T51" s="6"/>
      <c r="U51" s="38">
        <v>0</v>
      </c>
      <c r="V51" s="9"/>
      <c r="W51" s="6"/>
      <c r="X51" s="6"/>
    </row>
    <row r="52" spans="1:24" ht="22.5" x14ac:dyDescent="0.2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2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2.5" x14ac:dyDescent="0.2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34">
        <v>45249.333333333336</v>
      </c>
      <c r="M54" s="20" t="s">
        <v>113</v>
      </c>
      <c r="N54" s="6"/>
      <c r="O54" s="6"/>
      <c r="P54" s="9"/>
      <c r="Q54" s="6"/>
      <c r="R54" s="8"/>
      <c r="S54" s="7">
        <f>1061.05/2</f>
        <v>530.52499999999998</v>
      </c>
      <c r="T54" s="6"/>
      <c r="U54" s="38">
        <v>0.2</v>
      </c>
      <c r="V54" s="9"/>
      <c r="W54" s="6"/>
      <c r="X54" s="6"/>
    </row>
    <row r="55" spans="1:24" ht="22.5" x14ac:dyDescent="0.2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40"/>
      <c r="M55" s="2">
        <v>0</v>
      </c>
      <c r="N55" s="6"/>
      <c r="O55" s="6"/>
      <c r="P55" s="9"/>
      <c r="Q55" s="6"/>
      <c r="R55" s="8"/>
      <c r="S55" s="7">
        <v>0</v>
      </c>
      <c r="T55" s="6"/>
      <c r="U55" s="38">
        <v>0</v>
      </c>
      <c r="V55" s="9"/>
      <c r="W55" s="6"/>
      <c r="X55" s="6"/>
    </row>
    <row r="56" spans="1:24" x14ac:dyDescent="0.2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2.5" x14ac:dyDescent="0.2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40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2.5" x14ac:dyDescent="0.2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40"/>
      <c r="M58" s="2">
        <v>0</v>
      </c>
      <c r="N58" s="6"/>
      <c r="O58" s="6"/>
      <c r="P58" s="9"/>
      <c r="Q58" s="6"/>
      <c r="R58" s="8"/>
      <c r="S58" s="7">
        <v>0</v>
      </c>
      <c r="T58" s="6"/>
      <c r="U58" s="38">
        <v>0</v>
      </c>
      <c r="V58" s="9"/>
      <c r="W58" s="6"/>
      <c r="X58" s="6"/>
    </row>
    <row r="59" spans="1:24" ht="22.5" x14ac:dyDescent="0.2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40"/>
      <c r="M59" s="2">
        <v>0</v>
      </c>
      <c r="N59" s="6"/>
      <c r="O59" s="6"/>
      <c r="P59" s="9"/>
      <c r="Q59" s="6"/>
      <c r="R59" s="8"/>
      <c r="S59" s="7">
        <v>0</v>
      </c>
      <c r="T59" s="6"/>
      <c r="U59" s="38">
        <v>0</v>
      </c>
      <c r="V59" s="9"/>
      <c r="W59" s="6"/>
      <c r="X59" s="6"/>
    </row>
    <row r="60" spans="1:24" x14ac:dyDescent="0.2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2.5" x14ac:dyDescent="0.2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40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2.5" x14ac:dyDescent="0.2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40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2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2.5" x14ac:dyDescent="0.2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40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2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2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40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2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2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40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2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2.5" x14ac:dyDescent="0.2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>
        <v>45236.333333333336</v>
      </c>
      <c r="M70" s="20" t="s">
        <v>58</v>
      </c>
      <c r="N70" s="6"/>
      <c r="O70" s="6"/>
      <c r="P70" s="9"/>
      <c r="Q70" s="6"/>
      <c r="R70" s="8"/>
      <c r="S70" s="7">
        <v>10019.35</v>
      </c>
      <c r="T70" s="6"/>
      <c r="U70" s="38">
        <v>1</v>
      </c>
      <c r="V70" s="9"/>
      <c r="W70" s="6"/>
      <c r="X70" s="6"/>
    </row>
    <row r="71" spans="1:24" ht="22.5" x14ac:dyDescent="0.2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>
        <v>45236.333333333336</v>
      </c>
      <c r="M71" s="20" t="s">
        <v>58</v>
      </c>
      <c r="N71" s="6"/>
      <c r="O71" s="6"/>
      <c r="P71" s="9"/>
      <c r="Q71" s="6"/>
      <c r="R71" s="8"/>
      <c r="S71" s="7">
        <v>8000</v>
      </c>
      <c r="T71" s="6"/>
      <c r="U71" s="38">
        <v>1</v>
      </c>
      <c r="V71" s="9"/>
      <c r="W71" s="6"/>
      <c r="X71" s="6"/>
    </row>
    <row r="72" spans="1:24" x14ac:dyDescent="0.2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2.5" x14ac:dyDescent="0.2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>
        <v>45241.333333333336</v>
      </c>
      <c r="M73" s="20" t="s">
        <v>58</v>
      </c>
      <c r="N73" s="6"/>
      <c r="O73" s="6"/>
      <c r="P73" s="9"/>
      <c r="Q73" s="6"/>
      <c r="R73" s="8"/>
      <c r="S73" s="7">
        <v>22000</v>
      </c>
      <c r="T73" s="6"/>
      <c r="U73" s="38">
        <v>1</v>
      </c>
      <c r="V73" s="9"/>
      <c r="W73" s="6"/>
      <c r="X73" s="6"/>
    </row>
    <row r="74" spans="1:24" ht="22.5" x14ac:dyDescent="0.2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34">
        <v>45247.333333333336</v>
      </c>
      <c r="M74" s="20" t="s">
        <v>127</v>
      </c>
      <c r="N74" s="6"/>
      <c r="O74" s="6"/>
      <c r="P74" s="9"/>
      <c r="Q74" s="6"/>
      <c r="R74" s="8"/>
      <c r="S74" s="7">
        <f>38000*0.6</f>
        <v>22800</v>
      </c>
      <c r="T74" s="6"/>
      <c r="U74" s="38">
        <v>0.6</v>
      </c>
      <c r="V74" s="9"/>
      <c r="W74" s="6"/>
      <c r="X74" s="6"/>
    </row>
    <row r="75" spans="1:24" ht="22.5" x14ac:dyDescent="0.2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2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40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2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40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423F-B2B1-4A7F-98EC-81B46A709A1C}">
  <dimension ref="A1:X77"/>
  <sheetViews>
    <sheetView workbookViewId="0">
      <selection activeCell="C1" sqref="C1"/>
    </sheetView>
  </sheetViews>
  <sheetFormatPr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42</v>
      </c>
      <c r="C1" s="43">
        <v>45211.333333333336</v>
      </c>
      <c r="E1" s="1" t="s">
        <v>43</v>
      </c>
      <c r="F1" s="3" t="s">
        <v>57</v>
      </c>
    </row>
    <row r="3" spans="1:24" x14ac:dyDescent="0.2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44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56.25" x14ac:dyDescent="0.2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2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33.75" x14ac:dyDescent="0.2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2.5" x14ac:dyDescent="0.2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2.5" x14ac:dyDescent="0.2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2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2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3.75" x14ac:dyDescent="0.2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2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2.5" x14ac:dyDescent="0.2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2.5" x14ac:dyDescent="0.2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ht="22.5" x14ac:dyDescent="0.2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2.5" x14ac:dyDescent="0.2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2.5" x14ac:dyDescent="0.2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2.5" x14ac:dyDescent="0.2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3.75" x14ac:dyDescent="0.2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2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2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2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25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2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2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25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2.5" x14ac:dyDescent="0.2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2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25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2.5" x14ac:dyDescent="0.2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2.5" x14ac:dyDescent="0.2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2.5" x14ac:dyDescent="0.2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25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2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2.5" x14ac:dyDescent="0.2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34">
        <v>45248.333333333336</v>
      </c>
      <c r="M34" s="2" t="s">
        <v>97</v>
      </c>
      <c r="N34" s="6"/>
      <c r="O34" s="6"/>
      <c r="P34" s="9"/>
      <c r="Q34" s="6"/>
      <c r="R34" s="8"/>
      <c r="S34" s="7">
        <v>101.61</v>
      </c>
      <c r="T34" s="6"/>
      <c r="U34" s="38">
        <v>1</v>
      </c>
      <c r="V34" s="9"/>
      <c r="W34" s="6"/>
      <c r="X34" s="6"/>
    </row>
    <row r="35" spans="1:24" x14ac:dyDescent="0.2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6"/>
      <c r="N35" s="16"/>
      <c r="O35" s="16"/>
      <c r="P35" s="16"/>
      <c r="Q35" s="16"/>
      <c r="R35" s="16"/>
      <c r="S35" s="17"/>
      <c r="T35" s="16"/>
      <c r="U35" s="16"/>
      <c r="V35" s="16"/>
      <c r="W35" s="16"/>
      <c r="X35" s="16"/>
    </row>
    <row r="36" spans="1:24" ht="33.75" x14ac:dyDescent="0.2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34">
        <v>45249.333333333336</v>
      </c>
      <c r="M36" s="2" t="s">
        <v>238</v>
      </c>
      <c r="N36" s="6"/>
      <c r="O36" s="6"/>
      <c r="P36" s="9"/>
      <c r="Q36" s="6"/>
      <c r="R36" s="8"/>
      <c r="S36" s="7">
        <v>957.74</v>
      </c>
      <c r="T36" s="6"/>
      <c r="U36" s="38">
        <v>1</v>
      </c>
      <c r="V36" s="9"/>
      <c r="W36" s="6"/>
      <c r="X36" s="6"/>
    </row>
    <row r="37" spans="1:24" ht="22.5" x14ac:dyDescent="0.2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34">
        <v>45251.333333333336</v>
      </c>
      <c r="M37" s="2" t="s">
        <v>129</v>
      </c>
      <c r="N37" s="6"/>
      <c r="O37" s="6"/>
      <c r="P37" s="9"/>
      <c r="Q37" s="6"/>
      <c r="R37" s="8"/>
      <c r="S37" s="7">
        <v>121.5</v>
      </c>
      <c r="T37" s="6"/>
      <c r="U37" s="38">
        <v>1</v>
      </c>
      <c r="V37" s="9"/>
      <c r="W37" s="6"/>
      <c r="X37" s="6"/>
    </row>
    <row r="38" spans="1:24" ht="22.5" x14ac:dyDescent="0.2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34">
        <v>45253.333333333336</v>
      </c>
      <c r="M38" s="2" t="s">
        <v>127</v>
      </c>
      <c r="N38" s="6"/>
      <c r="O38" s="6"/>
      <c r="P38" s="9"/>
      <c r="Q38" s="6"/>
      <c r="R38" s="8"/>
      <c r="S38" s="7">
        <v>231.15</v>
      </c>
      <c r="T38" s="6"/>
      <c r="U38" s="38">
        <v>1</v>
      </c>
      <c r="V38" s="9"/>
      <c r="W38" s="6"/>
      <c r="X38" s="6"/>
    </row>
    <row r="39" spans="1:24" ht="22.5" x14ac:dyDescent="0.2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18"/>
      <c r="N39" s="18"/>
      <c r="O39" s="18"/>
      <c r="P39" s="18"/>
      <c r="Q39" s="18"/>
      <c r="R39" s="18"/>
      <c r="S39" s="17"/>
      <c r="T39" s="18"/>
      <c r="U39" s="18"/>
      <c r="V39" s="18"/>
      <c r="W39" s="18"/>
      <c r="X39" s="18"/>
    </row>
    <row r="40" spans="1:24" ht="22.5" x14ac:dyDescent="0.2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34">
        <v>45255.333333333336</v>
      </c>
      <c r="M40" s="2" t="s">
        <v>129</v>
      </c>
      <c r="N40" s="6"/>
      <c r="O40" s="6"/>
      <c r="P40" s="9"/>
      <c r="Q40" s="6"/>
      <c r="R40" s="8"/>
      <c r="S40" s="7">
        <v>4010.68</v>
      </c>
      <c r="T40" s="6"/>
      <c r="U40" s="38">
        <v>1</v>
      </c>
      <c r="V40" s="9"/>
      <c r="W40" s="6"/>
      <c r="X40" s="6"/>
    </row>
    <row r="41" spans="1:24" ht="33.75" x14ac:dyDescent="0.2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34">
        <v>45257.333333333336</v>
      </c>
      <c r="M41" s="2" t="s">
        <v>129</v>
      </c>
      <c r="N41" s="6"/>
      <c r="O41" s="6"/>
      <c r="P41" s="9"/>
      <c r="Q41" s="6"/>
      <c r="R41" s="8"/>
      <c r="S41" s="7">
        <v>729.5</v>
      </c>
      <c r="T41" s="6"/>
      <c r="U41" s="38">
        <v>1</v>
      </c>
      <c r="V41" s="9"/>
      <c r="W41" s="6"/>
      <c r="X41" s="6"/>
    </row>
    <row r="42" spans="1:24" ht="22.5" x14ac:dyDescent="0.2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34">
        <v>45259.333333333336</v>
      </c>
      <c r="M42" s="2" t="s">
        <v>129</v>
      </c>
      <c r="N42" s="6"/>
      <c r="O42" s="6"/>
      <c r="P42" s="9"/>
      <c r="Q42" s="6"/>
      <c r="R42" s="8"/>
      <c r="S42" s="7">
        <v>3529.98</v>
      </c>
      <c r="T42" s="6"/>
      <c r="U42" s="38">
        <v>1</v>
      </c>
      <c r="V42" s="9"/>
      <c r="W42" s="6"/>
      <c r="X42" s="6"/>
    </row>
    <row r="43" spans="1:24" x14ac:dyDescent="0.2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34">
        <v>45255.333333333336</v>
      </c>
      <c r="M43" s="2" t="s">
        <v>113</v>
      </c>
      <c r="N43" s="6"/>
      <c r="O43" s="6"/>
      <c r="P43" s="9"/>
      <c r="Q43" s="6"/>
      <c r="R43" s="8"/>
      <c r="S43" s="7">
        <v>2542.15</v>
      </c>
      <c r="T43" s="6"/>
      <c r="U43" s="38">
        <v>1</v>
      </c>
      <c r="V43" s="9"/>
      <c r="W43" s="6"/>
      <c r="X43" s="6"/>
    </row>
    <row r="44" spans="1:24" x14ac:dyDescent="0.2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18"/>
      <c r="N44" s="18"/>
      <c r="O44" s="18"/>
      <c r="P44" s="18"/>
      <c r="Q44" s="18"/>
      <c r="R44" s="18"/>
      <c r="S44" s="17"/>
      <c r="T44" s="18"/>
      <c r="U44" s="18"/>
      <c r="V44" s="18"/>
      <c r="W44" s="18"/>
      <c r="X44" s="18"/>
    </row>
    <row r="45" spans="1:24" x14ac:dyDescent="0.2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34">
        <v>45261.333333333336</v>
      </c>
      <c r="M45" s="2" t="s">
        <v>113</v>
      </c>
      <c r="N45" s="6"/>
      <c r="O45" s="6"/>
      <c r="P45" s="9"/>
      <c r="Q45" s="6"/>
      <c r="R45" s="8"/>
      <c r="S45" s="7">
        <v>56.34</v>
      </c>
      <c r="T45" s="6"/>
      <c r="U45" s="38">
        <v>1</v>
      </c>
      <c r="V45" s="9"/>
      <c r="W45" s="6"/>
      <c r="X45" s="6"/>
    </row>
    <row r="46" spans="1:24" x14ac:dyDescent="0.2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25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2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34">
        <v>45263.333333333336</v>
      </c>
      <c r="M47" s="2" t="s">
        <v>19</v>
      </c>
      <c r="N47" s="6"/>
      <c r="O47" s="6"/>
      <c r="P47" s="9"/>
      <c r="Q47" s="6"/>
      <c r="R47" s="8"/>
      <c r="S47" s="7">
        <v>82.21</v>
      </c>
      <c r="T47" s="6"/>
      <c r="U47" s="38">
        <v>1</v>
      </c>
      <c r="V47" s="9"/>
      <c r="W47" s="6"/>
      <c r="X47" s="6"/>
    </row>
    <row r="48" spans="1:24" x14ac:dyDescent="0.2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18"/>
      <c r="N48" s="18"/>
      <c r="O48" s="18"/>
      <c r="P48" s="18"/>
      <c r="Q48" s="18"/>
      <c r="R48" s="18"/>
      <c r="S48" s="17"/>
      <c r="T48" s="18"/>
      <c r="U48" s="18"/>
      <c r="V48" s="18"/>
      <c r="W48" s="18"/>
      <c r="X48" s="18"/>
    </row>
    <row r="49" spans="1:24" ht="22.5" x14ac:dyDescent="0.2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34">
        <v>45263.333333333336</v>
      </c>
      <c r="M49" s="2" t="s">
        <v>238</v>
      </c>
      <c r="N49" s="6"/>
      <c r="O49" s="6"/>
      <c r="P49" s="9"/>
      <c r="Q49" s="6"/>
      <c r="R49" s="8"/>
      <c r="S49" s="7">
        <v>1318.13</v>
      </c>
      <c r="T49" s="6"/>
      <c r="U49" s="38">
        <v>1</v>
      </c>
      <c r="V49" s="9"/>
      <c r="W49" s="6"/>
      <c r="X49" s="6"/>
    </row>
    <row r="50" spans="1:24" x14ac:dyDescent="0.2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18"/>
      <c r="N50" s="18"/>
      <c r="O50" s="18"/>
      <c r="P50" s="18"/>
      <c r="Q50" s="18"/>
      <c r="R50" s="18"/>
      <c r="S50" s="17"/>
      <c r="T50" s="18"/>
      <c r="U50" s="18"/>
      <c r="V50" s="18"/>
      <c r="W50" s="18"/>
      <c r="X50" s="18"/>
    </row>
    <row r="51" spans="1:24" ht="22.5" x14ac:dyDescent="0.2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34">
        <v>45266.333333333336</v>
      </c>
      <c r="M51" s="2" t="s">
        <v>113</v>
      </c>
      <c r="N51" s="6"/>
      <c r="O51" s="6"/>
      <c r="P51" s="9"/>
      <c r="Q51" s="6"/>
      <c r="R51" s="8"/>
      <c r="S51" s="7">
        <v>829.6</v>
      </c>
      <c r="T51" s="6"/>
      <c r="U51" s="38">
        <v>1</v>
      </c>
      <c r="V51" s="9"/>
      <c r="W51" s="6"/>
      <c r="X51" s="6"/>
    </row>
    <row r="52" spans="1:24" ht="22.5" x14ac:dyDescent="0.2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2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25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2.5" x14ac:dyDescent="0.2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34">
        <v>45249.333333333336</v>
      </c>
      <c r="M54" s="20" t="s">
        <v>247</v>
      </c>
      <c r="N54" s="6"/>
      <c r="O54" s="6"/>
      <c r="P54" s="9"/>
      <c r="Q54" s="6"/>
      <c r="R54" s="8"/>
      <c r="S54" s="7">
        <v>1061.05</v>
      </c>
      <c r="T54" s="6"/>
      <c r="U54" s="38">
        <v>1</v>
      </c>
      <c r="V54" s="9"/>
      <c r="W54" s="6"/>
      <c r="X54" s="6"/>
    </row>
    <row r="55" spans="1:24" ht="22.5" x14ac:dyDescent="0.2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34">
        <v>45254.333333333336</v>
      </c>
      <c r="M55" s="20" t="s">
        <v>58</v>
      </c>
      <c r="N55" s="6"/>
      <c r="O55" s="6"/>
      <c r="P55" s="9"/>
      <c r="Q55" s="6"/>
      <c r="R55" s="8"/>
      <c r="S55" s="7">
        <v>3730.94</v>
      </c>
      <c r="T55" s="6"/>
      <c r="U55" s="38">
        <v>1</v>
      </c>
      <c r="V55" s="9"/>
      <c r="W55" s="6"/>
      <c r="X55" s="6"/>
    </row>
    <row r="56" spans="1:24" x14ac:dyDescent="0.2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2.5" x14ac:dyDescent="0.2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34"/>
      <c r="M57" s="2">
        <v>0</v>
      </c>
      <c r="N57" s="6"/>
      <c r="O57" s="6"/>
      <c r="P57" s="9"/>
      <c r="Q57" s="6"/>
      <c r="R57" s="8"/>
      <c r="S57" s="7">
        <v>0</v>
      </c>
      <c r="T57" s="6"/>
      <c r="U57" s="38">
        <v>0</v>
      </c>
      <c r="V57" s="9"/>
      <c r="W57" s="6"/>
      <c r="X57" s="6"/>
    </row>
    <row r="58" spans="1:24" ht="22.5" x14ac:dyDescent="0.2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34">
        <v>45268.333333333336</v>
      </c>
      <c r="M58" s="20" t="s">
        <v>113</v>
      </c>
      <c r="N58" s="6"/>
      <c r="O58" s="6"/>
      <c r="P58" s="9"/>
      <c r="Q58" s="6"/>
      <c r="R58" s="8"/>
      <c r="S58" s="7">
        <f>1484.31/11</f>
        <v>134.93727272727273</v>
      </c>
      <c r="T58" s="6"/>
      <c r="U58" s="38">
        <f>100%/11</f>
        <v>9.0909090909090912E-2</v>
      </c>
      <c r="V58" s="9"/>
      <c r="W58" s="6"/>
      <c r="X58" s="6"/>
    </row>
    <row r="59" spans="1:24" ht="22.5" x14ac:dyDescent="0.2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34">
        <v>45268.333333333336</v>
      </c>
      <c r="M59" s="20" t="s">
        <v>113</v>
      </c>
      <c r="N59" s="6"/>
      <c r="O59" s="6"/>
      <c r="P59" s="9"/>
      <c r="Q59" s="6"/>
      <c r="R59" s="8"/>
      <c r="S59" s="7">
        <f>5839.13/11</f>
        <v>530.83000000000004</v>
      </c>
      <c r="T59" s="6"/>
      <c r="U59" s="38">
        <f>100%/11</f>
        <v>9.0909090909090912E-2</v>
      </c>
      <c r="V59" s="9"/>
      <c r="W59" s="6"/>
      <c r="X59" s="6"/>
    </row>
    <row r="60" spans="1:24" x14ac:dyDescent="0.2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25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2.5" x14ac:dyDescent="0.2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34"/>
      <c r="M61" s="2">
        <v>0</v>
      </c>
      <c r="N61" s="6"/>
      <c r="O61" s="6"/>
      <c r="P61" s="9"/>
      <c r="Q61" s="6"/>
      <c r="R61" s="8"/>
      <c r="S61" s="7">
        <v>0</v>
      </c>
      <c r="T61" s="6"/>
      <c r="U61" s="38">
        <v>0</v>
      </c>
      <c r="V61" s="9"/>
      <c r="W61" s="6"/>
      <c r="X61" s="6"/>
    </row>
    <row r="62" spans="1:24" ht="22.5" x14ac:dyDescent="0.2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34"/>
      <c r="M62" s="2">
        <v>0</v>
      </c>
      <c r="N62" s="6"/>
      <c r="O62" s="6"/>
      <c r="P62" s="9"/>
      <c r="Q62" s="6"/>
      <c r="R62" s="8"/>
      <c r="S62" s="7">
        <v>0</v>
      </c>
      <c r="T62" s="6"/>
      <c r="U62" s="38">
        <v>0</v>
      </c>
      <c r="V62" s="9"/>
      <c r="W62" s="6"/>
      <c r="X62" s="6"/>
    </row>
    <row r="63" spans="1:24" x14ac:dyDescent="0.2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2.5" x14ac:dyDescent="0.2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34"/>
      <c r="M64" s="2">
        <v>0</v>
      </c>
      <c r="N64" s="6"/>
      <c r="O64" s="6"/>
      <c r="P64" s="9"/>
      <c r="Q64" s="6"/>
      <c r="R64" s="8"/>
      <c r="S64" s="7">
        <v>0</v>
      </c>
      <c r="T64" s="6"/>
      <c r="U64" s="38">
        <v>0</v>
      </c>
      <c r="V64" s="9"/>
      <c r="W64" s="6"/>
      <c r="X64" s="6"/>
    </row>
    <row r="65" spans="1:24" x14ac:dyDescent="0.2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2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34"/>
      <c r="M66" s="2">
        <v>0</v>
      </c>
      <c r="N66" s="6"/>
      <c r="O66" s="6"/>
      <c r="P66" s="9"/>
      <c r="Q66" s="6"/>
      <c r="R66" s="8"/>
      <c r="S66" s="7">
        <v>0</v>
      </c>
      <c r="T66" s="6"/>
      <c r="U66" s="38">
        <v>0</v>
      </c>
      <c r="V66" s="9"/>
      <c r="W66" s="6"/>
      <c r="X66" s="6"/>
    </row>
    <row r="67" spans="1:24" x14ac:dyDescent="0.2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25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2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34"/>
      <c r="M68" s="2">
        <v>0</v>
      </c>
      <c r="N68" s="6"/>
      <c r="O68" s="6"/>
      <c r="P68" s="9"/>
      <c r="Q68" s="6"/>
      <c r="R68" s="8"/>
      <c r="S68" s="7">
        <v>0</v>
      </c>
      <c r="T68" s="6"/>
      <c r="U68" s="38">
        <v>0</v>
      </c>
      <c r="V68" s="9"/>
      <c r="W68" s="6"/>
      <c r="X68" s="6"/>
    </row>
    <row r="69" spans="1:24" x14ac:dyDescent="0.2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2.5" x14ac:dyDescent="0.2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>
        <v>45236.333333333336</v>
      </c>
      <c r="M70" s="20" t="s">
        <v>58</v>
      </c>
      <c r="N70" s="6"/>
      <c r="O70" s="6"/>
      <c r="P70" s="9"/>
      <c r="Q70" s="6"/>
      <c r="R70" s="8"/>
      <c r="S70" s="7">
        <v>10019.35</v>
      </c>
      <c r="T70" s="6"/>
      <c r="U70" s="38">
        <v>1</v>
      </c>
      <c r="V70" s="9"/>
      <c r="W70" s="6"/>
      <c r="X70" s="6"/>
    </row>
    <row r="71" spans="1:24" ht="22.5" x14ac:dyDescent="0.2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>
        <v>45236.333333333336</v>
      </c>
      <c r="M71" s="20" t="s">
        <v>58</v>
      </c>
      <c r="N71" s="6"/>
      <c r="O71" s="6"/>
      <c r="P71" s="9"/>
      <c r="Q71" s="6"/>
      <c r="R71" s="8"/>
      <c r="S71" s="7">
        <v>8000</v>
      </c>
      <c r="T71" s="6"/>
      <c r="U71" s="38">
        <v>1</v>
      </c>
      <c r="V71" s="9"/>
      <c r="W71" s="6"/>
      <c r="X71" s="6"/>
    </row>
    <row r="72" spans="1:24" x14ac:dyDescent="0.2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2.5" x14ac:dyDescent="0.2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>
        <v>45241.333333333336</v>
      </c>
      <c r="M73" s="20" t="s">
        <v>58</v>
      </c>
      <c r="N73" s="6"/>
      <c r="O73" s="6"/>
      <c r="P73" s="9"/>
      <c r="Q73" s="6"/>
      <c r="R73" s="8"/>
      <c r="S73" s="7">
        <v>22000</v>
      </c>
      <c r="T73" s="6"/>
      <c r="U73" s="38">
        <v>1</v>
      </c>
      <c r="V73" s="9"/>
      <c r="W73" s="6"/>
      <c r="X73" s="6"/>
    </row>
    <row r="74" spans="1:24" ht="22.5" x14ac:dyDescent="0.2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34">
        <v>45247.333333333336</v>
      </c>
      <c r="M74" s="20" t="s">
        <v>58</v>
      </c>
      <c r="N74" s="6"/>
      <c r="O74" s="6"/>
      <c r="P74" s="9"/>
      <c r="Q74" s="6"/>
      <c r="R74" s="8"/>
      <c r="S74" s="7">
        <v>38000</v>
      </c>
      <c r="T74" s="6"/>
      <c r="U74" s="38">
        <v>1</v>
      </c>
      <c r="V74" s="9"/>
      <c r="W74" s="6"/>
      <c r="X74" s="6"/>
    </row>
    <row r="75" spans="1:24" ht="22.5" x14ac:dyDescent="0.2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x14ac:dyDescent="0.2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34"/>
      <c r="M76" s="2">
        <v>0</v>
      </c>
      <c r="N76" s="6"/>
      <c r="O76" s="6"/>
      <c r="P76" s="9"/>
      <c r="Q76" s="6"/>
      <c r="R76" s="8"/>
      <c r="S76" s="7">
        <v>0</v>
      </c>
      <c r="T76" s="6"/>
      <c r="U76" s="38">
        <v>0</v>
      </c>
      <c r="V76" s="9"/>
      <c r="W76" s="6"/>
      <c r="X76" s="6"/>
    </row>
    <row r="77" spans="1:24" x14ac:dyDescent="0.2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34"/>
      <c r="M77" s="2">
        <v>0</v>
      </c>
      <c r="N77" s="6"/>
      <c r="O77" s="6"/>
      <c r="P77" s="9"/>
      <c r="Q77" s="6"/>
      <c r="R77" s="8"/>
      <c r="S77" s="7">
        <v>0</v>
      </c>
      <c r="T77" s="6"/>
      <c r="U77" s="38">
        <v>0</v>
      </c>
      <c r="V77" s="9"/>
      <c r="W77" s="6"/>
      <c r="X77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AF31-4536-4D8A-BBB9-1944B7631E90}">
  <dimension ref="A1:X82"/>
  <sheetViews>
    <sheetView topLeftCell="A40" workbookViewId="0">
      <selection activeCell="N7" sqref="N7"/>
    </sheetView>
  </sheetViews>
  <sheetFormatPr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42</v>
      </c>
      <c r="C1" s="34">
        <v>45294.333333333336</v>
      </c>
      <c r="E1" s="1" t="s">
        <v>43</v>
      </c>
      <c r="F1" s="3" t="s">
        <v>57</v>
      </c>
    </row>
    <row r="3" spans="1:24" x14ac:dyDescent="0.2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44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ht="56.25" x14ac:dyDescent="0.25">
      <c r="A5" s="14">
        <v>0</v>
      </c>
      <c r="B5" s="14" t="s">
        <v>132</v>
      </c>
      <c r="C5" s="16"/>
      <c r="D5" s="16"/>
      <c r="E5" s="16"/>
      <c r="F5" s="16"/>
      <c r="G5" s="16"/>
      <c r="H5" s="18"/>
      <c r="I5" s="16"/>
      <c r="J5" s="16"/>
      <c r="K5" s="18"/>
      <c r="L5" s="36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x14ac:dyDescent="0.25">
      <c r="A6" s="14">
        <v>1</v>
      </c>
      <c r="B6" s="14" t="s">
        <v>116</v>
      </c>
      <c r="C6" s="16"/>
      <c r="D6" s="16"/>
      <c r="E6" s="16"/>
      <c r="F6" s="16"/>
      <c r="G6" s="16"/>
      <c r="H6" s="18"/>
      <c r="I6" s="16"/>
      <c r="J6" s="16"/>
      <c r="K6" s="18"/>
      <c r="L6" s="36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ht="33.75" x14ac:dyDescent="0.25">
      <c r="A7" s="32">
        <v>2</v>
      </c>
      <c r="B7" s="32" t="s">
        <v>133</v>
      </c>
      <c r="C7" s="5"/>
      <c r="D7" s="5"/>
      <c r="E7" s="9"/>
      <c r="F7" s="9"/>
      <c r="G7" s="6"/>
      <c r="H7" s="6"/>
      <c r="I7" s="6"/>
      <c r="J7" s="6"/>
      <c r="K7" s="6"/>
      <c r="L7" s="34">
        <v>45231.333333333336</v>
      </c>
      <c r="M7" s="20" t="s">
        <v>97</v>
      </c>
      <c r="N7" s="6"/>
      <c r="O7" s="6"/>
      <c r="P7" s="9"/>
      <c r="Q7" s="6"/>
      <c r="R7" s="8"/>
      <c r="S7" s="7">
        <v>1775.27</v>
      </c>
      <c r="T7" s="6"/>
      <c r="U7" s="38">
        <v>1</v>
      </c>
      <c r="V7" s="9"/>
      <c r="W7" s="6"/>
      <c r="X7" s="6"/>
    </row>
    <row r="8" spans="1:24" ht="22.5" x14ac:dyDescent="0.25">
      <c r="A8" s="32">
        <v>3</v>
      </c>
      <c r="B8" s="32" t="s">
        <v>135</v>
      </c>
      <c r="C8" s="5"/>
      <c r="D8" s="5"/>
      <c r="E8" s="9"/>
      <c r="F8" s="9"/>
      <c r="G8" s="6"/>
      <c r="H8" s="6"/>
      <c r="I8" s="6"/>
      <c r="J8" s="6"/>
      <c r="K8" s="6"/>
      <c r="L8" s="34">
        <v>45231.333333333336</v>
      </c>
      <c r="M8" s="20" t="s">
        <v>113</v>
      </c>
      <c r="N8" s="6"/>
      <c r="O8" s="6"/>
      <c r="P8" s="9"/>
      <c r="Q8" s="6"/>
      <c r="R8" s="8"/>
      <c r="S8" s="7">
        <v>3000</v>
      </c>
      <c r="T8" s="6"/>
      <c r="U8" s="38">
        <v>1</v>
      </c>
      <c r="V8" s="9"/>
      <c r="W8" s="6"/>
      <c r="X8" s="6"/>
    </row>
    <row r="9" spans="1:24" ht="22.5" x14ac:dyDescent="0.25">
      <c r="A9" s="15">
        <v>4</v>
      </c>
      <c r="B9" s="15" t="s">
        <v>300</v>
      </c>
      <c r="C9" s="16"/>
      <c r="D9" s="16"/>
      <c r="E9" s="16"/>
      <c r="F9" s="16"/>
      <c r="G9" s="16"/>
      <c r="H9" s="16"/>
      <c r="I9" s="16"/>
      <c r="J9" s="16"/>
      <c r="K9" s="16"/>
      <c r="L9" s="36"/>
      <c r="M9" s="19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25">
      <c r="A10" s="14">
        <v>5</v>
      </c>
      <c r="B10" s="14" t="s">
        <v>116</v>
      </c>
      <c r="C10" s="16"/>
      <c r="D10" s="16"/>
      <c r="E10" s="16"/>
      <c r="F10" s="16"/>
      <c r="G10" s="16"/>
      <c r="H10" s="18"/>
      <c r="I10" s="16"/>
      <c r="J10" s="16"/>
      <c r="K10" s="18"/>
      <c r="L10" s="36"/>
      <c r="M10" s="2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A11" s="32">
        <v>6</v>
      </c>
      <c r="B11" s="32" t="s">
        <v>139</v>
      </c>
      <c r="C11" s="5"/>
      <c r="D11" s="5"/>
      <c r="E11" s="9"/>
      <c r="F11" s="9"/>
      <c r="G11" s="6"/>
      <c r="H11" s="6"/>
      <c r="I11" s="6"/>
      <c r="J11" s="6"/>
      <c r="K11" s="6"/>
      <c r="L11" s="34">
        <v>45233.333333333336</v>
      </c>
      <c r="M11" s="20" t="s">
        <v>97</v>
      </c>
      <c r="N11" s="6"/>
      <c r="O11" s="6"/>
      <c r="P11" s="9"/>
      <c r="Q11" s="6"/>
      <c r="R11" s="8"/>
      <c r="S11" s="7">
        <v>254.7</v>
      </c>
      <c r="T11" s="6"/>
      <c r="U11" s="38">
        <v>1</v>
      </c>
      <c r="V11" s="9"/>
      <c r="W11" s="6"/>
      <c r="X11" s="6"/>
    </row>
    <row r="12" spans="1:24" x14ac:dyDescent="0.25">
      <c r="A12" s="15">
        <v>7</v>
      </c>
      <c r="B12" s="14" t="s">
        <v>117</v>
      </c>
      <c r="C12" s="16"/>
      <c r="D12" s="16"/>
      <c r="E12" s="16"/>
      <c r="F12" s="16"/>
      <c r="G12" s="16"/>
      <c r="H12" s="18"/>
      <c r="I12" s="16"/>
      <c r="J12" s="16"/>
      <c r="K12" s="18"/>
      <c r="L12" s="36"/>
      <c r="M12" s="2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33.75" x14ac:dyDescent="0.25">
      <c r="A13" s="32">
        <v>8</v>
      </c>
      <c r="B13" s="32" t="s">
        <v>144</v>
      </c>
      <c r="C13" s="5"/>
      <c r="D13" s="5"/>
      <c r="E13" s="9"/>
      <c r="F13" s="9"/>
      <c r="G13" s="6"/>
      <c r="H13" s="6"/>
      <c r="I13" s="6"/>
      <c r="J13" s="6"/>
      <c r="K13" s="6"/>
      <c r="L13" s="34">
        <v>45235.333333333336</v>
      </c>
      <c r="M13" s="20" t="s">
        <v>113</v>
      </c>
      <c r="N13" s="6"/>
      <c r="O13" s="6"/>
      <c r="P13" s="9"/>
      <c r="Q13" s="6"/>
      <c r="R13" s="8"/>
      <c r="S13" s="7">
        <v>191.81</v>
      </c>
      <c r="T13" s="6"/>
      <c r="U13" s="38">
        <v>1</v>
      </c>
      <c r="V13" s="9"/>
      <c r="W13" s="6"/>
      <c r="X13" s="6"/>
    </row>
    <row r="14" spans="1:24" x14ac:dyDescent="0.25">
      <c r="A14" s="32">
        <v>9</v>
      </c>
      <c r="B14" s="32" t="s">
        <v>148</v>
      </c>
      <c r="C14" s="5"/>
      <c r="D14" s="5"/>
      <c r="E14" s="9"/>
      <c r="F14" s="9"/>
      <c r="G14" s="6"/>
      <c r="H14" s="6"/>
      <c r="I14" s="6"/>
      <c r="J14" s="6"/>
      <c r="K14" s="6"/>
      <c r="L14" s="34">
        <v>45237.333333333336</v>
      </c>
      <c r="M14" s="20" t="s">
        <v>129</v>
      </c>
      <c r="N14" s="6"/>
      <c r="O14" s="6"/>
      <c r="P14" s="9"/>
      <c r="Q14" s="6"/>
      <c r="R14" s="8"/>
      <c r="S14" s="7">
        <v>7161.78</v>
      </c>
      <c r="T14" s="6"/>
      <c r="U14" s="38">
        <v>1</v>
      </c>
      <c r="V14" s="9"/>
      <c r="W14" s="6"/>
      <c r="X14" s="6"/>
    </row>
    <row r="15" spans="1:24" ht="22.5" x14ac:dyDescent="0.25">
      <c r="A15" s="32">
        <v>10</v>
      </c>
      <c r="B15" s="32" t="s">
        <v>153</v>
      </c>
      <c r="C15" s="5"/>
      <c r="D15" s="5"/>
      <c r="E15" s="9"/>
      <c r="F15" s="9"/>
      <c r="G15" s="6"/>
      <c r="H15" s="6"/>
      <c r="I15" s="6"/>
      <c r="J15" s="6"/>
      <c r="K15" s="6"/>
      <c r="L15" s="34">
        <v>45238.333333333336</v>
      </c>
      <c r="M15" s="20" t="s">
        <v>113</v>
      </c>
      <c r="N15" s="6"/>
      <c r="O15" s="6"/>
      <c r="P15" s="9"/>
      <c r="Q15" s="6"/>
      <c r="R15" s="8"/>
      <c r="S15" s="7">
        <v>336.2</v>
      </c>
      <c r="T15" s="6"/>
      <c r="U15" s="38">
        <v>1</v>
      </c>
      <c r="V15" s="9"/>
      <c r="W15" s="6"/>
      <c r="X15" s="6"/>
    </row>
    <row r="16" spans="1:24" ht="22.5" x14ac:dyDescent="0.25">
      <c r="A16" s="32">
        <v>11</v>
      </c>
      <c r="B16" s="32" t="s">
        <v>120</v>
      </c>
      <c r="C16" s="5"/>
      <c r="D16" s="5"/>
      <c r="E16" s="9"/>
      <c r="F16" s="9"/>
      <c r="G16" s="6"/>
      <c r="H16" s="6"/>
      <c r="I16" s="6"/>
      <c r="J16" s="6"/>
      <c r="K16" s="6"/>
      <c r="L16" s="34">
        <v>45240.333333333336</v>
      </c>
      <c r="M16" s="20" t="s">
        <v>113</v>
      </c>
      <c r="N16" s="6"/>
      <c r="O16" s="6"/>
      <c r="P16" s="9"/>
      <c r="Q16" s="6"/>
      <c r="R16" s="8"/>
      <c r="S16" s="7">
        <v>926.56</v>
      </c>
      <c r="T16" s="6"/>
      <c r="U16" s="38">
        <v>1</v>
      </c>
      <c r="V16" s="9"/>
      <c r="W16" s="6"/>
      <c r="X16" s="6"/>
    </row>
    <row r="17" spans="1:24" ht="22.5" x14ac:dyDescent="0.25">
      <c r="A17" s="15">
        <v>12</v>
      </c>
      <c r="B17" s="14" t="s">
        <v>121</v>
      </c>
      <c r="C17" s="16"/>
      <c r="D17" s="16"/>
      <c r="E17" s="16"/>
      <c r="F17" s="16"/>
      <c r="G17" s="16"/>
      <c r="H17" s="16"/>
      <c r="I17" s="16"/>
      <c r="J17" s="16"/>
      <c r="K17" s="16"/>
      <c r="L17" s="36"/>
      <c r="M17" s="19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22.5" x14ac:dyDescent="0.25">
      <c r="A18" s="32">
        <v>13</v>
      </c>
      <c r="B18" s="32" t="s">
        <v>162</v>
      </c>
      <c r="C18" s="5"/>
      <c r="D18" s="5"/>
      <c r="E18" s="9"/>
      <c r="F18" s="9"/>
      <c r="G18" s="6"/>
      <c r="H18" s="6"/>
      <c r="I18" s="6"/>
      <c r="J18" s="6"/>
      <c r="K18" s="6"/>
      <c r="L18" s="34">
        <v>45240.333333333336</v>
      </c>
      <c r="M18" s="20" t="s">
        <v>304</v>
      </c>
      <c r="N18" s="6"/>
      <c r="O18" s="6"/>
      <c r="P18" s="9"/>
      <c r="Q18" s="6"/>
      <c r="R18" s="8"/>
      <c r="S18" s="7">
        <v>8919.39</v>
      </c>
      <c r="T18" s="6"/>
      <c r="U18" s="38">
        <v>1</v>
      </c>
      <c r="V18" s="9"/>
      <c r="W18" s="6"/>
      <c r="X18" s="6"/>
    </row>
    <row r="19" spans="1:24" ht="22.5" x14ac:dyDescent="0.25">
      <c r="A19" s="32">
        <v>14</v>
      </c>
      <c r="B19" s="32" t="s">
        <v>166</v>
      </c>
      <c r="C19" s="5"/>
      <c r="D19" s="5"/>
      <c r="E19" s="9"/>
      <c r="F19" s="9"/>
      <c r="G19" s="6"/>
      <c r="H19" s="6"/>
      <c r="I19" s="6"/>
      <c r="J19" s="6"/>
      <c r="K19" s="6"/>
      <c r="L19" s="34">
        <v>45243.333333333336</v>
      </c>
      <c r="M19" s="20" t="s">
        <v>238</v>
      </c>
      <c r="N19" s="6"/>
      <c r="O19" s="6"/>
      <c r="P19" s="9"/>
      <c r="Q19" s="6"/>
      <c r="R19" s="8"/>
      <c r="S19" s="7">
        <v>9401.4599999999991</v>
      </c>
      <c r="T19" s="6"/>
      <c r="U19" s="38">
        <v>1</v>
      </c>
      <c r="V19" s="9"/>
      <c r="W19" s="6"/>
      <c r="X19" s="6"/>
    </row>
    <row r="20" spans="1:24" ht="22.5" x14ac:dyDescent="0.25">
      <c r="A20" s="32">
        <v>15</v>
      </c>
      <c r="B20" s="32" t="s">
        <v>170</v>
      </c>
      <c r="C20" s="5"/>
      <c r="D20" s="5"/>
      <c r="E20" s="9"/>
      <c r="F20" s="9"/>
      <c r="G20" s="6"/>
      <c r="H20" s="6"/>
      <c r="I20" s="6"/>
      <c r="J20" s="6"/>
      <c r="K20" s="6"/>
      <c r="L20" s="34">
        <v>45247.333333333336</v>
      </c>
      <c r="M20" s="20" t="s">
        <v>129</v>
      </c>
      <c r="N20" s="6"/>
      <c r="O20" s="6"/>
      <c r="P20" s="9"/>
      <c r="Q20" s="6"/>
      <c r="R20" s="8"/>
      <c r="S20" s="7">
        <v>2110.6</v>
      </c>
      <c r="T20" s="6"/>
      <c r="U20" s="38">
        <v>1</v>
      </c>
      <c r="V20" s="9"/>
      <c r="W20" s="6"/>
      <c r="X20" s="6"/>
    </row>
    <row r="21" spans="1:24" ht="33.75" x14ac:dyDescent="0.25">
      <c r="A21" s="32">
        <v>16</v>
      </c>
      <c r="B21" s="32" t="s">
        <v>175</v>
      </c>
      <c r="C21" s="5"/>
      <c r="D21" s="5"/>
      <c r="E21" s="9"/>
      <c r="F21" s="9"/>
      <c r="G21" s="6"/>
      <c r="H21" s="6"/>
      <c r="I21" s="6"/>
      <c r="J21" s="6"/>
      <c r="K21" s="6"/>
      <c r="L21" s="34">
        <v>45247.333333333336</v>
      </c>
      <c r="M21" s="20" t="s">
        <v>129</v>
      </c>
      <c r="N21" s="6"/>
      <c r="O21" s="6"/>
      <c r="P21" s="9"/>
      <c r="Q21" s="6"/>
      <c r="R21" s="8"/>
      <c r="S21" s="7">
        <v>2134.75</v>
      </c>
      <c r="T21" s="6"/>
      <c r="U21" s="38">
        <v>1</v>
      </c>
      <c r="V21" s="9"/>
      <c r="W21" s="6"/>
      <c r="X21" s="6"/>
    </row>
    <row r="22" spans="1:24" x14ac:dyDescent="0.25">
      <c r="A22" s="32">
        <v>17</v>
      </c>
      <c r="B22" s="32" t="s">
        <v>178</v>
      </c>
      <c r="C22" s="5"/>
      <c r="D22" s="5"/>
      <c r="E22" s="9"/>
      <c r="F22" s="9"/>
      <c r="G22" s="6"/>
      <c r="H22" s="6"/>
      <c r="I22" s="6"/>
      <c r="J22" s="6"/>
      <c r="K22" s="6"/>
      <c r="L22" s="34">
        <v>45238.333333333336</v>
      </c>
      <c r="M22" s="20" t="s">
        <v>129</v>
      </c>
      <c r="N22" s="6"/>
      <c r="O22" s="6"/>
      <c r="P22" s="9"/>
      <c r="Q22" s="6"/>
      <c r="R22" s="8"/>
      <c r="S22" s="7">
        <v>6413.93</v>
      </c>
      <c r="T22" s="6"/>
      <c r="U22" s="38">
        <v>1</v>
      </c>
      <c r="V22" s="9"/>
      <c r="W22" s="6"/>
      <c r="X22" s="6"/>
    </row>
    <row r="23" spans="1:24" x14ac:dyDescent="0.25">
      <c r="A23" s="15">
        <v>18</v>
      </c>
      <c r="B23" s="14" t="s">
        <v>182</v>
      </c>
      <c r="C23" s="16"/>
      <c r="D23" s="16"/>
      <c r="E23" s="16"/>
      <c r="F23" s="16"/>
      <c r="G23" s="16"/>
      <c r="H23" s="18"/>
      <c r="I23" s="16"/>
      <c r="J23" s="16"/>
      <c r="K23" s="18"/>
      <c r="L23" s="36"/>
      <c r="M23" s="2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A24" s="32">
        <v>19</v>
      </c>
      <c r="B24" s="32" t="s">
        <v>184</v>
      </c>
      <c r="C24" s="5"/>
      <c r="D24" s="5"/>
      <c r="E24" s="9"/>
      <c r="F24" s="9"/>
      <c r="G24" s="6"/>
      <c r="H24" s="6"/>
      <c r="I24" s="6"/>
      <c r="J24" s="6"/>
      <c r="K24" s="6"/>
      <c r="L24" s="34">
        <v>45248.333333333336</v>
      </c>
      <c r="M24" s="20" t="s">
        <v>97</v>
      </c>
      <c r="N24" s="6"/>
      <c r="O24" s="6"/>
      <c r="P24" s="9"/>
      <c r="Q24" s="6"/>
      <c r="R24" s="8"/>
      <c r="S24" s="7">
        <v>114.8</v>
      </c>
      <c r="T24" s="6"/>
      <c r="U24" s="38">
        <v>1</v>
      </c>
      <c r="V24" s="9"/>
      <c r="W24" s="6"/>
      <c r="X24" s="6"/>
    </row>
    <row r="25" spans="1:24" x14ac:dyDescent="0.25">
      <c r="A25" s="14">
        <v>20</v>
      </c>
      <c r="B25" s="14" t="s">
        <v>187</v>
      </c>
      <c r="C25" s="16"/>
      <c r="D25" s="16"/>
      <c r="E25" s="16"/>
      <c r="F25" s="16"/>
      <c r="G25" s="16"/>
      <c r="H25" s="18"/>
      <c r="I25" s="16"/>
      <c r="J25" s="16"/>
      <c r="K25" s="18"/>
      <c r="L25" s="36"/>
      <c r="M25" s="19"/>
      <c r="N25" s="16"/>
      <c r="O25" s="16"/>
      <c r="P25" s="16"/>
      <c r="Q25" s="16"/>
      <c r="R25" s="26"/>
      <c r="S25" s="17"/>
      <c r="T25" s="19"/>
      <c r="U25" s="19"/>
      <c r="V25" s="27"/>
      <c r="W25" s="18"/>
      <c r="X25" s="18"/>
    </row>
    <row r="26" spans="1:24" x14ac:dyDescent="0.25">
      <c r="A26" s="32">
        <v>21</v>
      </c>
      <c r="B26" s="32" t="s">
        <v>189</v>
      </c>
      <c r="C26" s="5"/>
      <c r="D26" s="5"/>
      <c r="E26" s="9"/>
      <c r="F26" s="9"/>
      <c r="G26" s="6"/>
      <c r="H26" s="6"/>
      <c r="I26" s="6"/>
      <c r="J26" s="6"/>
      <c r="K26" s="6"/>
      <c r="L26" s="34">
        <v>45242.333333333336</v>
      </c>
      <c r="M26" s="20" t="s">
        <v>19</v>
      </c>
      <c r="N26" s="6"/>
      <c r="O26" s="6"/>
      <c r="P26" s="9"/>
      <c r="Q26" s="6"/>
      <c r="R26" s="8"/>
      <c r="S26" s="7">
        <v>176.16</v>
      </c>
      <c r="T26" s="6"/>
      <c r="U26" s="38">
        <v>1</v>
      </c>
      <c r="V26" s="9"/>
      <c r="W26" s="6"/>
      <c r="X26" s="6"/>
    </row>
    <row r="27" spans="1:24" x14ac:dyDescent="0.25">
      <c r="A27" s="15">
        <v>22</v>
      </c>
      <c r="B27" s="14" t="s">
        <v>192</v>
      </c>
      <c r="C27" s="16"/>
      <c r="D27" s="16"/>
      <c r="E27" s="16"/>
      <c r="F27" s="16"/>
      <c r="G27" s="16"/>
      <c r="H27" s="18"/>
      <c r="I27" s="16"/>
      <c r="J27" s="16"/>
      <c r="K27" s="18"/>
      <c r="L27" s="36"/>
      <c r="M27" s="19"/>
      <c r="N27" s="16"/>
      <c r="O27" s="16"/>
      <c r="P27" s="16"/>
      <c r="Q27" s="16"/>
      <c r="R27" s="26"/>
      <c r="S27" s="17"/>
      <c r="T27" s="19"/>
      <c r="U27" s="19"/>
      <c r="V27" s="27"/>
      <c r="W27" s="18"/>
      <c r="X27" s="18"/>
    </row>
    <row r="28" spans="1:24" ht="22.5" x14ac:dyDescent="0.25">
      <c r="A28" s="32">
        <v>23</v>
      </c>
      <c r="B28" s="32" t="s">
        <v>194</v>
      </c>
      <c r="C28" s="5"/>
      <c r="D28" s="5"/>
      <c r="E28" s="9"/>
      <c r="F28" s="9"/>
      <c r="G28" s="6"/>
      <c r="H28" s="6"/>
      <c r="I28" s="6"/>
      <c r="J28" s="6"/>
      <c r="K28" s="6"/>
      <c r="L28" s="34">
        <v>45248.333333333336</v>
      </c>
      <c r="M28" s="20" t="s">
        <v>113</v>
      </c>
      <c r="N28" s="6"/>
      <c r="O28" s="6"/>
      <c r="P28" s="9"/>
      <c r="Q28" s="6"/>
      <c r="R28" s="8"/>
      <c r="S28" s="7">
        <v>3008.2</v>
      </c>
      <c r="T28" s="6"/>
      <c r="U28" s="38">
        <v>1</v>
      </c>
      <c r="V28" s="9"/>
      <c r="W28" s="6"/>
      <c r="X28" s="6"/>
    </row>
    <row r="29" spans="1:24" x14ac:dyDescent="0.25">
      <c r="A29" s="15">
        <v>24</v>
      </c>
      <c r="B29" s="14" t="s">
        <v>128</v>
      </c>
      <c r="C29" s="16"/>
      <c r="D29" s="16"/>
      <c r="E29" s="16"/>
      <c r="F29" s="16"/>
      <c r="G29" s="16"/>
      <c r="H29" s="18"/>
      <c r="I29" s="16"/>
      <c r="J29" s="16"/>
      <c r="K29" s="18"/>
      <c r="L29" s="36"/>
      <c r="M29" s="19"/>
      <c r="N29" s="16"/>
      <c r="O29" s="16"/>
      <c r="P29" s="16"/>
      <c r="Q29" s="16"/>
      <c r="R29" s="26"/>
      <c r="S29" s="17"/>
      <c r="T29" s="19"/>
      <c r="U29" s="19"/>
      <c r="V29" s="27"/>
      <c r="W29" s="18"/>
      <c r="X29" s="18"/>
    </row>
    <row r="30" spans="1:24" ht="22.5" x14ac:dyDescent="0.25">
      <c r="A30" s="32">
        <v>25</v>
      </c>
      <c r="B30" s="32" t="s">
        <v>198</v>
      </c>
      <c r="C30" s="5"/>
      <c r="D30" s="5"/>
      <c r="E30" s="9"/>
      <c r="F30" s="9"/>
      <c r="G30" s="6"/>
      <c r="H30" s="6"/>
      <c r="I30" s="6"/>
      <c r="J30" s="6"/>
      <c r="K30" s="6"/>
      <c r="L30" s="34">
        <v>45248.333333333336</v>
      </c>
      <c r="M30" s="20" t="s">
        <v>113</v>
      </c>
      <c r="N30" s="6"/>
      <c r="O30" s="6"/>
      <c r="P30" s="9"/>
      <c r="Q30" s="6"/>
      <c r="R30" s="8"/>
      <c r="S30" s="7">
        <v>846.98</v>
      </c>
      <c r="T30" s="6"/>
      <c r="U30" s="38">
        <v>1</v>
      </c>
      <c r="V30" s="9"/>
      <c r="W30" s="6"/>
      <c r="X30" s="6"/>
    </row>
    <row r="31" spans="1:24" ht="22.5" x14ac:dyDescent="0.25">
      <c r="A31" s="32">
        <v>26</v>
      </c>
      <c r="B31" s="32" t="s">
        <v>202</v>
      </c>
      <c r="C31" s="5"/>
      <c r="D31" s="5"/>
      <c r="E31" s="9"/>
      <c r="F31" s="9"/>
      <c r="G31" s="6"/>
      <c r="H31" s="6"/>
      <c r="I31" s="6"/>
      <c r="J31" s="6"/>
      <c r="K31" s="6"/>
      <c r="L31" s="34">
        <v>45248.333333333336</v>
      </c>
      <c r="M31" s="20" t="s">
        <v>113</v>
      </c>
      <c r="N31" s="6"/>
      <c r="O31" s="6"/>
      <c r="P31" s="9"/>
      <c r="Q31" s="6"/>
      <c r="R31" s="8"/>
      <c r="S31" s="7">
        <v>1039.5999999999999</v>
      </c>
      <c r="T31" s="6"/>
      <c r="U31" s="38">
        <v>1</v>
      </c>
      <c r="V31" s="9"/>
      <c r="W31" s="6"/>
      <c r="X31" s="6"/>
    </row>
    <row r="32" spans="1:24" ht="22.5" x14ac:dyDescent="0.25">
      <c r="A32" s="15">
        <v>27</v>
      </c>
      <c r="B32" s="14" t="s">
        <v>301</v>
      </c>
      <c r="C32" s="16"/>
      <c r="D32" s="16"/>
      <c r="E32" s="16"/>
      <c r="F32" s="16"/>
      <c r="G32" s="16"/>
      <c r="H32" s="18"/>
      <c r="I32" s="16"/>
      <c r="J32" s="16"/>
      <c r="K32" s="18"/>
      <c r="L32" s="36"/>
      <c r="M32" s="19"/>
      <c r="N32" s="16"/>
      <c r="O32" s="16"/>
      <c r="P32" s="16"/>
      <c r="Q32" s="16"/>
      <c r="R32" s="26"/>
      <c r="S32" s="17"/>
      <c r="T32" s="19"/>
      <c r="U32" s="19"/>
      <c r="V32" s="27"/>
      <c r="W32" s="18"/>
      <c r="X32" s="18"/>
    </row>
    <row r="33" spans="1:24" x14ac:dyDescent="0.25">
      <c r="A33" s="15">
        <v>28</v>
      </c>
      <c r="B33" s="14" t="s">
        <v>116</v>
      </c>
      <c r="C33" s="16"/>
      <c r="D33" s="16"/>
      <c r="E33" s="16"/>
      <c r="F33" s="16"/>
      <c r="G33" s="16"/>
      <c r="H33" s="18"/>
      <c r="I33" s="16"/>
      <c r="J33" s="16"/>
      <c r="K33" s="16"/>
      <c r="L33" s="36"/>
      <c r="M33" s="19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2.5" x14ac:dyDescent="0.25">
      <c r="A34" s="32">
        <v>29</v>
      </c>
      <c r="B34" s="32" t="s">
        <v>206</v>
      </c>
      <c r="C34" s="5"/>
      <c r="D34" s="5"/>
      <c r="E34" s="9"/>
      <c r="F34" s="9"/>
      <c r="G34" s="6"/>
      <c r="H34" s="6"/>
      <c r="I34" s="6"/>
      <c r="J34" s="6"/>
      <c r="K34" s="6"/>
      <c r="L34" s="34">
        <v>45248.333333333336</v>
      </c>
      <c r="M34" s="20" t="s">
        <v>97</v>
      </c>
      <c r="N34" s="6"/>
      <c r="O34" s="6"/>
      <c r="P34" s="9"/>
      <c r="Q34" s="6"/>
      <c r="R34" s="8"/>
      <c r="S34" s="7">
        <v>101.61</v>
      </c>
      <c r="T34" s="6"/>
      <c r="U34" s="38">
        <v>1</v>
      </c>
      <c r="V34" s="9"/>
      <c r="W34" s="6"/>
      <c r="X34" s="6"/>
    </row>
    <row r="35" spans="1:24" x14ac:dyDescent="0.25">
      <c r="A35" s="15">
        <v>30</v>
      </c>
      <c r="B35" s="14" t="s">
        <v>117</v>
      </c>
      <c r="C35" s="16"/>
      <c r="D35" s="16"/>
      <c r="E35" s="16"/>
      <c r="F35" s="16"/>
      <c r="G35" s="16"/>
      <c r="H35" s="18"/>
      <c r="I35" s="16"/>
      <c r="J35" s="16"/>
      <c r="K35" s="16"/>
      <c r="L35" s="36"/>
      <c r="M35" s="19"/>
      <c r="N35" s="16"/>
      <c r="O35" s="16"/>
      <c r="P35" s="16"/>
      <c r="Q35" s="16"/>
      <c r="R35" s="16"/>
      <c r="S35" s="17"/>
      <c r="T35" s="16"/>
      <c r="U35" s="16"/>
      <c r="V35" s="16"/>
      <c r="W35" s="16"/>
      <c r="X35" s="16"/>
    </row>
    <row r="36" spans="1:24" ht="33.75" x14ac:dyDescent="0.25">
      <c r="A36" s="32">
        <v>31</v>
      </c>
      <c r="B36" s="32" t="s">
        <v>144</v>
      </c>
      <c r="C36" s="5"/>
      <c r="D36" s="5"/>
      <c r="E36" s="9"/>
      <c r="F36" s="9"/>
      <c r="G36" s="6"/>
      <c r="H36" s="6"/>
      <c r="I36" s="6"/>
      <c r="J36" s="6"/>
      <c r="K36" s="6"/>
      <c r="L36" s="34">
        <v>45249.333333333336</v>
      </c>
      <c r="M36" s="20" t="s">
        <v>238</v>
      </c>
      <c r="N36" s="6"/>
      <c r="O36" s="6"/>
      <c r="P36" s="9"/>
      <c r="Q36" s="6"/>
      <c r="R36" s="8"/>
      <c r="S36" s="7">
        <v>957.74</v>
      </c>
      <c r="T36" s="6"/>
      <c r="U36" s="38">
        <v>1</v>
      </c>
      <c r="V36" s="9"/>
      <c r="W36" s="6"/>
      <c r="X36" s="6"/>
    </row>
    <row r="37" spans="1:24" ht="22.5" x14ac:dyDescent="0.25">
      <c r="A37" s="32">
        <v>32</v>
      </c>
      <c r="B37" s="32" t="s">
        <v>153</v>
      </c>
      <c r="C37" s="5"/>
      <c r="D37" s="5"/>
      <c r="E37" s="9"/>
      <c r="F37" s="9"/>
      <c r="G37" s="6"/>
      <c r="H37" s="6"/>
      <c r="I37" s="6"/>
      <c r="J37" s="6"/>
      <c r="K37" s="6"/>
      <c r="L37" s="34">
        <v>45251.333333333336</v>
      </c>
      <c r="M37" s="20" t="s">
        <v>129</v>
      </c>
      <c r="N37" s="6"/>
      <c r="O37" s="6"/>
      <c r="P37" s="9"/>
      <c r="Q37" s="6"/>
      <c r="R37" s="8"/>
      <c r="S37" s="7">
        <v>121.5</v>
      </c>
      <c r="T37" s="6"/>
      <c r="U37" s="38">
        <v>1</v>
      </c>
      <c r="V37" s="9"/>
      <c r="W37" s="6"/>
      <c r="X37" s="6"/>
    </row>
    <row r="38" spans="1:24" ht="22.5" x14ac:dyDescent="0.25">
      <c r="A38" s="32">
        <v>33</v>
      </c>
      <c r="B38" s="32" t="s">
        <v>120</v>
      </c>
      <c r="C38" s="5"/>
      <c r="D38" s="5"/>
      <c r="E38" s="9"/>
      <c r="F38" s="9"/>
      <c r="G38" s="6"/>
      <c r="H38" s="6"/>
      <c r="I38" s="6"/>
      <c r="J38" s="6"/>
      <c r="K38" s="6"/>
      <c r="L38" s="34">
        <v>45253.333333333336</v>
      </c>
      <c r="M38" s="20" t="s">
        <v>127</v>
      </c>
      <c r="N38" s="6"/>
      <c r="O38" s="6"/>
      <c r="P38" s="9"/>
      <c r="Q38" s="6"/>
      <c r="R38" s="8"/>
      <c r="S38" s="7">
        <v>231.15</v>
      </c>
      <c r="T38" s="6"/>
      <c r="U38" s="38">
        <v>1</v>
      </c>
      <c r="V38" s="9"/>
      <c r="W38" s="6"/>
      <c r="X38" s="6"/>
    </row>
    <row r="39" spans="1:24" ht="22.5" x14ac:dyDescent="0.25">
      <c r="A39" s="15">
        <v>34</v>
      </c>
      <c r="B39" s="14" t="s">
        <v>121</v>
      </c>
      <c r="C39" s="16"/>
      <c r="D39" s="16"/>
      <c r="E39" s="16"/>
      <c r="F39" s="16"/>
      <c r="G39" s="16"/>
      <c r="H39" s="18"/>
      <c r="I39" s="16"/>
      <c r="J39" s="16"/>
      <c r="K39" s="18"/>
      <c r="L39" s="36"/>
      <c r="M39" s="29"/>
      <c r="N39" s="18"/>
      <c r="O39" s="18"/>
      <c r="P39" s="18"/>
      <c r="Q39" s="18"/>
      <c r="R39" s="18"/>
      <c r="S39" s="17"/>
      <c r="T39" s="18"/>
      <c r="U39" s="18"/>
      <c r="V39" s="18"/>
      <c r="W39" s="18"/>
      <c r="X39" s="18"/>
    </row>
    <row r="40" spans="1:24" ht="22.5" x14ac:dyDescent="0.25">
      <c r="A40" s="32">
        <v>35</v>
      </c>
      <c r="B40" s="32" t="s">
        <v>162</v>
      </c>
      <c r="C40" s="5"/>
      <c r="D40" s="5"/>
      <c r="E40" s="9"/>
      <c r="F40" s="9"/>
      <c r="G40" s="6"/>
      <c r="H40" s="6"/>
      <c r="I40" s="6"/>
      <c r="J40" s="6"/>
      <c r="K40" s="6"/>
      <c r="L40" s="34">
        <v>45255.333333333336</v>
      </c>
      <c r="M40" s="20" t="s">
        <v>129</v>
      </c>
      <c r="N40" s="6"/>
      <c r="O40" s="6"/>
      <c r="P40" s="9"/>
      <c r="Q40" s="6"/>
      <c r="R40" s="8"/>
      <c r="S40" s="7">
        <v>4010.68</v>
      </c>
      <c r="T40" s="6"/>
      <c r="U40" s="38">
        <v>1</v>
      </c>
      <c r="V40" s="9"/>
      <c r="W40" s="6"/>
      <c r="X40" s="6"/>
    </row>
    <row r="41" spans="1:24" ht="33.75" x14ac:dyDescent="0.25">
      <c r="A41" s="32">
        <v>36</v>
      </c>
      <c r="B41" s="32" t="s">
        <v>302</v>
      </c>
      <c r="C41" s="5"/>
      <c r="D41" s="5"/>
      <c r="E41" s="9"/>
      <c r="F41" s="9"/>
      <c r="G41" s="6"/>
      <c r="H41" s="6"/>
      <c r="I41" s="6"/>
      <c r="J41" s="6"/>
      <c r="K41" s="6"/>
      <c r="L41" s="34">
        <v>45257.333333333336</v>
      </c>
      <c r="M41" s="20" t="s">
        <v>129</v>
      </c>
      <c r="N41" s="6"/>
      <c r="O41" s="6"/>
      <c r="P41" s="9"/>
      <c r="Q41" s="6"/>
      <c r="R41" s="8"/>
      <c r="S41" s="7">
        <v>729.5</v>
      </c>
      <c r="T41" s="6"/>
      <c r="U41" s="38">
        <v>1</v>
      </c>
      <c r="V41" s="9"/>
      <c r="W41" s="6"/>
      <c r="X41" s="6"/>
    </row>
    <row r="42" spans="1:24" ht="22.5" x14ac:dyDescent="0.25">
      <c r="A42" s="32">
        <v>37</v>
      </c>
      <c r="B42" s="32" t="s">
        <v>170</v>
      </c>
      <c r="C42" s="5"/>
      <c r="D42" s="5"/>
      <c r="E42" s="9"/>
      <c r="F42" s="9"/>
      <c r="G42" s="6"/>
      <c r="H42" s="6"/>
      <c r="I42" s="6"/>
      <c r="J42" s="6"/>
      <c r="K42" s="6"/>
      <c r="L42" s="34">
        <v>45259.333333333336</v>
      </c>
      <c r="M42" s="20" t="s">
        <v>129</v>
      </c>
      <c r="N42" s="6"/>
      <c r="O42" s="6"/>
      <c r="P42" s="9"/>
      <c r="Q42" s="6"/>
      <c r="R42" s="8"/>
      <c r="S42" s="7">
        <v>3529.98</v>
      </c>
      <c r="T42" s="6"/>
      <c r="U42" s="38">
        <v>1</v>
      </c>
      <c r="V42" s="9"/>
      <c r="W42" s="6"/>
      <c r="X42" s="6"/>
    </row>
    <row r="43" spans="1:24" x14ac:dyDescent="0.25">
      <c r="A43" s="32">
        <v>38</v>
      </c>
      <c r="B43" s="32" t="s">
        <v>178</v>
      </c>
      <c r="C43" s="5"/>
      <c r="D43" s="5"/>
      <c r="E43" s="9"/>
      <c r="F43" s="9"/>
      <c r="G43" s="6"/>
      <c r="H43" s="6"/>
      <c r="I43" s="6"/>
      <c r="J43" s="6"/>
      <c r="K43" s="6"/>
      <c r="L43" s="34">
        <v>45255.333333333336</v>
      </c>
      <c r="M43" s="20" t="s">
        <v>113</v>
      </c>
      <c r="N43" s="6"/>
      <c r="O43" s="6"/>
      <c r="P43" s="9"/>
      <c r="Q43" s="6"/>
      <c r="R43" s="8"/>
      <c r="S43" s="7">
        <v>2542.15</v>
      </c>
      <c r="T43" s="6"/>
      <c r="U43" s="38">
        <v>1</v>
      </c>
      <c r="V43" s="9"/>
      <c r="W43" s="6"/>
      <c r="X43" s="6"/>
    </row>
    <row r="44" spans="1:24" x14ac:dyDescent="0.25">
      <c r="A44" s="15">
        <v>39</v>
      </c>
      <c r="B44" s="14" t="s">
        <v>182</v>
      </c>
      <c r="C44" s="16"/>
      <c r="D44" s="16"/>
      <c r="E44" s="16"/>
      <c r="F44" s="16"/>
      <c r="G44" s="16"/>
      <c r="H44" s="18"/>
      <c r="I44" s="16"/>
      <c r="J44" s="16"/>
      <c r="K44" s="18"/>
      <c r="L44" s="36"/>
      <c r="M44" s="29"/>
      <c r="N44" s="18"/>
      <c r="O44" s="18"/>
      <c r="P44" s="18"/>
      <c r="Q44" s="18"/>
      <c r="R44" s="18"/>
      <c r="S44" s="17"/>
      <c r="T44" s="18"/>
      <c r="U44" s="18"/>
      <c r="V44" s="18"/>
      <c r="W44" s="18"/>
      <c r="X44" s="18"/>
    </row>
    <row r="45" spans="1:24" x14ac:dyDescent="0.25">
      <c r="A45" s="32">
        <v>40</v>
      </c>
      <c r="B45" s="32" t="s">
        <v>184</v>
      </c>
      <c r="C45" s="5"/>
      <c r="D45" s="5"/>
      <c r="E45" s="9"/>
      <c r="F45" s="9"/>
      <c r="G45" s="6"/>
      <c r="H45" s="6"/>
      <c r="I45" s="6"/>
      <c r="J45" s="6"/>
      <c r="K45" s="6"/>
      <c r="L45" s="34">
        <v>45261.333333333336</v>
      </c>
      <c r="M45" s="20" t="s">
        <v>113</v>
      </c>
      <c r="N45" s="6"/>
      <c r="O45" s="6"/>
      <c r="P45" s="9"/>
      <c r="Q45" s="6"/>
      <c r="R45" s="8"/>
      <c r="S45" s="7">
        <v>56.34</v>
      </c>
      <c r="T45" s="6"/>
      <c r="U45" s="38">
        <v>1</v>
      </c>
      <c r="V45" s="9"/>
      <c r="W45" s="6"/>
      <c r="X45" s="6"/>
    </row>
    <row r="46" spans="1:24" x14ac:dyDescent="0.25">
      <c r="A46" s="14">
        <v>41</v>
      </c>
      <c r="B46" s="14" t="s">
        <v>189</v>
      </c>
      <c r="C46" s="16"/>
      <c r="D46" s="16"/>
      <c r="E46" s="16"/>
      <c r="F46" s="16"/>
      <c r="G46" s="16"/>
      <c r="H46" s="18"/>
      <c r="I46" s="16"/>
      <c r="J46" s="16"/>
      <c r="K46" s="18"/>
      <c r="L46" s="36"/>
      <c r="M46" s="19"/>
      <c r="N46" s="16"/>
      <c r="O46" s="16"/>
      <c r="P46" s="16"/>
      <c r="Q46" s="16"/>
      <c r="R46" s="26"/>
      <c r="S46" s="17"/>
      <c r="T46" s="19"/>
      <c r="U46" s="19"/>
      <c r="V46" s="27"/>
      <c r="W46" s="18"/>
      <c r="X46" s="18"/>
    </row>
    <row r="47" spans="1:24" x14ac:dyDescent="0.25">
      <c r="A47" s="32">
        <v>42</v>
      </c>
      <c r="B47" s="32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34">
        <v>45263.333333333336</v>
      </c>
      <c r="M47" s="20" t="s">
        <v>19</v>
      </c>
      <c r="N47" s="6"/>
      <c r="O47" s="6"/>
      <c r="P47" s="9"/>
      <c r="Q47" s="6"/>
      <c r="R47" s="8"/>
      <c r="S47" s="7">
        <v>82.21</v>
      </c>
      <c r="T47" s="6"/>
      <c r="U47" s="38">
        <v>1</v>
      </c>
      <c r="V47" s="9"/>
      <c r="W47" s="6"/>
      <c r="X47" s="6"/>
    </row>
    <row r="48" spans="1:24" x14ac:dyDescent="0.25">
      <c r="A48" s="15">
        <v>43</v>
      </c>
      <c r="B48" s="14" t="s">
        <v>192</v>
      </c>
      <c r="C48" s="16"/>
      <c r="D48" s="16"/>
      <c r="E48" s="16"/>
      <c r="F48" s="16"/>
      <c r="G48" s="16"/>
      <c r="H48" s="18"/>
      <c r="I48" s="16"/>
      <c r="J48" s="16"/>
      <c r="K48" s="18"/>
      <c r="L48" s="36"/>
      <c r="M48" s="29"/>
      <c r="N48" s="18"/>
      <c r="O48" s="18"/>
      <c r="P48" s="18"/>
      <c r="Q48" s="18"/>
      <c r="R48" s="18"/>
      <c r="S48" s="17"/>
      <c r="T48" s="18"/>
      <c r="U48" s="18"/>
      <c r="V48" s="18"/>
      <c r="W48" s="18"/>
      <c r="X48" s="18"/>
    </row>
    <row r="49" spans="1:24" ht="22.5" x14ac:dyDescent="0.25">
      <c r="A49" s="32">
        <v>44</v>
      </c>
      <c r="B49" s="32" t="s">
        <v>194</v>
      </c>
      <c r="C49" s="5"/>
      <c r="D49" s="5"/>
      <c r="E49" s="9"/>
      <c r="F49" s="9"/>
      <c r="G49" s="6"/>
      <c r="H49" s="6"/>
      <c r="I49" s="6"/>
      <c r="J49" s="6"/>
      <c r="K49" s="6"/>
      <c r="L49" s="34">
        <v>45263.333333333336</v>
      </c>
      <c r="M49" s="20" t="s">
        <v>238</v>
      </c>
      <c r="N49" s="6"/>
      <c r="O49" s="6"/>
      <c r="P49" s="9"/>
      <c r="Q49" s="6"/>
      <c r="R49" s="8"/>
      <c r="S49" s="7">
        <v>1318.13</v>
      </c>
      <c r="T49" s="6"/>
      <c r="U49" s="38">
        <v>1</v>
      </c>
      <c r="V49" s="9"/>
      <c r="W49" s="6"/>
      <c r="X49" s="6"/>
    </row>
    <row r="50" spans="1:24" x14ac:dyDescent="0.25">
      <c r="A50" s="15">
        <v>45</v>
      </c>
      <c r="B50" s="14" t="s">
        <v>128</v>
      </c>
      <c r="C50" s="16"/>
      <c r="D50" s="16"/>
      <c r="E50" s="16"/>
      <c r="F50" s="16"/>
      <c r="G50" s="16"/>
      <c r="H50" s="18"/>
      <c r="I50" s="16"/>
      <c r="J50" s="16"/>
      <c r="K50" s="18"/>
      <c r="L50" s="36"/>
      <c r="M50" s="29"/>
      <c r="N50" s="18"/>
      <c r="O50" s="18"/>
      <c r="P50" s="18"/>
      <c r="Q50" s="18"/>
      <c r="R50" s="18"/>
      <c r="S50" s="17"/>
      <c r="T50" s="18"/>
      <c r="U50" s="18"/>
      <c r="V50" s="18"/>
      <c r="W50" s="18"/>
      <c r="X50" s="18"/>
    </row>
    <row r="51" spans="1:24" ht="22.5" x14ac:dyDescent="0.25">
      <c r="A51" s="32">
        <v>46</v>
      </c>
      <c r="B51" s="32" t="s">
        <v>240</v>
      </c>
      <c r="C51" s="5"/>
      <c r="D51" s="5"/>
      <c r="E51" s="9"/>
      <c r="F51" s="9"/>
      <c r="G51" s="6"/>
      <c r="H51" s="6"/>
      <c r="I51" s="6"/>
      <c r="J51" s="6"/>
      <c r="K51" s="6"/>
      <c r="L51" s="34">
        <v>45266.333333333336</v>
      </c>
      <c r="M51" s="20" t="s">
        <v>113</v>
      </c>
      <c r="N51" s="6"/>
      <c r="O51" s="6"/>
      <c r="P51" s="9"/>
      <c r="Q51" s="6"/>
      <c r="R51" s="8"/>
      <c r="S51" s="7">
        <v>829.6</v>
      </c>
      <c r="T51" s="6"/>
      <c r="U51" s="38">
        <v>1</v>
      </c>
      <c r="V51" s="9"/>
      <c r="W51" s="6"/>
      <c r="X51" s="6"/>
    </row>
    <row r="52" spans="1:24" ht="22.5" x14ac:dyDescent="0.25">
      <c r="A52" s="14">
        <v>47</v>
      </c>
      <c r="B52" s="14" t="s">
        <v>303</v>
      </c>
      <c r="C52" s="16"/>
      <c r="D52" s="16"/>
      <c r="E52" s="16"/>
      <c r="F52" s="16"/>
      <c r="G52" s="16"/>
      <c r="H52" s="18"/>
      <c r="I52" s="16"/>
      <c r="J52" s="16"/>
      <c r="K52" s="18"/>
      <c r="L52" s="36"/>
      <c r="M52" s="2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x14ac:dyDescent="0.25">
      <c r="A53" s="15">
        <v>48</v>
      </c>
      <c r="B53" s="14" t="s">
        <v>116</v>
      </c>
      <c r="C53" s="16"/>
      <c r="D53" s="16"/>
      <c r="E53" s="16"/>
      <c r="F53" s="16"/>
      <c r="G53" s="16"/>
      <c r="H53" s="18"/>
      <c r="I53" s="16"/>
      <c r="J53" s="16"/>
      <c r="K53" s="18"/>
      <c r="L53" s="36"/>
      <c r="M53" s="19"/>
      <c r="N53" s="16"/>
      <c r="O53" s="16"/>
      <c r="P53" s="16"/>
      <c r="Q53" s="16"/>
      <c r="R53" s="26"/>
      <c r="S53" s="17"/>
      <c r="T53" s="19"/>
      <c r="U53" s="19"/>
      <c r="V53" s="27"/>
      <c r="W53" s="18"/>
      <c r="X53" s="18"/>
    </row>
    <row r="54" spans="1:24" ht="22.5" x14ac:dyDescent="0.25">
      <c r="A54" s="32">
        <v>49</v>
      </c>
      <c r="B54" s="32" t="s">
        <v>244</v>
      </c>
      <c r="C54" s="5"/>
      <c r="D54" s="5"/>
      <c r="E54" s="9"/>
      <c r="F54" s="9"/>
      <c r="G54" s="6"/>
      <c r="H54" s="6"/>
      <c r="I54" s="6"/>
      <c r="J54" s="6"/>
      <c r="K54" s="6"/>
      <c r="L54" s="34">
        <v>45249.333333333336</v>
      </c>
      <c r="M54" s="20" t="s">
        <v>247</v>
      </c>
      <c r="N54" s="6"/>
      <c r="O54" s="6"/>
      <c r="P54" s="9"/>
      <c r="Q54" s="6"/>
      <c r="R54" s="8"/>
      <c r="S54" s="7">
        <v>1061.05</v>
      </c>
      <c r="T54" s="6"/>
      <c r="U54" s="38">
        <v>1</v>
      </c>
      <c r="V54" s="9"/>
      <c r="W54" s="6"/>
      <c r="X54" s="6"/>
    </row>
    <row r="55" spans="1:24" ht="22.5" x14ac:dyDescent="0.25">
      <c r="A55" s="32">
        <v>50</v>
      </c>
      <c r="B55" s="32" t="s">
        <v>206</v>
      </c>
      <c r="C55" s="5"/>
      <c r="D55" s="5"/>
      <c r="E55" s="9"/>
      <c r="F55" s="9"/>
      <c r="G55" s="6"/>
      <c r="H55" s="6"/>
      <c r="I55" s="6"/>
      <c r="J55" s="6"/>
      <c r="K55" s="6"/>
      <c r="L55" s="34">
        <v>45254.333333333336</v>
      </c>
      <c r="M55" s="20" t="s">
        <v>58</v>
      </c>
      <c r="N55" s="6"/>
      <c r="O55" s="6"/>
      <c r="P55" s="9"/>
      <c r="Q55" s="6"/>
      <c r="R55" s="8"/>
      <c r="S55" s="7">
        <v>3730.94</v>
      </c>
      <c r="T55" s="6"/>
      <c r="U55" s="38">
        <v>1</v>
      </c>
      <c r="V55" s="9"/>
      <c r="W55" s="6"/>
      <c r="X55" s="6"/>
    </row>
    <row r="56" spans="1:24" x14ac:dyDescent="0.25">
      <c r="A56" s="14">
        <v>51</v>
      </c>
      <c r="B56" s="14" t="s">
        <v>117</v>
      </c>
      <c r="C56" s="16"/>
      <c r="D56" s="16"/>
      <c r="E56" s="16"/>
      <c r="F56" s="16"/>
      <c r="G56" s="16"/>
      <c r="H56" s="18"/>
      <c r="I56" s="16"/>
      <c r="J56" s="16"/>
      <c r="K56" s="18"/>
      <c r="L56" s="36"/>
      <c r="M56" s="19"/>
      <c r="N56" s="18"/>
      <c r="O56" s="18"/>
      <c r="P56" s="18"/>
      <c r="Q56" s="18"/>
      <c r="R56" s="18"/>
      <c r="S56" s="17"/>
      <c r="T56" s="18"/>
      <c r="U56" s="18"/>
      <c r="V56" s="18"/>
      <c r="W56" s="18"/>
      <c r="X56" s="18"/>
    </row>
    <row r="57" spans="1:24" ht="22.5" x14ac:dyDescent="0.25">
      <c r="A57" s="32">
        <v>52</v>
      </c>
      <c r="B57" s="32" t="s">
        <v>250</v>
      </c>
      <c r="C57" s="5"/>
      <c r="D57" s="5"/>
      <c r="E57" s="9"/>
      <c r="F57" s="9"/>
      <c r="G57" s="6"/>
      <c r="H57" s="6"/>
      <c r="I57" s="6"/>
      <c r="J57" s="6"/>
      <c r="K57" s="6"/>
      <c r="L57" s="34">
        <v>45259.333333333336</v>
      </c>
      <c r="M57" s="20" t="s">
        <v>253</v>
      </c>
      <c r="N57" s="6"/>
      <c r="O57" s="6"/>
      <c r="P57" s="9"/>
      <c r="Q57" s="6"/>
      <c r="R57" s="8"/>
      <c r="S57" s="7">
        <v>26693.49</v>
      </c>
      <c r="T57" s="6"/>
      <c r="U57" s="38">
        <v>1</v>
      </c>
      <c r="V57" s="9"/>
      <c r="W57" s="6"/>
      <c r="X57" s="6"/>
    </row>
    <row r="58" spans="1:24" ht="22.5" x14ac:dyDescent="0.25">
      <c r="A58" s="32">
        <v>53</v>
      </c>
      <c r="B58" s="32" t="s">
        <v>254</v>
      </c>
      <c r="C58" s="5"/>
      <c r="D58" s="5"/>
      <c r="E58" s="9"/>
      <c r="F58" s="9"/>
      <c r="G58" s="6"/>
      <c r="H58" s="6"/>
      <c r="I58" s="6"/>
      <c r="J58" s="6"/>
      <c r="K58" s="6"/>
      <c r="L58" s="34">
        <v>45268.333333333336</v>
      </c>
      <c r="M58" s="20" t="s">
        <v>258</v>
      </c>
      <c r="N58" s="6"/>
      <c r="O58" s="6"/>
      <c r="P58" s="9"/>
      <c r="Q58" s="6"/>
      <c r="R58" s="8"/>
      <c r="S58" s="7">
        <v>1484.31</v>
      </c>
      <c r="T58" s="6"/>
      <c r="U58" s="38">
        <v>1</v>
      </c>
      <c r="V58" s="9"/>
      <c r="W58" s="6"/>
      <c r="X58" s="6"/>
    </row>
    <row r="59" spans="1:24" ht="22.5" x14ac:dyDescent="0.25">
      <c r="A59" s="32">
        <v>54</v>
      </c>
      <c r="B59" s="32" t="s">
        <v>120</v>
      </c>
      <c r="C59" s="5"/>
      <c r="D59" s="5"/>
      <c r="E59" s="9"/>
      <c r="F59" s="9"/>
      <c r="G59" s="6"/>
      <c r="H59" s="6"/>
      <c r="I59" s="6"/>
      <c r="J59" s="6"/>
      <c r="K59" s="6"/>
      <c r="L59" s="34">
        <v>45268.333333333336</v>
      </c>
      <c r="M59" s="20" t="s">
        <v>258</v>
      </c>
      <c r="N59" s="6"/>
      <c r="O59" s="6"/>
      <c r="P59" s="9"/>
      <c r="Q59" s="6"/>
      <c r="R59" s="8"/>
      <c r="S59" s="7">
        <v>5839.13</v>
      </c>
      <c r="T59" s="6"/>
      <c r="U59" s="38">
        <v>1</v>
      </c>
      <c r="V59" s="9"/>
      <c r="W59" s="6"/>
      <c r="X59" s="6"/>
    </row>
    <row r="60" spans="1:24" x14ac:dyDescent="0.25">
      <c r="A60" s="15">
        <v>55</v>
      </c>
      <c r="B60" s="14" t="s">
        <v>261</v>
      </c>
      <c r="C60" s="16"/>
      <c r="D60" s="16"/>
      <c r="E60" s="16"/>
      <c r="F60" s="16"/>
      <c r="G60" s="16"/>
      <c r="H60" s="18"/>
      <c r="I60" s="16"/>
      <c r="J60" s="16"/>
      <c r="K60" s="18"/>
      <c r="L60" s="36"/>
      <c r="M60" s="19"/>
      <c r="N60" s="16"/>
      <c r="O60" s="16"/>
      <c r="P60" s="16"/>
      <c r="Q60" s="16"/>
      <c r="R60" s="26"/>
      <c r="S60" s="17"/>
      <c r="T60" s="19"/>
      <c r="U60" s="19"/>
      <c r="V60" s="27"/>
      <c r="W60" s="18"/>
      <c r="X60" s="18"/>
    </row>
    <row r="61" spans="1:24" ht="22.5" x14ac:dyDescent="0.25">
      <c r="A61" s="32">
        <v>56</v>
      </c>
      <c r="B61" s="32" t="s">
        <v>162</v>
      </c>
      <c r="C61" s="5"/>
      <c r="D61" s="5"/>
      <c r="E61" s="9"/>
      <c r="F61" s="9"/>
      <c r="G61" s="6"/>
      <c r="H61" s="6"/>
      <c r="I61" s="6"/>
      <c r="J61" s="6"/>
      <c r="K61" s="6"/>
      <c r="L61" s="34">
        <v>45272.333333333336</v>
      </c>
      <c r="M61" s="20" t="s">
        <v>265</v>
      </c>
      <c r="N61" s="6"/>
      <c r="O61" s="6"/>
      <c r="P61" s="9"/>
      <c r="Q61" s="6"/>
      <c r="R61" s="8"/>
      <c r="S61" s="7">
        <v>32534.46</v>
      </c>
      <c r="T61" s="6"/>
      <c r="U61" s="38">
        <v>1</v>
      </c>
      <c r="V61" s="9"/>
      <c r="W61" s="6"/>
      <c r="X61" s="6"/>
    </row>
    <row r="62" spans="1:24" ht="22.5" x14ac:dyDescent="0.25">
      <c r="A62" s="32">
        <v>57</v>
      </c>
      <c r="B62" s="32" t="s">
        <v>170</v>
      </c>
      <c r="C62" s="5"/>
      <c r="D62" s="5"/>
      <c r="E62" s="9"/>
      <c r="F62" s="9"/>
      <c r="G62" s="6"/>
      <c r="H62" s="6"/>
      <c r="I62" s="6"/>
      <c r="J62" s="6"/>
      <c r="K62" s="6"/>
      <c r="L62" s="34">
        <v>45271.333333333336</v>
      </c>
      <c r="M62" s="20" t="s">
        <v>265</v>
      </c>
      <c r="N62" s="6"/>
      <c r="O62" s="6"/>
      <c r="P62" s="9"/>
      <c r="Q62" s="6"/>
      <c r="R62" s="8"/>
      <c r="S62" s="7">
        <v>39098.870000000003</v>
      </c>
      <c r="T62" s="6"/>
      <c r="U62" s="38">
        <v>1</v>
      </c>
      <c r="V62" s="9"/>
      <c r="W62" s="6"/>
      <c r="X62" s="6"/>
    </row>
    <row r="63" spans="1:24" x14ac:dyDescent="0.25">
      <c r="A63" s="15">
        <v>58</v>
      </c>
      <c r="B63" s="14" t="s">
        <v>192</v>
      </c>
      <c r="C63" s="16"/>
      <c r="D63" s="16"/>
      <c r="E63" s="16"/>
      <c r="F63" s="16"/>
      <c r="G63" s="16"/>
      <c r="H63" s="18"/>
      <c r="I63" s="16"/>
      <c r="J63" s="16"/>
      <c r="K63" s="18"/>
      <c r="L63" s="36"/>
      <c r="M63" s="19"/>
      <c r="N63" s="18"/>
      <c r="O63" s="18"/>
      <c r="P63" s="18"/>
      <c r="Q63" s="18"/>
      <c r="R63" s="18"/>
      <c r="S63" s="17"/>
      <c r="T63" s="18"/>
      <c r="U63" s="18"/>
      <c r="V63" s="18"/>
      <c r="W63" s="18"/>
      <c r="X63" s="18"/>
    </row>
    <row r="64" spans="1:24" ht="22.5" x14ac:dyDescent="0.25">
      <c r="A64" s="32">
        <v>59</v>
      </c>
      <c r="B64" s="32" t="s">
        <v>194</v>
      </c>
      <c r="C64" s="5"/>
      <c r="D64" s="5"/>
      <c r="E64" s="9"/>
      <c r="F64" s="9"/>
      <c r="G64" s="6"/>
      <c r="H64" s="6"/>
      <c r="I64" s="6"/>
      <c r="J64" s="6"/>
      <c r="K64" s="6"/>
      <c r="L64" s="34">
        <v>45273.333333333336</v>
      </c>
      <c r="M64" s="20" t="s">
        <v>265</v>
      </c>
      <c r="N64" s="6"/>
      <c r="O64" s="6"/>
      <c r="P64" s="9"/>
      <c r="Q64" s="6"/>
      <c r="R64" s="8"/>
      <c r="S64" s="7">
        <v>16556.22</v>
      </c>
      <c r="T64" s="6"/>
      <c r="U64" s="38">
        <v>1</v>
      </c>
      <c r="V64" s="9"/>
      <c r="W64" s="6"/>
      <c r="X64" s="6"/>
    </row>
    <row r="65" spans="1:24" x14ac:dyDescent="0.25">
      <c r="A65" s="15">
        <v>60</v>
      </c>
      <c r="B65" s="14" t="s">
        <v>182</v>
      </c>
      <c r="C65" s="16"/>
      <c r="D65" s="16"/>
      <c r="E65" s="16"/>
      <c r="F65" s="16"/>
      <c r="G65" s="16"/>
      <c r="H65" s="18"/>
      <c r="I65" s="16"/>
      <c r="J65" s="16"/>
      <c r="K65" s="18"/>
      <c r="L65" s="36"/>
      <c r="M65" s="19"/>
      <c r="N65" s="18"/>
      <c r="O65" s="18"/>
      <c r="P65" s="18"/>
      <c r="Q65" s="18"/>
      <c r="R65" s="18"/>
      <c r="S65" s="17"/>
      <c r="T65" s="18"/>
      <c r="U65" s="18"/>
      <c r="V65" s="18"/>
      <c r="W65" s="18"/>
      <c r="X65" s="18"/>
    </row>
    <row r="66" spans="1:24" x14ac:dyDescent="0.25">
      <c r="A66" s="32">
        <v>61</v>
      </c>
      <c r="B66" s="32" t="s">
        <v>273</v>
      </c>
      <c r="C66" s="5"/>
      <c r="D66" s="5"/>
      <c r="E66" s="9"/>
      <c r="F66" s="9"/>
      <c r="G66" s="6"/>
      <c r="H66" s="6"/>
      <c r="I66" s="6"/>
      <c r="J66" s="6"/>
      <c r="K66" s="6"/>
      <c r="L66" s="34">
        <v>45287.333333333336</v>
      </c>
      <c r="M66" s="20" t="s">
        <v>58</v>
      </c>
      <c r="N66" s="6"/>
      <c r="O66" s="6"/>
      <c r="P66" s="9"/>
      <c r="Q66" s="6"/>
      <c r="R66" s="8"/>
      <c r="S66" s="7">
        <v>3655.67</v>
      </c>
      <c r="T66" s="6"/>
      <c r="U66" s="38">
        <v>1</v>
      </c>
      <c r="V66" s="9"/>
      <c r="W66" s="6"/>
      <c r="X66" s="6"/>
    </row>
    <row r="67" spans="1:24" x14ac:dyDescent="0.25">
      <c r="A67" s="14">
        <v>62</v>
      </c>
      <c r="B67" s="14" t="s">
        <v>187</v>
      </c>
      <c r="C67" s="16"/>
      <c r="D67" s="16"/>
      <c r="E67" s="16"/>
      <c r="F67" s="16"/>
      <c r="G67" s="16"/>
      <c r="H67" s="18"/>
      <c r="I67" s="16"/>
      <c r="J67" s="16"/>
      <c r="K67" s="18"/>
      <c r="L67" s="36"/>
      <c r="M67" s="19"/>
      <c r="N67" s="16"/>
      <c r="O67" s="16"/>
      <c r="P67" s="16"/>
      <c r="Q67" s="16"/>
      <c r="R67" s="26"/>
      <c r="S67" s="17"/>
      <c r="T67" s="19"/>
      <c r="U67" s="19"/>
      <c r="V67" s="27"/>
      <c r="W67" s="18"/>
      <c r="X67" s="18"/>
    </row>
    <row r="68" spans="1:24" x14ac:dyDescent="0.25">
      <c r="A68" s="32">
        <v>63</v>
      </c>
      <c r="B68" s="32" t="s">
        <v>187</v>
      </c>
      <c r="C68" s="5"/>
      <c r="D68" s="5"/>
      <c r="E68" s="9"/>
      <c r="F68" s="9"/>
      <c r="G68" s="6"/>
      <c r="H68" s="6"/>
      <c r="I68" s="6"/>
      <c r="J68" s="6"/>
      <c r="K68" s="6"/>
      <c r="L68" s="34">
        <v>45272.333333333336</v>
      </c>
      <c r="M68" s="20" t="s">
        <v>265</v>
      </c>
      <c r="N68" s="6"/>
      <c r="O68" s="6"/>
      <c r="P68" s="9"/>
      <c r="Q68" s="6"/>
      <c r="R68" s="8"/>
      <c r="S68" s="7">
        <v>666.9</v>
      </c>
      <c r="T68" s="6"/>
      <c r="U68" s="38">
        <v>1</v>
      </c>
      <c r="V68" s="9"/>
      <c r="W68" s="6"/>
      <c r="X68" s="6"/>
    </row>
    <row r="69" spans="1:24" x14ac:dyDescent="0.25">
      <c r="A69" s="15">
        <v>64</v>
      </c>
      <c r="B69" s="14" t="s">
        <v>103</v>
      </c>
      <c r="C69" s="16"/>
      <c r="D69" s="16"/>
      <c r="E69" s="16"/>
      <c r="F69" s="16"/>
      <c r="G69" s="16"/>
      <c r="H69" s="18"/>
      <c r="I69" s="16"/>
      <c r="J69" s="16"/>
      <c r="K69" s="18"/>
      <c r="L69" s="36"/>
      <c r="M69" s="19"/>
      <c r="N69" s="18"/>
      <c r="O69" s="18"/>
      <c r="P69" s="18"/>
      <c r="Q69" s="18"/>
      <c r="R69" s="18"/>
      <c r="S69" s="17"/>
      <c r="T69" s="18"/>
      <c r="U69" s="18"/>
      <c r="V69" s="18"/>
      <c r="W69" s="18"/>
      <c r="X69" s="18"/>
    </row>
    <row r="70" spans="1:24" ht="22.5" x14ac:dyDescent="0.25">
      <c r="A70" s="32">
        <v>65</v>
      </c>
      <c r="B70" s="32" t="s">
        <v>280</v>
      </c>
      <c r="C70" s="5"/>
      <c r="D70" s="5"/>
      <c r="E70" s="9"/>
      <c r="F70" s="9"/>
      <c r="G70" s="6"/>
      <c r="H70" s="6"/>
      <c r="I70" s="6"/>
      <c r="J70" s="6"/>
      <c r="K70" s="6"/>
      <c r="L70" s="34">
        <v>45236.333333333336</v>
      </c>
      <c r="M70" s="20" t="s">
        <v>58</v>
      </c>
      <c r="N70" s="6"/>
      <c r="O70" s="6"/>
      <c r="P70" s="9"/>
      <c r="Q70" s="6"/>
      <c r="R70" s="8"/>
      <c r="S70" s="7">
        <v>10019.35</v>
      </c>
      <c r="T70" s="6"/>
      <c r="U70" s="38">
        <v>1</v>
      </c>
      <c r="V70" s="9"/>
      <c r="W70" s="6"/>
      <c r="X70" s="6"/>
    </row>
    <row r="71" spans="1:24" ht="22.5" x14ac:dyDescent="0.25">
      <c r="A71" s="32">
        <v>66</v>
      </c>
      <c r="B71" s="32" t="s">
        <v>107</v>
      </c>
      <c r="C71" s="5"/>
      <c r="D71" s="5"/>
      <c r="E71" s="9"/>
      <c r="F71" s="9"/>
      <c r="G71" s="6"/>
      <c r="H71" s="6"/>
      <c r="I71" s="6"/>
      <c r="J71" s="6"/>
      <c r="K71" s="6"/>
      <c r="L71" s="34">
        <v>45236.333333333336</v>
      </c>
      <c r="M71" s="20" t="s">
        <v>58</v>
      </c>
      <c r="N71" s="6"/>
      <c r="O71" s="6"/>
      <c r="P71" s="9"/>
      <c r="Q71" s="6"/>
      <c r="R71" s="8"/>
      <c r="S71" s="7">
        <v>8000</v>
      </c>
      <c r="T71" s="6"/>
      <c r="U71" s="38">
        <v>1</v>
      </c>
      <c r="V71" s="9"/>
      <c r="W71" s="6"/>
      <c r="X71" s="6"/>
    </row>
    <row r="72" spans="1:24" x14ac:dyDescent="0.25">
      <c r="A72" s="15">
        <v>67</v>
      </c>
      <c r="B72" s="14" t="s">
        <v>110</v>
      </c>
      <c r="C72" s="16"/>
      <c r="D72" s="16"/>
      <c r="E72" s="16"/>
      <c r="F72" s="16"/>
      <c r="G72" s="16"/>
      <c r="H72" s="18"/>
      <c r="I72" s="16"/>
      <c r="J72" s="16"/>
      <c r="K72" s="18"/>
      <c r="L72" s="36"/>
      <c r="M72" s="19"/>
      <c r="N72" s="18"/>
      <c r="O72" s="18"/>
      <c r="P72" s="18"/>
      <c r="Q72" s="18"/>
      <c r="R72" s="18"/>
      <c r="S72" s="17"/>
      <c r="T72" s="18"/>
      <c r="U72" s="18"/>
      <c r="V72" s="18"/>
      <c r="W72" s="18"/>
      <c r="X72" s="18"/>
    </row>
    <row r="73" spans="1:24" ht="22.5" x14ac:dyDescent="0.25">
      <c r="A73" s="32">
        <v>68</v>
      </c>
      <c r="B73" s="32" t="s">
        <v>287</v>
      </c>
      <c r="C73" s="5"/>
      <c r="D73" s="5"/>
      <c r="E73" s="9"/>
      <c r="F73" s="9"/>
      <c r="G73" s="6"/>
      <c r="H73" s="6"/>
      <c r="I73" s="6"/>
      <c r="J73" s="6"/>
      <c r="K73" s="6"/>
      <c r="L73" s="34">
        <v>45241.333333333336</v>
      </c>
      <c r="M73" s="20" t="s">
        <v>58</v>
      </c>
      <c r="N73" s="6"/>
      <c r="O73" s="6"/>
      <c r="P73" s="9"/>
      <c r="Q73" s="6"/>
      <c r="R73" s="8"/>
      <c r="S73" s="7">
        <v>22000</v>
      </c>
      <c r="T73" s="6"/>
      <c r="U73" s="38">
        <v>1</v>
      </c>
      <c r="V73" s="9"/>
      <c r="W73" s="6"/>
      <c r="X73" s="6"/>
    </row>
    <row r="74" spans="1:24" ht="22.5" x14ac:dyDescent="0.25">
      <c r="A74" s="32">
        <v>69</v>
      </c>
      <c r="B74" s="32" t="s">
        <v>289</v>
      </c>
      <c r="C74" s="5"/>
      <c r="D74" s="5"/>
      <c r="E74" s="9"/>
      <c r="F74" s="9"/>
      <c r="G74" s="6"/>
      <c r="H74" s="6"/>
      <c r="I74" s="6"/>
      <c r="J74" s="6"/>
      <c r="K74" s="6"/>
      <c r="L74" s="34">
        <v>45247.333333333336</v>
      </c>
      <c r="M74" s="20" t="s">
        <v>58</v>
      </c>
      <c r="N74" s="6"/>
      <c r="O74" s="6"/>
      <c r="P74" s="9"/>
      <c r="Q74" s="6"/>
      <c r="R74" s="8"/>
      <c r="S74" s="7">
        <v>38000</v>
      </c>
      <c r="T74" s="6"/>
      <c r="U74" s="38">
        <v>1</v>
      </c>
      <c r="V74" s="9"/>
      <c r="W74" s="6"/>
      <c r="X74" s="6"/>
    </row>
    <row r="75" spans="1:24" ht="22.5" x14ac:dyDescent="0.25">
      <c r="A75" s="15">
        <v>70</v>
      </c>
      <c r="B75" s="14" t="s">
        <v>291</v>
      </c>
      <c r="C75" s="16"/>
      <c r="D75" s="16"/>
      <c r="E75" s="16"/>
      <c r="F75" s="16"/>
      <c r="G75" s="16"/>
      <c r="H75" s="18"/>
      <c r="I75" s="16"/>
      <c r="J75" s="16"/>
      <c r="K75" s="16"/>
      <c r="L75" s="36"/>
      <c r="M75" s="19"/>
      <c r="N75" s="16"/>
      <c r="O75" s="16"/>
      <c r="P75" s="16"/>
      <c r="Q75" s="16"/>
      <c r="R75" s="16"/>
      <c r="S75" s="17"/>
      <c r="T75" s="16"/>
      <c r="U75" s="16"/>
      <c r="V75" s="16"/>
      <c r="W75" s="16"/>
      <c r="X75" s="16"/>
    </row>
    <row r="76" spans="1:24" x14ac:dyDescent="0.25">
      <c r="A76" s="32">
        <v>71</v>
      </c>
      <c r="B76" s="32" t="s">
        <v>293</v>
      </c>
      <c r="C76" s="5"/>
      <c r="D76" s="5"/>
      <c r="E76" s="9"/>
      <c r="F76" s="9"/>
      <c r="G76" s="6"/>
      <c r="H76" s="6"/>
      <c r="I76" s="6"/>
      <c r="J76" s="6"/>
      <c r="K76" s="6"/>
      <c r="L76" s="34">
        <v>45285.333333333336</v>
      </c>
      <c r="M76" s="20" t="s">
        <v>58</v>
      </c>
      <c r="N76" s="6"/>
      <c r="O76" s="6"/>
      <c r="P76" s="9"/>
      <c r="Q76" s="6"/>
      <c r="R76" s="8"/>
      <c r="S76" s="7">
        <v>4081.2</v>
      </c>
      <c r="T76" s="6"/>
      <c r="U76" s="38">
        <v>1</v>
      </c>
      <c r="V76" s="9"/>
      <c r="W76" s="6"/>
      <c r="X76" s="6"/>
    </row>
    <row r="77" spans="1:24" x14ac:dyDescent="0.25">
      <c r="A77" s="32">
        <v>72</v>
      </c>
      <c r="B77" s="32" t="s">
        <v>295</v>
      </c>
      <c r="C77" s="5"/>
      <c r="D77" s="5"/>
      <c r="E77" s="9"/>
      <c r="F77" s="9"/>
      <c r="G77" s="6"/>
      <c r="H77" s="6"/>
      <c r="I77" s="6"/>
      <c r="J77" s="6"/>
      <c r="K77" s="6"/>
      <c r="L77" s="34">
        <v>45282.333333333336</v>
      </c>
      <c r="M77" s="20" t="s">
        <v>127</v>
      </c>
      <c r="N77" s="6"/>
      <c r="O77" s="6"/>
      <c r="P77" s="9"/>
      <c r="Q77" s="6"/>
      <c r="R77" s="8"/>
      <c r="S77" s="7">
        <v>2312.96</v>
      </c>
      <c r="T77" s="6"/>
      <c r="U77" s="38">
        <v>1</v>
      </c>
      <c r="V77" s="9"/>
      <c r="W77" s="6"/>
      <c r="X77" s="6"/>
    </row>
    <row r="80" spans="1:24" x14ac:dyDescent="0.25">
      <c r="S80" s="41"/>
    </row>
    <row r="82" spans="19:19" x14ac:dyDescent="0.25">
      <c r="S82" s="41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H24" sqref="H24"/>
    </sheetView>
  </sheetViews>
  <sheetFormatPr defaultRowHeight="15" x14ac:dyDescent="0.25"/>
  <cols>
    <col min="1" max="1" width="12.7109375" customWidth="1"/>
    <col min="4" max="4" width="8.7109375" customWidth="1"/>
    <col min="7" max="7" width="12.7109375" customWidth="1"/>
  </cols>
  <sheetData>
    <row r="1" spans="1:7" ht="23.25" x14ac:dyDescent="0.25">
      <c r="A1" s="44" t="s">
        <v>59</v>
      </c>
      <c r="B1" s="44"/>
      <c r="D1" s="44" t="s">
        <v>60</v>
      </c>
      <c r="E1" s="44"/>
      <c r="G1" s="1" t="s">
        <v>61</v>
      </c>
    </row>
    <row r="2" spans="1:7" x14ac:dyDescent="0.25">
      <c r="A2" s="9" t="s">
        <v>62</v>
      </c>
      <c r="B2" s="10" t="s">
        <v>63</v>
      </c>
      <c r="D2" s="9" t="s">
        <v>89</v>
      </c>
      <c r="E2" s="11" t="s">
        <v>72</v>
      </c>
      <c r="G2" s="12"/>
    </row>
    <row r="3" spans="1:7" x14ac:dyDescent="0.25">
      <c r="A3" s="9" t="s">
        <v>64</v>
      </c>
      <c r="B3" s="10" t="s">
        <v>63</v>
      </c>
      <c r="D3" s="9" t="s">
        <v>90</v>
      </c>
      <c r="E3" s="11" t="s">
        <v>72</v>
      </c>
    </row>
    <row r="4" spans="1:7" ht="23.25" x14ac:dyDescent="0.25">
      <c r="A4" s="9" t="s">
        <v>65</v>
      </c>
      <c r="B4" s="10" t="s">
        <v>63</v>
      </c>
      <c r="D4" s="9" t="s">
        <v>91</v>
      </c>
      <c r="E4" s="11" t="s">
        <v>72</v>
      </c>
    </row>
    <row r="5" spans="1:7" x14ac:dyDescent="0.25">
      <c r="A5" s="9" t="s">
        <v>66</v>
      </c>
      <c r="B5" s="10" t="s">
        <v>63</v>
      </c>
      <c r="D5" s="9" t="s">
        <v>92</v>
      </c>
      <c r="E5" s="11" t="s">
        <v>72</v>
      </c>
    </row>
    <row r="6" spans="1:7" x14ac:dyDescent="0.25">
      <c r="A6" s="9" t="s">
        <v>67</v>
      </c>
      <c r="B6" s="10" t="s">
        <v>63</v>
      </c>
      <c r="D6" s="9" t="s">
        <v>93</v>
      </c>
      <c r="E6" s="11" t="s">
        <v>72</v>
      </c>
    </row>
    <row r="7" spans="1:7" x14ac:dyDescent="0.25">
      <c r="A7" s="9" t="s">
        <v>68</v>
      </c>
      <c r="B7" s="10" t="s">
        <v>63</v>
      </c>
      <c r="D7" s="9" t="s">
        <v>94</v>
      </c>
      <c r="E7" s="11" t="s">
        <v>72</v>
      </c>
    </row>
    <row r="8" spans="1:7" x14ac:dyDescent="0.25">
      <c r="A8" s="9" t="s">
        <v>69</v>
      </c>
      <c r="B8" s="10" t="s">
        <v>63</v>
      </c>
      <c r="D8" s="9" t="s">
        <v>95</v>
      </c>
      <c r="E8" s="11" t="s">
        <v>72</v>
      </c>
    </row>
    <row r="9" spans="1:7" x14ac:dyDescent="0.25">
      <c r="A9" s="9" t="s">
        <v>70</v>
      </c>
      <c r="B9" s="10" t="s">
        <v>63</v>
      </c>
    </row>
    <row r="10" spans="1:7" x14ac:dyDescent="0.25">
      <c r="A10" s="9" t="s">
        <v>71</v>
      </c>
      <c r="B10" s="11" t="s">
        <v>72</v>
      </c>
    </row>
    <row r="11" spans="1:7" x14ac:dyDescent="0.25">
      <c r="A11" s="9" t="s">
        <v>73</v>
      </c>
      <c r="B11" s="11" t="s">
        <v>72</v>
      </c>
    </row>
    <row r="12" spans="1:7" x14ac:dyDescent="0.25">
      <c r="A12" s="9" t="s">
        <v>74</v>
      </c>
      <c r="B12" s="11" t="s">
        <v>72</v>
      </c>
    </row>
    <row r="13" spans="1:7" x14ac:dyDescent="0.25">
      <c r="A13" s="9" t="s">
        <v>75</v>
      </c>
      <c r="B13" s="11" t="s">
        <v>72</v>
      </c>
    </row>
    <row r="14" spans="1:7" x14ac:dyDescent="0.25">
      <c r="A14" s="9" t="s">
        <v>76</v>
      </c>
      <c r="B14" s="10" t="s">
        <v>63</v>
      </c>
    </row>
    <row r="15" spans="1:7" x14ac:dyDescent="0.25">
      <c r="A15" s="9" t="s">
        <v>77</v>
      </c>
      <c r="B15" s="11" t="s">
        <v>72</v>
      </c>
    </row>
    <row r="16" spans="1:7" x14ac:dyDescent="0.25">
      <c r="A16" s="9" t="s">
        <v>78</v>
      </c>
      <c r="B16" s="11" t="s">
        <v>72</v>
      </c>
    </row>
    <row r="17" spans="1:2" x14ac:dyDescent="0.25">
      <c r="A17" s="9" t="s">
        <v>79</v>
      </c>
      <c r="B17" s="11" t="s">
        <v>72</v>
      </c>
    </row>
    <row r="18" spans="1:2" x14ac:dyDescent="0.25">
      <c r="A18" s="9" t="s">
        <v>80</v>
      </c>
      <c r="B18" s="11" t="s">
        <v>72</v>
      </c>
    </row>
    <row r="19" spans="1:2" x14ac:dyDescent="0.25">
      <c r="A19" s="9" t="s">
        <v>81</v>
      </c>
      <c r="B19" s="10" t="s">
        <v>63</v>
      </c>
    </row>
    <row r="20" spans="1:2" x14ac:dyDescent="0.25">
      <c r="A20" s="9" t="s">
        <v>82</v>
      </c>
      <c r="B20" s="10" t="s">
        <v>63</v>
      </c>
    </row>
    <row r="21" spans="1:2" x14ac:dyDescent="0.25">
      <c r="A21" s="9" t="s">
        <v>83</v>
      </c>
      <c r="B21" s="10" t="s">
        <v>63</v>
      </c>
    </row>
    <row r="22" spans="1:2" x14ac:dyDescent="0.25">
      <c r="A22" s="9" t="s">
        <v>84</v>
      </c>
      <c r="B22" s="10" t="s">
        <v>63</v>
      </c>
    </row>
    <row r="23" spans="1:2" x14ac:dyDescent="0.25">
      <c r="A23" s="9" t="s">
        <v>85</v>
      </c>
      <c r="B23" s="10" t="s">
        <v>63</v>
      </c>
    </row>
    <row r="24" spans="1:2" x14ac:dyDescent="0.25">
      <c r="A24" s="9" t="s">
        <v>86</v>
      </c>
      <c r="B24" s="10" t="s">
        <v>63</v>
      </c>
    </row>
    <row r="25" spans="1:2" x14ac:dyDescent="0.25">
      <c r="A25" s="9" t="s">
        <v>87</v>
      </c>
      <c r="B25" s="10" t="s">
        <v>63</v>
      </c>
    </row>
    <row r="28" spans="1:2" x14ac:dyDescent="0.25">
      <c r="A28" s="13" t="s">
        <v>88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2026-08-24T09:11:58Z</dcterms:modified>
</cp:coreProperties>
</file>