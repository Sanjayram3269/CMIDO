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line Schedule" sheetId="1" r:id="rId1"/>
    <sheet name="Resources" sheetId="2" r:id="rId2"/>
    <sheet name="Risk Analysis" sheetId="3" r:id="rId3"/>
    <sheet name="Agenda" sheetId="4" r:id="rId4"/>
    <sheet name="Tracking Overview" sheetId="5" r:id="rId5"/>
  </sheets>
  <calcPr calcId="124519" fullCalcOnLoad="1"/>
</workbook>
</file>

<file path=xl/sharedStrings.xml><?xml version="1.0" encoding="utf-8"?>
<sst xmlns="http://schemas.openxmlformats.org/spreadsheetml/2006/main" count="474" uniqueCount="274">
  <si>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</si>
  <si>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</si>
  <si>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</si>
  <si>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</si>
  <si>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</si>
  <si>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</si>
  <si>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</si>
  <si>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</si>
  <si>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</si>
  <si>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Successors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</si>
  <si>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</si>
  <si>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</si>
  <si>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</si>
  <si>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</si>
  <si>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</si>
  <si>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</si>
  <si>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</si>
  <si>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</si>
  <si>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Manufacturing Tool Cost Module</t>
  </si>
  <si>
    <t>1</t>
  </si>
  <si>
    <t>44d 6h</t>
  </si>
  <si>
    <t>1.1</t>
  </si>
  <si>
    <t>Kick-Off</t>
  </si>
  <si>
    <t>1.1.1</t>
  </si>
  <si>
    <t>6h</t>
  </si>
  <si>
    <t>Kick-Off meeting &amp;amp; brainstorming</t>
  </si>
  <si>
    <t>1.1.1.1</t>
  </si>
  <si>
    <t>FS4</t>
  </si>
  <si>
    <t>2h</t>
  </si>
  <si>
    <t>Dirk Pilu;Geert Engelrest</t>
  </si>
  <si>
    <t>Project team definition</t>
  </si>
  <si>
    <t>1.1.1.2</t>
  </si>
  <si>
    <t>3FS</t>
  </si>
  <si>
    <t>FS5</t>
  </si>
  <si>
    <t>Project Objectives</t>
  </si>
  <si>
    <t>1.1.1.3</t>
  </si>
  <si>
    <t>4FS</t>
  </si>
  <si>
    <t>FS6</t>
  </si>
  <si>
    <t>Signed Project Charter</t>
  </si>
  <si>
    <t>1.1.1.4</t>
  </si>
  <si>
    <t>5FS</t>
  </si>
  <si>
    <t>FS8</t>
  </si>
  <si>
    <t>0</t>
  </si>
  <si>
    <t>Project spec's</t>
  </si>
  <si>
    <t>1.1.2</t>
  </si>
  <si>
    <t>13d</t>
  </si>
  <si>
    <t>Define calculation model</t>
  </si>
  <si>
    <t>1.1.2.1</t>
  </si>
  <si>
    <t>6FS</t>
  </si>
  <si>
    <t>FS9</t>
  </si>
  <si>
    <t>4d 4h</t>
  </si>
  <si>
    <t>Dirk Pilu;Geert Engelrest;Hubert Lutters;Kristof Himpens;Youri Deweerdt</t>
  </si>
  <si>
    <t>Define dBase structure</t>
  </si>
  <si>
    <t>1.1.2.2</t>
  </si>
  <si>
    <t>8FS</t>
  </si>
  <si>
    <t>FS10</t>
  </si>
  <si>
    <t>4d</t>
  </si>
  <si>
    <t>Define Graphical User Interface</t>
  </si>
  <si>
    <t>1.1.2.3</t>
  </si>
  <si>
    <t>9FS</t>
  </si>
  <si>
    <t>FS11</t>
  </si>
  <si>
    <t>2d</t>
  </si>
  <si>
    <t>Review spec's</t>
  </si>
  <si>
    <t>1.1.2.4</t>
  </si>
  <si>
    <t>10FS</t>
  </si>
  <si>
    <t>FS12</t>
  </si>
  <si>
    <t>1d</t>
  </si>
  <si>
    <t>Update specifications</t>
  </si>
  <si>
    <t>1.1.2.5</t>
  </si>
  <si>
    <t>11FS</t>
  </si>
  <si>
    <t>FS13</t>
  </si>
  <si>
    <t>1d 4h</t>
  </si>
  <si>
    <t>Spec's frozen</t>
  </si>
  <si>
    <t>1.1.2.6</t>
  </si>
  <si>
    <t>12FS</t>
  </si>
  <si>
    <t>FS16;FS20</t>
  </si>
  <si>
    <t>dBase creation / SetUp</t>
  </si>
  <si>
    <t>1.1.3</t>
  </si>
  <si>
    <t>Maintenance cost</t>
  </si>
  <si>
    <t>1.1.3.1</t>
  </si>
  <si>
    <t>5d</t>
  </si>
  <si>
    <t>HWL - spares</t>
  </si>
  <si>
    <t>1.1.3.1.1</t>
  </si>
  <si>
    <t>13FS</t>
  </si>
  <si>
    <t>FS17;FS18</t>
  </si>
  <si>
    <t>Hubert Lutters</t>
  </si>
  <si>
    <t>TMS - Hours</t>
  </si>
  <si>
    <t>1.1.3.1.2</t>
  </si>
  <si>
    <t>16FS</t>
  </si>
  <si>
    <t>FS18</t>
  </si>
  <si>
    <t>3d</t>
  </si>
  <si>
    <t>1.1.3.1.3</t>
  </si>
  <si>
    <t>16FS;17FS</t>
  </si>
  <si>
    <t>FS30;FS32</t>
  </si>
  <si>
    <t>Improvement cost</t>
  </si>
  <si>
    <t>1.1.3.2</t>
  </si>
  <si>
    <t>6d</t>
  </si>
  <si>
    <t>SPAR - spares</t>
  </si>
  <si>
    <t>1.1.3.2.1</t>
  </si>
  <si>
    <t>FS21</t>
  </si>
  <si>
    <t>Kristof Himpens</t>
  </si>
  <si>
    <t>SPAR - Hours toolshop</t>
  </si>
  <si>
    <t>1.1.3.2.2</t>
  </si>
  <si>
    <t>20FS</t>
  </si>
  <si>
    <t>FS22</t>
  </si>
  <si>
    <t>SPAR - Hours design</t>
  </si>
  <si>
    <t>1.1.3.2.3</t>
  </si>
  <si>
    <t>21FS</t>
  </si>
  <si>
    <t>FS23</t>
  </si>
  <si>
    <t>1.1.3.2.4</t>
  </si>
  <si>
    <t>22FS</t>
  </si>
  <si>
    <t>FS25;FS32</t>
  </si>
  <si>
    <t>COPQ linked</t>
  </si>
  <si>
    <t>1.1.3.3</t>
  </si>
  <si>
    <t>7d</t>
  </si>
  <si>
    <t>Production scrap (confirmed / unconfirmed)</t>
  </si>
  <si>
    <t>1.1.3.3.1</t>
  </si>
  <si>
    <t>23FS</t>
  </si>
  <si>
    <t>FS26</t>
  </si>
  <si>
    <t>Inventory scrap</t>
  </si>
  <si>
    <t>1.1.3.3.2</t>
  </si>
  <si>
    <t>25FS</t>
  </si>
  <si>
    <t>FS27</t>
  </si>
  <si>
    <t>Sorting (intern / extern)</t>
  </si>
  <si>
    <t>1.1.3.3.3</t>
  </si>
  <si>
    <t>26FS</t>
  </si>
  <si>
    <t>FS28</t>
  </si>
  <si>
    <t>COPQ</t>
  </si>
  <si>
    <t>1.1.3.3.4</t>
  </si>
  <si>
    <t>27FS</t>
  </si>
  <si>
    <t>FS32</t>
  </si>
  <si>
    <t>Operational losses linked</t>
  </si>
  <si>
    <t>1.1.3.4</t>
  </si>
  <si>
    <t>Support hours, Lost capacity</t>
  </si>
  <si>
    <t>1.1.3.4.1</t>
  </si>
  <si>
    <t>18FS</t>
  </si>
  <si>
    <t>FS31</t>
  </si>
  <si>
    <t>Operational losses</t>
  </si>
  <si>
    <t>1.1.3.4.2</t>
  </si>
  <si>
    <t>30FS</t>
  </si>
  <si>
    <t>dBase frozen</t>
  </si>
  <si>
    <t>1.1.3.5</t>
  </si>
  <si>
    <t>18FS;23FS;28FS;31FS</t>
  </si>
  <si>
    <t>FS34;FS35</t>
  </si>
  <si>
    <t>dBase functionality / Calculation model -  implementation</t>
  </si>
  <si>
    <t>1.1.4</t>
  </si>
  <si>
    <t>10d</t>
  </si>
  <si>
    <t>Calculation function</t>
  </si>
  <si>
    <t>1.1.4.1</t>
  </si>
  <si>
    <t>32FS</t>
  </si>
  <si>
    <t>FS36</t>
  </si>
  <si>
    <t>Hubert Lutters;Kristof Himpens</t>
  </si>
  <si>
    <t>Analyze / export function</t>
  </si>
  <si>
    <t>1.1.4.2</t>
  </si>
  <si>
    <t>Functionality implemented</t>
  </si>
  <si>
    <t>1.1.4.3</t>
  </si>
  <si>
    <t>34FS;35FS</t>
  </si>
  <si>
    <t>FS38</t>
  </si>
  <si>
    <t>Evaluation - Update</t>
  </si>
  <si>
    <t>1.1.5</t>
  </si>
  <si>
    <t>8d</t>
  </si>
  <si>
    <t>Calculation-Analyze verification</t>
  </si>
  <si>
    <t>1.1.5.1</t>
  </si>
  <si>
    <t>36FS</t>
  </si>
  <si>
    <t>FS39</t>
  </si>
  <si>
    <t>Update</t>
  </si>
  <si>
    <t>1.1.5.2</t>
  </si>
  <si>
    <t>38FS</t>
  </si>
  <si>
    <t>FS40</t>
  </si>
  <si>
    <t>Kristof Himpens;Hubert Lutters</t>
  </si>
  <si>
    <t>Release</t>
  </si>
  <si>
    <t>1.1.5.3</t>
  </si>
  <si>
    <t>39FS</t>
  </si>
  <si>
    <t>Type</t>
  </si>
  <si>
    <t>Availability</t>
  </si>
  <si>
    <t>Cost/Use</t>
  </si>
  <si>
    <t>Cost/Unit</t>
  </si>
  <si>
    <t>Assigned To</t>
  </si>
  <si>
    <t>Dirk Pilu</t>
  </si>
  <si>
    <t>Renewable</t>
  </si>
  <si>
    <t xml:space="preserve">1 </t>
  </si>
  <si>
    <t>3;4;5;8;9;10;11;12;38;</t>
  </si>
  <si>
    <t>Geert Engelrest</t>
  </si>
  <si>
    <t>8;9;10;11;12;16;17;30;34;35;38;39;</t>
  </si>
  <si>
    <t>8;9;10;11;12;20;21;22;25;26;27;34;35;38;39;</t>
  </si>
  <si>
    <t>Youri Deweerdt</t>
  </si>
  <si>
    <t>8;9;10;11;12;38;</t>
  </si>
  <si>
    <t>Activity Duration Distribution Profiles</t>
  </si>
  <si>
    <t>Description</t>
  </si>
  <si>
    <t>Optimistic</t>
  </si>
  <si>
    <t>Most Probable</t>
  </si>
  <si>
    <t>Pessimistic</t>
  </si>
  <si>
    <t>358h</t>
  </si>
  <si>
    <t>standard - symmetric</t>
  </si>
  <si>
    <t>104h</t>
  </si>
  <si>
    <t>36h</t>
  </si>
  <si>
    <t>32h</t>
  </si>
  <si>
    <t>16h</t>
  </si>
  <si>
    <t>8h</t>
  </si>
  <si>
    <t>12h</t>
  </si>
  <si>
    <t>40h</t>
  </si>
  <si>
    <t>24h</t>
  </si>
  <si>
    <t>48h</t>
  </si>
  <si>
    <t>56h</t>
  </si>
  <si>
    <t>80h</t>
  </si>
  <si>
    <t>64h</t>
  </si>
  <si>
    <t>Working Hours</t>
  </si>
  <si>
    <t>Working Days</t>
  </si>
  <si>
    <t>Holidays (Optional)</t>
  </si>
  <si>
    <t>0:00 - 1:00</t>
  </si>
  <si>
    <t>No</t>
  </si>
  <si>
    <t>1:00 - 2:00</t>
  </si>
  <si>
    <t>2:00 - 3:00</t>
  </si>
  <si>
    <t>3:00 - 4:00</t>
  </si>
  <si>
    <t>4:00 - 5:00</t>
  </si>
  <si>
    <t>5:00 - 6:00</t>
  </si>
  <si>
    <t>6:00 - 7:00</t>
  </si>
  <si>
    <t>7:00 - 8:00</t>
  </si>
  <si>
    <t>8:00 - 9:00</t>
  </si>
  <si>
    <t>Yes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</si>
  <si>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</si>
  <si>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</si>
  <si>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</si>
  <si>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</si>
  <si>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</si>
  <si>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</si>
  <si>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</si>
  <si>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</si>
  <si>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</si>
  <si>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</si>
  <si>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</si>
  <si>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</si>
  <si>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</si>
  <si>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</si>
  <si>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</si>
  <si>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Generated by PMConverter v1.1.3</t>
  </si>
  <si>
    <t>Monday</t>
  </si>
  <si>
    <t>Tuesday</t>
  </si>
  <si>
    <t>Wednesday</t>
  </si>
  <si>
    <t>Thursday</t>
  </si>
  <si>
    <t>Friday</t>
  </si>
  <si>
    <t>Saturday</t>
  </si>
  <si>
    <t>Sunday</t>
  </si>
  <si>
    <t>EVM Performance Measures</t>
  </si>
  <si>
    <t>EVM Forecasting</t>
  </si>
  <si>
    <t>Start Tracking Period</t>
  </si>
  <si>
    <t>Status date</t>
  </si>
  <si>
    <t>Planned Value (PV)</t>
  </si>
  <si>
    <t>Earned Value (EV)</t>
  </si>
  <si>
    <t>Actual Cost (AC)</t>
  </si>
  <si>
    <t>Earned Schedule (ES)</t>
  </si>
  <si>
    <t>Schedule Variance (SV)</t>
  </si>
  <si>
    <t>Schedule Performance Index (SPI)</t>
  </si>
  <si>
    <t>Cost Variance (CV)</t>
  </si>
  <si>
    <t>Cost Performance Index (CPI)</t>
  </si>
  <si>
    <t>Schedule Variance (SV(t))</t>
  </si>
  <si>
    <t>Schedule Performance Index (SPI(t))</t>
  </si>
  <si>
    <t>p-factor</t>
  </si>
  <si>
    <t>EAC(t)-PV (PF=1)</t>
  </si>
  <si>
    <t>EAC(t)-PV (PF=SPI)</t>
  </si>
  <si>
    <t>EAC(t)-PV (PF=SCI)</t>
  </si>
  <si>
    <t>EAC(t)-ED (PF=1)</t>
  </si>
  <si>
    <t>EAC(t)-ED (PF=SPI)</t>
  </si>
  <si>
    <t>EAC(t)-ES (PF=1)</t>
  </si>
  <si>
    <t>EAC(t)-ES (PF=SPI(t))</t>
  </si>
  <si>
    <t>EAC(t)-ES (PF=SCI(t))</t>
  </si>
  <si>
    <t>EAC (PF=1)</t>
  </si>
  <si>
    <t>EAC (PF=CPI)</t>
  </si>
  <si>
    <t>EAC (PF=SPI)</t>
  </si>
  <si>
    <t>EAC (PF=SPI(t))</t>
  </si>
  <si>
    <t>EAC (PF=SCI)</t>
  </si>
  <si>
    <t>EAC (PF=SCI(t))</t>
  </si>
  <si>
    <t>EAC (PF=0.8*CPI+0.2*SPI)</t>
  </si>
  <si>
    <t>EAC (PF=0.8*CPI+0.2*SPI(t))</t>
  </si>
</sst>
</file>

<file path=xl/styles.xml><?xml version="1.0" encoding="utf-8"?>
<styleSheet xmlns="http://schemas.openxmlformats.org/spreadsheetml/2006/main">
  <numFmts count="2">
    <numFmt numFmtId="164" formatCode="dd/mm/yyyy H:MM"/>
    <numFmt numFmtId="165" formatCode="#,##0.00€"/>
    <numFmt numFmtId="164" formatCode="dd/mm/yyyy H:MM"/>
    <numFmt numFmtId="164" formatCode="dd/mm/yyyy H:MM"/>
    <numFmt numFmtId="165" formatCode="#,##0.00€"/>
    <numFmt numFmtId="165" formatCode="#,##0.00€"/>
    <numFmt numFmtId="165" formatCode="#,##0.00€"/>
  </numFmts>
  <fonts count="6">
    <font>
      <sz val="11"/>
      <color theme="1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006100"/>
      <name val="Calibri"/>
      <family val="2"/>
      <scheme val="minor"/>
    </font>
    <font>
      <sz val="8"/>
      <color rgb="FF80808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164" fontId="2" fillId="3" borderId="1" xfId="0" applyNumberFormat="1" applyFont="1" applyFill="1" applyBorder="1" applyAlignment="1">
      <alignment wrapText="1"/>
    </xf>
    <xf numFmtId="165" fontId="2" fillId="3" borderId="1" xfId="0" applyNumberFormat="1" applyFont="1" applyFill="1" applyBorder="1" applyAlignment="1">
      <alignment wrapText="1"/>
    </xf>
    <xf numFmtId="164" fontId="2" fillId="4" borderId="1" xfId="0" applyNumberFormat="1" applyFont="1" applyFill="1" applyBorder="1" applyAlignment="1">
      <alignment wrapText="1"/>
    </xf>
    <xf numFmtId="164" fontId="2" fillId="6" borderId="1" xfId="0" applyNumberFormat="1" applyFont="1" applyFill="1" applyBorder="1" applyAlignment="1">
      <alignment wrapText="1"/>
    </xf>
    <xf numFmtId="165" fontId="2" fillId="6" borderId="1" xfId="0" applyNumberFormat="1" applyFont="1" applyFill="1" applyBorder="1" applyAlignment="1">
      <alignment wrapText="1"/>
    </xf>
    <xf numFmtId="165" fontId="2" fillId="4" borderId="1" xfId="0" applyNumberFormat="1" applyFont="1" applyFill="1" applyBorder="1" applyAlignment="1">
      <alignment wrapText="1"/>
    </xf>
    <xf numFmtId="165" fontId="2" fillId="5" borderId="1" xfId="0" applyNumberFormat="1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4" fillId="8" borderId="1" xfId="0" applyFont="1" applyFill="1" applyBorder="1" applyAlignment="1">
      <alignment wrapText="1"/>
    </xf>
    <xf numFmtId="0" fontId="5" fillId="0" borderId="0" xfId="0" applyFon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3"/>
  <sheetViews>
    <sheetView tabSelected="1" workbookViewId="0"/>
  </sheetViews>
  <sheetFormatPr defaultRowHeight="15"/>
  <cols>
    <col min="1" max="1" width="3.7109375" customWidth="1"/>
    <col min="2" max="2" width="25.7109375" customWidth="1"/>
    <col min="3" max="3" width="5.7109375" customWidth="1"/>
    <col min="4" max="5" width="16.7109375" customWidth="1"/>
    <col min="6" max="7" width="13.7109375" customWidth="1"/>
    <col min="8" max="8" width="8.7109375" customWidth="1"/>
    <col min="9" max="9" width="25.7109375" customWidth="1"/>
    <col min="10" max="10" width="10.7109375" customWidth="1"/>
    <col min="11" max="12" width="10.7109375" customWidth="1"/>
    <col min="14" max="14" width="12.7109375" customWidth="1"/>
  </cols>
  <sheetData>
    <row r="1" spans="1:14">
      <c r="A1" s="1" t="s">
        <v>0</v>
      </c>
      <c r="B1" s="1"/>
      <c r="C1" s="1"/>
      <c r="D1" s="1" t="s">
        <v>1</v>
      </c>
      <c r="E1" s="1"/>
      <c r="F1" s="1" t="s">
        <v>2</v>
      </c>
      <c r="G1" s="1"/>
      <c r="H1" s="1"/>
      <c r="I1" s="1" t="s">
        <v>3</v>
      </c>
      <c r="J1" s="1"/>
      <c r="K1" s="1" t="s">
        <v>4</v>
      </c>
      <c r="L1" s="1"/>
      <c r="M1" s="1"/>
      <c r="N1" s="1"/>
    </row>
    <row r="2" spans="1:14" ht="30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3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spans="1:14">
      <c r="A3" s="2">
        <v>0</v>
      </c>
      <c r="B3" s="3" t="s">
        <v>18</v>
      </c>
      <c r="C3" s="4" t="s">
        <v>19</v>
      </c>
      <c r="D3" s="2"/>
      <c r="E3" s="2"/>
      <c r="F3" s="5">
        <v>41064.3333333333</v>
      </c>
      <c r="G3" s="5">
        <v>41124.625</v>
      </c>
      <c r="H3" s="2" t="s">
        <v>20</v>
      </c>
      <c r="I3" s="2"/>
      <c r="J3" s="6"/>
      <c r="K3" s="6">
        <v>0</v>
      </c>
      <c r="L3" s="6"/>
      <c r="M3" s="6"/>
      <c r="N3" s="6">
        <v>61698.9</v>
      </c>
    </row>
    <row r="4" spans="1:14">
      <c r="A4" s="4">
        <v>1</v>
      </c>
      <c r="B4" s="4" t="s">
        <v>18</v>
      </c>
      <c r="C4" s="4" t="s">
        <v>21</v>
      </c>
      <c r="D4" s="2"/>
      <c r="E4" s="2"/>
      <c r="F4" s="5">
        <v>41064.3333333333</v>
      </c>
      <c r="G4" s="5">
        <v>41124.625</v>
      </c>
      <c r="H4" s="2" t="s">
        <v>20</v>
      </c>
      <c r="I4" s="2"/>
      <c r="J4" s="6"/>
      <c r="K4" s="6">
        <v>0</v>
      </c>
      <c r="L4" s="6"/>
      <c r="M4" s="6"/>
      <c r="N4" s="6">
        <v>61698.9</v>
      </c>
    </row>
    <row r="5" spans="1:14">
      <c r="A5" s="4">
        <v>2</v>
      </c>
      <c r="B5" s="4" t="s">
        <v>22</v>
      </c>
      <c r="C5" s="4" t="s">
        <v>23</v>
      </c>
      <c r="D5" s="2"/>
      <c r="E5" s="2"/>
      <c r="F5" s="5">
        <v>41064.3333333333</v>
      </c>
      <c r="G5" s="5">
        <v>41064.625</v>
      </c>
      <c r="H5" s="2" t="s">
        <v>24</v>
      </c>
      <c r="I5" s="2"/>
      <c r="J5" s="6"/>
      <c r="K5" s="6">
        <v>0</v>
      </c>
      <c r="L5" s="6"/>
      <c r="M5" s="6"/>
      <c r="N5" s="6">
        <v>804.9</v>
      </c>
    </row>
    <row r="6" spans="1:14">
      <c r="A6" s="3">
        <v>3</v>
      </c>
      <c r="B6" s="3" t="s">
        <v>25</v>
      </c>
      <c r="C6" s="4" t="s">
        <v>26</v>
      </c>
      <c r="D6" s="3"/>
      <c r="E6" s="3" t="s">
        <v>27</v>
      </c>
      <c r="F6" s="7">
        <v>41064.3333333333</v>
      </c>
      <c r="G6" s="8">
        <v>41064.4166666667</v>
      </c>
      <c r="H6" s="3" t="s">
        <v>28</v>
      </c>
      <c r="I6" s="4" t="s">
        <v>29</v>
      </c>
      <c r="J6" s="9">
        <v>268.3</v>
      </c>
      <c r="K6" s="10">
        <v>0</v>
      </c>
      <c r="L6" s="9">
        <v>0</v>
      </c>
      <c r="M6" s="10">
        <v>0</v>
      </c>
      <c r="N6" s="9">
        <v>268.3</v>
      </c>
    </row>
    <row r="7" spans="1:14">
      <c r="A7" s="3">
        <v>4</v>
      </c>
      <c r="B7" s="3" t="s">
        <v>30</v>
      </c>
      <c r="C7" s="4" t="s">
        <v>31</v>
      </c>
      <c r="D7" s="3" t="s">
        <v>32</v>
      </c>
      <c r="E7" s="3" t="s">
        <v>33</v>
      </c>
      <c r="F7" s="7">
        <v>41064.4166666667</v>
      </c>
      <c r="G7" s="8">
        <v>41064.5</v>
      </c>
      <c r="H7" s="3" t="s">
        <v>28</v>
      </c>
      <c r="I7" s="4" t="s">
        <v>29</v>
      </c>
      <c r="J7" s="9">
        <v>268.3</v>
      </c>
      <c r="K7" s="10">
        <v>0</v>
      </c>
      <c r="L7" s="9">
        <v>0</v>
      </c>
      <c r="M7" s="10">
        <v>0</v>
      </c>
      <c r="N7" s="9">
        <v>268.3</v>
      </c>
    </row>
    <row r="8" spans="1:14">
      <c r="A8" s="3">
        <v>5</v>
      </c>
      <c r="B8" s="3" t="s">
        <v>34</v>
      </c>
      <c r="C8" s="4" t="s">
        <v>35</v>
      </c>
      <c r="D8" s="3" t="s">
        <v>36</v>
      </c>
      <c r="E8" s="3" t="s">
        <v>37</v>
      </c>
      <c r="F8" s="7">
        <v>41064.5416666667</v>
      </c>
      <c r="G8" s="8">
        <v>41064.625</v>
      </c>
      <c r="H8" s="3" t="s">
        <v>28</v>
      </c>
      <c r="I8" s="4" t="s">
        <v>29</v>
      </c>
      <c r="J8" s="9">
        <v>268.3</v>
      </c>
      <c r="K8" s="10">
        <v>0</v>
      </c>
      <c r="L8" s="9">
        <v>0</v>
      </c>
      <c r="M8" s="10">
        <v>0</v>
      </c>
      <c r="N8" s="9">
        <v>268.3</v>
      </c>
    </row>
    <row r="9" spans="1:14">
      <c r="A9" s="3">
        <v>6</v>
      </c>
      <c r="B9" s="3" t="s">
        <v>38</v>
      </c>
      <c r="C9" s="4" t="s">
        <v>39</v>
      </c>
      <c r="D9" s="3" t="s">
        <v>40</v>
      </c>
      <c r="E9" s="3" t="s">
        <v>41</v>
      </c>
      <c r="F9" s="7">
        <v>41064.625</v>
      </c>
      <c r="G9" s="8">
        <v>41064.625</v>
      </c>
      <c r="H9" s="3" t="s">
        <v>42</v>
      </c>
      <c r="I9" s="4"/>
      <c r="J9" s="9">
        <v>0</v>
      </c>
      <c r="K9" s="10">
        <v>0</v>
      </c>
      <c r="L9" s="9">
        <v>0</v>
      </c>
      <c r="M9" s="10">
        <v>0</v>
      </c>
      <c r="N9" s="9">
        <v>0</v>
      </c>
    </row>
    <row r="10" spans="1:14">
      <c r="A10" s="4">
        <v>7</v>
      </c>
      <c r="B10" s="4" t="s">
        <v>43</v>
      </c>
      <c r="C10" s="4" t="s">
        <v>44</v>
      </c>
      <c r="D10" s="2"/>
      <c r="E10" s="2"/>
      <c r="F10" s="5">
        <v>41064.625</v>
      </c>
      <c r="G10" s="5">
        <v>41081.625</v>
      </c>
      <c r="H10" s="2" t="s">
        <v>45</v>
      </c>
      <c r="I10" s="2"/>
      <c r="J10" s="6"/>
      <c r="K10" s="6">
        <v>0</v>
      </c>
      <c r="L10" s="6"/>
      <c r="M10" s="6"/>
      <c r="N10" s="6">
        <v>30825.6</v>
      </c>
    </row>
    <row r="11" spans="1:14">
      <c r="A11" s="3">
        <v>8</v>
      </c>
      <c r="B11" s="3" t="s">
        <v>46</v>
      </c>
      <c r="C11" s="4" t="s">
        <v>47</v>
      </c>
      <c r="D11" s="3" t="s">
        <v>48</v>
      </c>
      <c r="E11" s="3" t="s">
        <v>49</v>
      </c>
      <c r="F11" s="7">
        <v>41064.625</v>
      </c>
      <c r="G11" s="8">
        <v>41071.4166666667</v>
      </c>
      <c r="H11" s="3" t="s">
        <v>50</v>
      </c>
      <c r="I11" s="4" t="s">
        <v>51</v>
      </c>
      <c r="J11" s="9">
        <v>10670.4</v>
      </c>
      <c r="K11" s="10">
        <v>0</v>
      </c>
      <c r="L11" s="9">
        <v>0</v>
      </c>
      <c r="M11" s="10">
        <v>0</v>
      </c>
      <c r="N11" s="9">
        <v>10670.4</v>
      </c>
    </row>
    <row r="12" spans="1:14">
      <c r="A12" s="3">
        <v>9</v>
      </c>
      <c r="B12" s="3" t="s">
        <v>52</v>
      </c>
      <c r="C12" s="4" t="s">
        <v>53</v>
      </c>
      <c r="D12" s="3" t="s">
        <v>54</v>
      </c>
      <c r="E12" s="3" t="s">
        <v>55</v>
      </c>
      <c r="F12" s="7">
        <v>41071.4166666667</v>
      </c>
      <c r="G12" s="8">
        <v>41075.4166666667</v>
      </c>
      <c r="H12" s="3" t="s">
        <v>56</v>
      </c>
      <c r="I12" s="4" t="s">
        <v>51</v>
      </c>
      <c r="J12" s="9">
        <v>9484.8</v>
      </c>
      <c r="K12" s="10">
        <v>0</v>
      </c>
      <c r="L12" s="9">
        <v>0</v>
      </c>
      <c r="M12" s="10">
        <v>0</v>
      </c>
      <c r="N12" s="9">
        <v>9484.8</v>
      </c>
    </row>
    <row r="13" spans="1:14">
      <c r="A13" s="3">
        <v>10</v>
      </c>
      <c r="B13" s="3" t="s">
        <v>57</v>
      </c>
      <c r="C13" s="4" t="s">
        <v>58</v>
      </c>
      <c r="D13" s="3" t="s">
        <v>59</v>
      </c>
      <c r="E13" s="3" t="s">
        <v>60</v>
      </c>
      <c r="F13" s="7">
        <v>41075.4166666667</v>
      </c>
      <c r="G13" s="8">
        <v>41079.4166666667</v>
      </c>
      <c r="H13" s="3" t="s">
        <v>61</v>
      </c>
      <c r="I13" s="4" t="s">
        <v>51</v>
      </c>
      <c r="J13" s="9">
        <v>4742.4</v>
      </c>
      <c r="K13" s="10">
        <v>0</v>
      </c>
      <c r="L13" s="9">
        <v>0</v>
      </c>
      <c r="M13" s="10">
        <v>0</v>
      </c>
      <c r="N13" s="9">
        <v>4742.4</v>
      </c>
    </row>
    <row r="14" spans="1:14">
      <c r="A14" s="3">
        <v>11</v>
      </c>
      <c r="B14" s="3" t="s">
        <v>62</v>
      </c>
      <c r="C14" s="4" t="s">
        <v>63</v>
      </c>
      <c r="D14" s="3" t="s">
        <v>64</v>
      </c>
      <c r="E14" s="3" t="s">
        <v>65</v>
      </c>
      <c r="F14" s="7">
        <v>41079.4166666667</v>
      </c>
      <c r="G14" s="8">
        <v>41080.4166666667</v>
      </c>
      <c r="H14" s="3" t="s">
        <v>66</v>
      </c>
      <c r="I14" s="4" t="s">
        <v>51</v>
      </c>
      <c r="J14" s="9">
        <v>2371.2</v>
      </c>
      <c r="K14" s="10">
        <v>0</v>
      </c>
      <c r="L14" s="9">
        <v>0</v>
      </c>
      <c r="M14" s="10">
        <v>0</v>
      </c>
      <c r="N14" s="9">
        <v>2371.2</v>
      </c>
    </row>
    <row r="15" spans="1:14">
      <c r="A15" s="3">
        <v>12</v>
      </c>
      <c r="B15" s="3" t="s">
        <v>67</v>
      </c>
      <c r="C15" s="4" t="s">
        <v>68</v>
      </c>
      <c r="D15" s="3" t="s">
        <v>69</v>
      </c>
      <c r="E15" s="3" t="s">
        <v>70</v>
      </c>
      <c r="F15" s="7">
        <v>41080.4166666667</v>
      </c>
      <c r="G15" s="8">
        <v>41081.625</v>
      </c>
      <c r="H15" s="3" t="s">
        <v>71</v>
      </c>
      <c r="I15" s="4" t="s">
        <v>51</v>
      </c>
      <c r="J15" s="9">
        <v>3556.8</v>
      </c>
      <c r="K15" s="10">
        <v>0</v>
      </c>
      <c r="L15" s="9">
        <v>0</v>
      </c>
      <c r="M15" s="10">
        <v>0</v>
      </c>
      <c r="N15" s="9">
        <v>3556.8</v>
      </c>
    </row>
    <row r="16" spans="1:14">
      <c r="A16" s="3">
        <v>13</v>
      </c>
      <c r="B16" s="3" t="s">
        <v>72</v>
      </c>
      <c r="C16" s="4" t="s">
        <v>73</v>
      </c>
      <c r="D16" s="3" t="s">
        <v>74</v>
      </c>
      <c r="E16" s="3" t="s">
        <v>75</v>
      </c>
      <c r="F16" s="7">
        <v>41081.625</v>
      </c>
      <c r="G16" s="8">
        <v>41081.625</v>
      </c>
      <c r="H16" s="3" t="s">
        <v>42</v>
      </c>
      <c r="I16" s="4"/>
      <c r="J16" s="9">
        <v>0</v>
      </c>
      <c r="K16" s="10">
        <v>0</v>
      </c>
      <c r="L16" s="9">
        <v>0</v>
      </c>
      <c r="M16" s="10">
        <v>0</v>
      </c>
      <c r="N16" s="9">
        <v>0</v>
      </c>
    </row>
    <row r="17" spans="1:14">
      <c r="A17" s="4">
        <v>14</v>
      </c>
      <c r="B17" s="4" t="s">
        <v>76</v>
      </c>
      <c r="C17" s="4" t="s">
        <v>77</v>
      </c>
      <c r="D17" s="2"/>
      <c r="E17" s="2"/>
      <c r="F17" s="5">
        <v>41081.625</v>
      </c>
      <c r="G17" s="5">
        <v>41100.625</v>
      </c>
      <c r="H17" s="2" t="s">
        <v>45</v>
      </c>
      <c r="I17" s="2"/>
      <c r="J17" s="6"/>
      <c r="K17" s="6">
        <v>0</v>
      </c>
      <c r="L17" s="6"/>
      <c r="M17" s="6"/>
      <c r="N17" s="6">
        <v>9282.8</v>
      </c>
    </row>
    <row r="18" spans="1:14">
      <c r="A18" s="4">
        <v>15</v>
      </c>
      <c r="B18" s="4" t="s">
        <v>78</v>
      </c>
      <c r="C18" s="4" t="s">
        <v>79</v>
      </c>
      <c r="D18" s="2"/>
      <c r="E18" s="2"/>
      <c r="F18" s="5">
        <v>41081.625</v>
      </c>
      <c r="G18" s="5">
        <v>41088.625</v>
      </c>
      <c r="H18" s="2" t="s">
        <v>80</v>
      </c>
      <c r="I18" s="2"/>
      <c r="J18" s="6"/>
      <c r="K18" s="6">
        <v>0</v>
      </c>
      <c r="L18" s="6"/>
      <c r="M18" s="6"/>
      <c r="N18" s="6">
        <v>2018</v>
      </c>
    </row>
    <row r="19" spans="1:14">
      <c r="A19" s="3">
        <v>16</v>
      </c>
      <c r="B19" s="3" t="s">
        <v>81</v>
      </c>
      <c r="C19" s="4" t="s">
        <v>82</v>
      </c>
      <c r="D19" s="3" t="s">
        <v>83</v>
      </c>
      <c r="E19" s="3" t="s">
        <v>84</v>
      </c>
      <c r="F19" s="7">
        <v>41081.625</v>
      </c>
      <c r="G19" s="8">
        <v>41085.625</v>
      </c>
      <c r="H19" s="3" t="s">
        <v>61</v>
      </c>
      <c r="I19" s="4" t="s">
        <v>85</v>
      </c>
      <c r="J19" s="9">
        <v>807.2</v>
      </c>
      <c r="K19" s="10">
        <v>0</v>
      </c>
      <c r="L19" s="9">
        <v>0</v>
      </c>
      <c r="M19" s="10">
        <v>0</v>
      </c>
      <c r="N19" s="9">
        <v>807.2</v>
      </c>
    </row>
    <row r="20" spans="1:14">
      <c r="A20" s="3">
        <v>17</v>
      </c>
      <c r="B20" s="3" t="s">
        <v>86</v>
      </c>
      <c r="C20" s="4" t="s">
        <v>87</v>
      </c>
      <c r="D20" s="3" t="s">
        <v>88</v>
      </c>
      <c r="E20" s="3" t="s">
        <v>89</v>
      </c>
      <c r="F20" s="7">
        <v>41085.625</v>
      </c>
      <c r="G20" s="8">
        <v>41088.625</v>
      </c>
      <c r="H20" s="3" t="s">
        <v>90</v>
      </c>
      <c r="I20" s="4" t="s">
        <v>85</v>
      </c>
      <c r="J20" s="9">
        <v>1210.8</v>
      </c>
      <c r="K20" s="10">
        <v>0</v>
      </c>
      <c r="L20" s="9">
        <v>0</v>
      </c>
      <c r="M20" s="10">
        <v>0</v>
      </c>
      <c r="N20" s="9">
        <v>1210.8</v>
      </c>
    </row>
    <row r="21" spans="1:14">
      <c r="A21" s="3">
        <v>18</v>
      </c>
      <c r="B21" s="3" t="s">
        <v>78</v>
      </c>
      <c r="C21" s="4" t="s">
        <v>91</v>
      </c>
      <c r="D21" s="3" t="s">
        <v>92</v>
      </c>
      <c r="E21" s="3" t="s">
        <v>93</v>
      </c>
      <c r="F21" s="7">
        <v>41088.625</v>
      </c>
      <c r="G21" s="8">
        <v>41088.625</v>
      </c>
      <c r="H21" s="3" t="s">
        <v>42</v>
      </c>
      <c r="I21" s="4"/>
      <c r="J21" s="9">
        <v>0</v>
      </c>
      <c r="K21" s="10">
        <v>0</v>
      </c>
      <c r="L21" s="9">
        <v>0</v>
      </c>
      <c r="M21" s="10">
        <v>0</v>
      </c>
      <c r="N21" s="9">
        <v>0</v>
      </c>
    </row>
    <row r="22" spans="1:14">
      <c r="A22" s="4">
        <v>19</v>
      </c>
      <c r="B22" s="4" t="s">
        <v>94</v>
      </c>
      <c r="C22" s="4" t="s">
        <v>95</v>
      </c>
      <c r="D22" s="2"/>
      <c r="E22" s="2"/>
      <c r="F22" s="5">
        <v>41081.625</v>
      </c>
      <c r="G22" s="5">
        <v>41089.625</v>
      </c>
      <c r="H22" s="2" t="s">
        <v>96</v>
      </c>
      <c r="I22" s="2"/>
      <c r="J22" s="6"/>
      <c r="K22" s="6">
        <v>0</v>
      </c>
      <c r="L22" s="6"/>
      <c r="M22" s="6"/>
      <c r="N22" s="6">
        <v>2421.6</v>
      </c>
    </row>
    <row r="23" spans="1:14">
      <c r="A23" s="3">
        <v>20</v>
      </c>
      <c r="B23" s="3" t="s">
        <v>97</v>
      </c>
      <c r="C23" s="4" t="s">
        <v>98</v>
      </c>
      <c r="D23" s="3" t="s">
        <v>83</v>
      </c>
      <c r="E23" s="3" t="s">
        <v>99</v>
      </c>
      <c r="F23" s="7">
        <v>41081.625</v>
      </c>
      <c r="G23" s="8">
        <v>41085.625</v>
      </c>
      <c r="H23" s="3" t="s">
        <v>61</v>
      </c>
      <c r="I23" s="4" t="s">
        <v>100</v>
      </c>
      <c r="J23" s="9">
        <v>807.2</v>
      </c>
      <c r="K23" s="10">
        <v>0</v>
      </c>
      <c r="L23" s="9">
        <v>0</v>
      </c>
      <c r="M23" s="10">
        <v>0</v>
      </c>
      <c r="N23" s="9">
        <v>807.2</v>
      </c>
    </row>
    <row r="24" spans="1:14">
      <c r="A24" s="3">
        <v>21</v>
      </c>
      <c r="B24" s="3" t="s">
        <v>101</v>
      </c>
      <c r="C24" s="4" t="s">
        <v>102</v>
      </c>
      <c r="D24" s="3" t="s">
        <v>103</v>
      </c>
      <c r="E24" s="3" t="s">
        <v>104</v>
      </c>
      <c r="F24" s="7">
        <v>41085.625</v>
      </c>
      <c r="G24" s="8">
        <v>41087.625</v>
      </c>
      <c r="H24" s="3" t="s">
        <v>61</v>
      </c>
      <c r="I24" s="4" t="s">
        <v>100</v>
      </c>
      <c r="J24" s="9">
        <v>807.2</v>
      </c>
      <c r="K24" s="10">
        <v>0</v>
      </c>
      <c r="L24" s="9">
        <v>0</v>
      </c>
      <c r="M24" s="10">
        <v>0</v>
      </c>
      <c r="N24" s="9">
        <v>807.2</v>
      </c>
    </row>
    <row r="25" spans="1:14">
      <c r="A25" s="3">
        <v>22</v>
      </c>
      <c r="B25" s="3" t="s">
        <v>105</v>
      </c>
      <c r="C25" s="4" t="s">
        <v>106</v>
      </c>
      <c r="D25" s="3" t="s">
        <v>107</v>
      </c>
      <c r="E25" s="3" t="s">
        <v>108</v>
      </c>
      <c r="F25" s="7">
        <v>41087.625</v>
      </c>
      <c r="G25" s="8">
        <v>41089.625</v>
      </c>
      <c r="H25" s="3" t="s">
        <v>61</v>
      </c>
      <c r="I25" s="4" t="s">
        <v>100</v>
      </c>
      <c r="J25" s="9">
        <v>807.2</v>
      </c>
      <c r="K25" s="10">
        <v>0</v>
      </c>
      <c r="L25" s="9">
        <v>0</v>
      </c>
      <c r="M25" s="10">
        <v>0</v>
      </c>
      <c r="N25" s="9">
        <v>807.2</v>
      </c>
    </row>
    <row r="26" spans="1:14">
      <c r="A26" s="3">
        <v>23</v>
      </c>
      <c r="B26" s="3" t="s">
        <v>94</v>
      </c>
      <c r="C26" s="4" t="s">
        <v>109</v>
      </c>
      <c r="D26" s="3" t="s">
        <v>110</v>
      </c>
      <c r="E26" s="3" t="s">
        <v>111</v>
      </c>
      <c r="F26" s="7">
        <v>41089.625</v>
      </c>
      <c r="G26" s="8">
        <v>41089.625</v>
      </c>
      <c r="H26" s="3" t="s">
        <v>42</v>
      </c>
      <c r="I26" s="4"/>
      <c r="J26" s="9">
        <v>0</v>
      </c>
      <c r="K26" s="10">
        <v>0</v>
      </c>
      <c r="L26" s="9">
        <v>0</v>
      </c>
      <c r="M26" s="10">
        <v>0</v>
      </c>
      <c r="N26" s="9">
        <v>0</v>
      </c>
    </row>
    <row r="27" spans="1:14">
      <c r="A27" s="4">
        <v>24</v>
      </c>
      <c r="B27" s="4" t="s">
        <v>112</v>
      </c>
      <c r="C27" s="4" t="s">
        <v>113</v>
      </c>
      <c r="D27" s="2"/>
      <c r="E27" s="2"/>
      <c r="F27" s="5">
        <v>41089.625</v>
      </c>
      <c r="G27" s="5">
        <v>41100.625</v>
      </c>
      <c r="H27" s="2" t="s">
        <v>114</v>
      </c>
      <c r="I27" s="2"/>
      <c r="J27" s="6"/>
      <c r="K27" s="6">
        <v>0</v>
      </c>
      <c r="L27" s="6"/>
      <c r="M27" s="6"/>
      <c r="N27" s="6">
        <v>2825.2</v>
      </c>
    </row>
    <row r="28" spans="1:14">
      <c r="A28" s="3">
        <v>25</v>
      </c>
      <c r="B28" s="3" t="s">
        <v>115</v>
      </c>
      <c r="C28" s="4" t="s">
        <v>116</v>
      </c>
      <c r="D28" s="3" t="s">
        <v>117</v>
      </c>
      <c r="E28" s="3" t="s">
        <v>118</v>
      </c>
      <c r="F28" s="7">
        <v>41089.625</v>
      </c>
      <c r="G28" s="8">
        <v>41094.625</v>
      </c>
      <c r="H28" s="3" t="s">
        <v>90</v>
      </c>
      <c r="I28" s="4" t="s">
        <v>100</v>
      </c>
      <c r="J28" s="9">
        <v>1210.8</v>
      </c>
      <c r="K28" s="10">
        <v>0</v>
      </c>
      <c r="L28" s="9">
        <v>0</v>
      </c>
      <c r="M28" s="10">
        <v>0</v>
      </c>
      <c r="N28" s="9">
        <v>1210.8</v>
      </c>
    </row>
    <row r="29" spans="1:14">
      <c r="A29" s="3">
        <v>26</v>
      </c>
      <c r="B29" s="3" t="s">
        <v>119</v>
      </c>
      <c r="C29" s="4" t="s">
        <v>120</v>
      </c>
      <c r="D29" s="3" t="s">
        <v>121</v>
      </c>
      <c r="E29" s="3" t="s">
        <v>122</v>
      </c>
      <c r="F29" s="7">
        <v>41094.625</v>
      </c>
      <c r="G29" s="8">
        <v>41096.625</v>
      </c>
      <c r="H29" s="3" t="s">
        <v>61</v>
      </c>
      <c r="I29" s="4" t="s">
        <v>100</v>
      </c>
      <c r="J29" s="9">
        <v>807.2</v>
      </c>
      <c r="K29" s="10">
        <v>0</v>
      </c>
      <c r="L29" s="9">
        <v>0</v>
      </c>
      <c r="M29" s="10">
        <v>0</v>
      </c>
      <c r="N29" s="9">
        <v>807.2</v>
      </c>
    </row>
    <row r="30" spans="1:14">
      <c r="A30" s="3">
        <v>27</v>
      </c>
      <c r="B30" s="3" t="s">
        <v>123</v>
      </c>
      <c r="C30" s="4" t="s">
        <v>124</v>
      </c>
      <c r="D30" s="3" t="s">
        <v>125</v>
      </c>
      <c r="E30" s="3" t="s">
        <v>126</v>
      </c>
      <c r="F30" s="7">
        <v>41096.625</v>
      </c>
      <c r="G30" s="8">
        <v>41100.625</v>
      </c>
      <c r="H30" s="3" t="s">
        <v>61</v>
      </c>
      <c r="I30" s="4" t="s">
        <v>100</v>
      </c>
      <c r="J30" s="9">
        <v>807.2</v>
      </c>
      <c r="K30" s="10">
        <v>0</v>
      </c>
      <c r="L30" s="9">
        <v>0</v>
      </c>
      <c r="M30" s="10">
        <v>0</v>
      </c>
      <c r="N30" s="9">
        <v>807.2</v>
      </c>
    </row>
    <row r="31" spans="1:14">
      <c r="A31" s="3">
        <v>28</v>
      </c>
      <c r="B31" s="3" t="s">
        <v>127</v>
      </c>
      <c r="C31" s="4" t="s">
        <v>128</v>
      </c>
      <c r="D31" s="3" t="s">
        <v>129</v>
      </c>
      <c r="E31" s="3" t="s">
        <v>130</v>
      </c>
      <c r="F31" s="7">
        <v>41100.625</v>
      </c>
      <c r="G31" s="8">
        <v>41100.625</v>
      </c>
      <c r="H31" s="3" t="s">
        <v>42</v>
      </c>
      <c r="I31" s="4"/>
      <c r="J31" s="9">
        <v>0</v>
      </c>
      <c r="K31" s="10">
        <v>0</v>
      </c>
      <c r="L31" s="9">
        <v>0</v>
      </c>
      <c r="M31" s="10">
        <v>0</v>
      </c>
      <c r="N31" s="9">
        <v>0</v>
      </c>
    </row>
    <row r="32" spans="1:14">
      <c r="A32" s="4">
        <v>29</v>
      </c>
      <c r="B32" s="4" t="s">
        <v>131</v>
      </c>
      <c r="C32" s="4" t="s">
        <v>132</v>
      </c>
      <c r="D32" s="2"/>
      <c r="E32" s="2"/>
      <c r="F32" s="5">
        <v>41088.625</v>
      </c>
      <c r="G32" s="5">
        <v>41095.625</v>
      </c>
      <c r="H32" s="2" t="s">
        <v>80</v>
      </c>
      <c r="I32" s="2"/>
      <c r="J32" s="6"/>
      <c r="K32" s="6">
        <v>0</v>
      </c>
      <c r="L32" s="6"/>
      <c r="M32" s="6"/>
      <c r="N32" s="6">
        <v>2018</v>
      </c>
    </row>
    <row r="33" spans="1:14">
      <c r="A33" s="3">
        <v>30</v>
      </c>
      <c r="B33" s="3" t="s">
        <v>133</v>
      </c>
      <c r="C33" s="4" t="s">
        <v>134</v>
      </c>
      <c r="D33" s="3" t="s">
        <v>135</v>
      </c>
      <c r="E33" s="3" t="s">
        <v>136</v>
      </c>
      <c r="F33" s="7">
        <v>41088.625</v>
      </c>
      <c r="G33" s="8">
        <v>41095.625</v>
      </c>
      <c r="H33" s="3" t="s">
        <v>80</v>
      </c>
      <c r="I33" s="4" t="s">
        <v>85</v>
      </c>
      <c r="J33" s="9">
        <v>2018</v>
      </c>
      <c r="K33" s="10">
        <v>0</v>
      </c>
      <c r="L33" s="9">
        <v>0</v>
      </c>
      <c r="M33" s="10">
        <v>0</v>
      </c>
      <c r="N33" s="9">
        <v>2018</v>
      </c>
    </row>
    <row r="34" spans="1:14">
      <c r="A34" s="3">
        <v>31</v>
      </c>
      <c r="B34" s="3" t="s">
        <v>137</v>
      </c>
      <c r="C34" s="4" t="s">
        <v>138</v>
      </c>
      <c r="D34" s="3" t="s">
        <v>139</v>
      </c>
      <c r="E34" s="3" t="s">
        <v>130</v>
      </c>
      <c r="F34" s="7">
        <v>41095.625</v>
      </c>
      <c r="G34" s="8">
        <v>41095.625</v>
      </c>
      <c r="H34" s="3" t="s">
        <v>42</v>
      </c>
      <c r="I34" s="4"/>
      <c r="J34" s="9">
        <v>0</v>
      </c>
      <c r="K34" s="10">
        <v>0</v>
      </c>
      <c r="L34" s="9">
        <v>0</v>
      </c>
      <c r="M34" s="10">
        <v>0</v>
      </c>
      <c r="N34" s="9">
        <v>0</v>
      </c>
    </row>
    <row r="35" spans="1:14">
      <c r="A35" s="3">
        <v>32</v>
      </c>
      <c r="B35" s="3" t="s">
        <v>140</v>
      </c>
      <c r="C35" s="4" t="s">
        <v>141</v>
      </c>
      <c r="D35" s="3" t="s">
        <v>142</v>
      </c>
      <c r="E35" s="3" t="s">
        <v>143</v>
      </c>
      <c r="F35" s="7">
        <v>41100.625</v>
      </c>
      <c r="G35" s="8">
        <v>41100.625</v>
      </c>
      <c r="H35" s="3" t="s">
        <v>42</v>
      </c>
      <c r="I35" s="4"/>
      <c r="J35" s="9">
        <v>0</v>
      </c>
      <c r="K35" s="10">
        <v>0</v>
      </c>
      <c r="L35" s="9">
        <v>0</v>
      </c>
      <c r="M35" s="10">
        <v>0</v>
      </c>
      <c r="N35" s="9">
        <v>0</v>
      </c>
    </row>
    <row r="36" spans="1:14">
      <c r="A36" s="4">
        <v>33</v>
      </c>
      <c r="B36" s="4" t="s">
        <v>144</v>
      </c>
      <c r="C36" s="4" t="s">
        <v>145</v>
      </c>
      <c r="D36" s="2"/>
      <c r="E36" s="2"/>
      <c r="F36" s="5">
        <v>41100.625</v>
      </c>
      <c r="G36" s="5">
        <v>41114.625</v>
      </c>
      <c r="H36" s="2" t="s">
        <v>146</v>
      </c>
      <c r="I36" s="2"/>
      <c r="J36" s="6"/>
      <c r="K36" s="6">
        <v>0</v>
      </c>
      <c r="L36" s="6"/>
      <c r="M36" s="6"/>
      <c r="N36" s="6">
        <v>8072</v>
      </c>
    </row>
    <row r="37" spans="1:14">
      <c r="A37" s="3">
        <v>34</v>
      </c>
      <c r="B37" s="3" t="s">
        <v>147</v>
      </c>
      <c r="C37" s="4" t="s">
        <v>148</v>
      </c>
      <c r="D37" s="3" t="s">
        <v>149</v>
      </c>
      <c r="E37" s="3" t="s">
        <v>150</v>
      </c>
      <c r="F37" s="7">
        <v>41100.625</v>
      </c>
      <c r="G37" s="8">
        <v>41107.625</v>
      </c>
      <c r="H37" s="3" t="s">
        <v>80</v>
      </c>
      <c r="I37" s="4" t="s">
        <v>151</v>
      </c>
      <c r="J37" s="9">
        <v>4036</v>
      </c>
      <c r="K37" s="10">
        <v>0</v>
      </c>
      <c r="L37" s="9">
        <v>0</v>
      </c>
      <c r="M37" s="10">
        <v>0</v>
      </c>
      <c r="N37" s="9">
        <v>4036</v>
      </c>
    </row>
    <row r="38" spans="1:14">
      <c r="A38" s="3">
        <v>35</v>
      </c>
      <c r="B38" s="3" t="s">
        <v>152</v>
      </c>
      <c r="C38" s="4" t="s">
        <v>153</v>
      </c>
      <c r="D38" s="3" t="s">
        <v>149</v>
      </c>
      <c r="E38" s="3" t="s">
        <v>150</v>
      </c>
      <c r="F38" s="7">
        <v>41107.625</v>
      </c>
      <c r="G38" s="8">
        <v>41114.625</v>
      </c>
      <c r="H38" s="3" t="s">
        <v>80</v>
      </c>
      <c r="I38" s="4" t="s">
        <v>151</v>
      </c>
      <c r="J38" s="9">
        <v>4036</v>
      </c>
      <c r="K38" s="10">
        <v>0</v>
      </c>
      <c r="L38" s="9">
        <v>0</v>
      </c>
      <c r="M38" s="10">
        <v>0</v>
      </c>
      <c r="N38" s="9">
        <v>4036</v>
      </c>
    </row>
    <row r="39" spans="1:14">
      <c r="A39" s="3">
        <v>36</v>
      </c>
      <c r="B39" s="3" t="s">
        <v>154</v>
      </c>
      <c r="C39" s="4" t="s">
        <v>155</v>
      </c>
      <c r="D39" s="3" t="s">
        <v>156</v>
      </c>
      <c r="E39" s="3" t="s">
        <v>157</v>
      </c>
      <c r="F39" s="7">
        <v>41114.625</v>
      </c>
      <c r="G39" s="8">
        <v>41114.625</v>
      </c>
      <c r="H39" s="3" t="s">
        <v>42</v>
      </c>
      <c r="I39" s="4"/>
      <c r="J39" s="9">
        <v>0</v>
      </c>
      <c r="K39" s="10">
        <v>0</v>
      </c>
      <c r="L39" s="9">
        <v>0</v>
      </c>
      <c r="M39" s="10">
        <v>0</v>
      </c>
      <c r="N39" s="9">
        <v>0</v>
      </c>
    </row>
    <row r="40" spans="1:14">
      <c r="A40" s="4">
        <v>37</v>
      </c>
      <c r="B40" s="4" t="s">
        <v>158</v>
      </c>
      <c r="C40" s="4" t="s">
        <v>159</v>
      </c>
      <c r="D40" s="2"/>
      <c r="E40" s="2"/>
      <c r="F40" s="5">
        <v>41114.625</v>
      </c>
      <c r="G40" s="5">
        <v>41124.625</v>
      </c>
      <c r="H40" s="2" t="s">
        <v>160</v>
      </c>
      <c r="I40" s="2"/>
      <c r="J40" s="6"/>
      <c r="K40" s="6">
        <v>0</v>
      </c>
      <c r="L40" s="6"/>
      <c r="M40" s="6"/>
      <c r="N40" s="6">
        <v>12713.6</v>
      </c>
    </row>
    <row r="41" spans="1:14">
      <c r="A41" s="3">
        <v>38</v>
      </c>
      <c r="B41" s="3" t="s">
        <v>161</v>
      </c>
      <c r="C41" s="4" t="s">
        <v>162</v>
      </c>
      <c r="D41" s="3" t="s">
        <v>163</v>
      </c>
      <c r="E41" s="3" t="s">
        <v>164</v>
      </c>
      <c r="F41" s="7">
        <v>41114.625</v>
      </c>
      <c r="G41" s="8">
        <v>41120.625</v>
      </c>
      <c r="H41" s="3" t="s">
        <v>56</v>
      </c>
      <c r="I41" s="4" t="s">
        <v>51</v>
      </c>
      <c r="J41" s="9">
        <v>9484.8</v>
      </c>
      <c r="K41" s="10">
        <v>0</v>
      </c>
      <c r="L41" s="9">
        <v>0</v>
      </c>
      <c r="M41" s="10">
        <v>0</v>
      </c>
      <c r="N41" s="9">
        <v>9484.8</v>
      </c>
    </row>
    <row r="42" spans="1:14">
      <c r="A42" s="3">
        <v>39</v>
      </c>
      <c r="B42" s="3" t="s">
        <v>165</v>
      </c>
      <c r="C42" s="4" t="s">
        <v>166</v>
      </c>
      <c r="D42" s="3" t="s">
        <v>167</v>
      </c>
      <c r="E42" s="3" t="s">
        <v>168</v>
      </c>
      <c r="F42" s="7">
        <v>41120.625</v>
      </c>
      <c r="G42" s="8">
        <v>41124.625</v>
      </c>
      <c r="H42" s="3" t="s">
        <v>56</v>
      </c>
      <c r="I42" s="4" t="s">
        <v>169</v>
      </c>
      <c r="J42" s="9">
        <v>3228.8</v>
      </c>
      <c r="K42" s="10">
        <v>0</v>
      </c>
      <c r="L42" s="9">
        <v>0</v>
      </c>
      <c r="M42" s="10">
        <v>0</v>
      </c>
      <c r="N42" s="9">
        <v>3228.8</v>
      </c>
    </row>
    <row r="43" spans="1:14">
      <c r="A43" s="3">
        <v>40</v>
      </c>
      <c r="B43" s="3" t="s">
        <v>170</v>
      </c>
      <c r="C43" s="4" t="s">
        <v>171</v>
      </c>
      <c r="D43" s="3" t="s">
        <v>172</v>
      </c>
      <c r="E43" s="3"/>
      <c r="F43" s="7">
        <v>41124.625</v>
      </c>
      <c r="G43" s="8">
        <v>41124.625</v>
      </c>
      <c r="H43" s="3" t="s">
        <v>42</v>
      </c>
      <c r="I43" s="4"/>
      <c r="J43" s="9">
        <v>0</v>
      </c>
      <c r="K43" s="10">
        <v>0</v>
      </c>
      <c r="L43" s="9">
        <v>0</v>
      </c>
      <c r="M43" s="10">
        <v>0</v>
      </c>
      <c r="N43" s="9">
        <v>0</v>
      </c>
    </row>
  </sheetData>
  <mergeCells count="5">
    <mergeCell ref="A1:C1"/>
    <mergeCell ref="D1:E1"/>
    <mergeCell ref="F1:H1"/>
    <mergeCell ref="I1:J1"/>
    <mergeCell ref="K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2" max="2" width="15.7109375" customWidth="1"/>
    <col min="7" max="7" width="40.7109375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 t="s">
        <v>13</v>
      </c>
      <c r="F1" s="1"/>
      <c r="G1" s="1" t="s">
        <v>3</v>
      </c>
      <c r="H1" s="1"/>
    </row>
    <row r="2" spans="1:8" ht="25" customHeight="1">
      <c r="A2" s="1" t="s">
        <v>5</v>
      </c>
      <c r="B2" s="1" t="s">
        <v>6</v>
      </c>
      <c r="C2" s="1" t="s">
        <v>173</v>
      </c>
      <c r="D2" s="1" t="s">
        <v>174</v>
      </c>
      <c r="E2" s="1" t="s">
        <v>175</v>
      </c>
      <c r="F2" s="1" t="s">
        <v>176</v>
      </c>
      <c r="G2" s="1" t="s">
        <v>177</v>
      </c>
      <c r="H2" s="1" t="s">
        <v>17</v>
      </c>
    </row>
    <row r="3" spans="1:8">
      <c r="A3" s="4">
        <v>1</v>
      </c>
      <c r="B3" s="4" t="s">
        <v>178</v>
      </c>
      <c r="C3" s="4" t="s">
        <v>179</v>
      </c>
      <c r="D3" s="4" t="s">
        <v>180</v>
      </c>
      <c r="E3" s="11">
        <v>0</v>
      </c>
      <c r="F3" s="11">
        <v>72.8</v>
      </c>
      <c r="G3" s="12" t="s">
        <v>181</v>
      </c>
      <c r="H3" s="9">
        <v>10337.599609375</v>
      </c>
    </row>
    <row r="4" spans="1:8">
      <c r="A4" s="4">
        <v>2</v>
      </c>
      <c r="B4" s="4" t="s">
        <v>182</v>
      </c>
      <c r="C4" s="4" t="s">
        <v>179</v>
      </c>
      <c r="D4" s="4" t="s">
        <v>180</v>
      </c>
      <c r="E4" s="11">
        <v>0</v>
      </c>
      <c r="F4" s="11">
        <v>61.35</v>
      </c>
      <c r="G4" s="12" t="s">
        <v>181</v>
      </c>
      <c r="H4" s="9">
        <v>8711.69921875</v>
      </c>
    </row>
    <row r="5" spans="1:8">
      <c r="A5" s="4">
        <v>3</v>
      </c>
      <c r="B5" s="4" t="s">
        <v>85</v>
      </c>
      <c r="C5" s="4" t="s">
        <v>179</v>
      </c>
      <c r="D5" s="4" t="s">
        <v>180</v>
      </c>
      <c r="E5" s="11">
        <v>0</v>
      </c>
      <c r="F5" s="11">
        <v>50.45</v>
      </c>
      <c r="G5" s="12" t="s">
        <v>183</v>
      </c>
      <c r="H5" s="9">
        <v>16547.6015625</v>
      </c>
    </row>
    <row r="6" spans="1:8">
      <c r="A6" s="4">
        <v>4</v>
      </c>
      <c r="B6" s="4" t="s">
        <v>100</v>
      </c>
      <c r="C6" s="4" t="s">
        <v>179</v>
      </c>
      <c r="D6" s="4" t="s">
        <v>180</v>
      </c>
      <c r="E6" s="11">
        <v>0</v>
      </c>
      <c r="F6" s="11">
        <v>50.45</v>
      </c>
      <c r="G6" s="12" t="s">
        <v>184</v>
      </c>
      <c r="H6" s="9">
        <v>17758.40234375</v>
      </c>
    </row>
    <row r="7" spans="1:8">
      <c r="A7" s="4">
        <v>5</v>
      </c>
      <c r="B7" s="4" t="s">
        <v>185</v>
      </c>
      <c r="C7" s="4" t="s">
        <v>179</v>
      </c>
      <c r="D7" s="4" t="s">
        <v>180</v>
      </c>
      <c r="E7" s="11">
        <v>0</v>
      </c>
      <c r="F7" s="11">
        <v>61.35</v>
      </c>
      <c r="G7" s="12" t="s">
        <v>186</v>
      </c>
      <c r="H7" s="9">
        <v>8343.599609375</v>
      </c>
    </row>
  </sheetData>
  <mergeCells count="3">
    <mergeCell ref="A1:D1"/>
    <mergeCell ref="E1:F1"/>
    <mergeCell ref="G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sheetFormatPr defaultRowHeight="15"/>
  <cols>
    <col min="1" max="1" width="5.7109375" customWidth="1"/>
    <col min="2" max="2" width="18.7109375" customWidth="1"/>
    <col min="4" max="4" width="15.7109375" customWidth="1"/>
    <col min="5" max="7" width="12.7109375" customWidth="1"/>
  </cols>
  <sheetData>
    <row r="1" spans="1:7">
      <c r="A1" s="1" t="s">
        <v>0</v>
      </c>
      <c r="B1" s="1"/>
      <c r="C1" s="1" t="s">
        <v>2</v>
      </c>
      <c r="D1" s="1" t="s">
        <v>187</v>
      </c>
      <c r="E1" s="1"/>
      <c r="F1" s="1"/>
      <c r="G1" s="1"/>
    </row>
    <row r="2" spans="1:7">
      <c r="A2" s="1" t="s">
        <v>5</v>
      </c>
      <c r="B2" s="1" t="s">
        <v>6</v>
      </c>
      <c r="C2" s="1" t="s">
        <v>12</v>
      </c>
      <c r="D2" s="1" t="s">
        <v>188</v>
      </c>
      <c r="E2" s="1" t="s">
        <v>189</v>
      </c>
      <c r="F2" s="1" t="s">
        <v>190</v>
      </c>
      <c r="G2" s="1" t="s">
        <v>191</v>
      </c>
    </row>
    <row r="3" spans="1:7">
      <c r="A3" s="2">
        <v>0</v>
      </c>
      <c r="B3" s="3" t="s">
        <v>18</v>
      </c>
      <c r="C3" s="2" t="s">
        <v>192</v>
      </c>
      <c r="D3" s="2"/>
      <c r="E3" s="2"/>
      <c r="F3" s="2"/>
      <c r="G3" s="2"/>
    </row>
    <row r="4" spans="1:7">
      <c r="A4" s="4">
        <v>1</v>
      </c>
      <c r="B4" s="4" t="s">
        <v>18</v>
      </c>
      <c r="C4" s="2" t="s">
        <v>192</v>
      </c>
      <c r="D4" s="2"/>
      <c r="E4" s="2"/>
      <c r="F4" s="2"/>
      <c r="G4" s="2"/>
    </row>
    <row r="5" spans="1:7">
      <c r="A5" s="4">
        <v>2</v>
      </c>
      <c r="B5" s="4" t="s">
        <v>22</v>
      </c>
      <c r="C5" s="2" t="s">
        <v>24</v>
      </c>
      <c r="D5" s="2"/>
      <c r="E5" s="2"/>
      <c r="F5" s="2"/>
      <c r="G5" s="2"/>
    </row>
    <row r="6" spans="1:7">
      <c r="A6" s="3">
        <v>3</v>
      </c>
      <c r="B6" s="3" t="s">
        <v>25</v>
      </c>
      <c r="C6" s="12" t="s">
        <v>28</v>
      </c>
      <c r="D6" s="4" t="s">
        <v>193</v>
      </c>
      <c r="E6" s="4">
        <v>80</v>
      </c>
      <c r="F6" s="4">
        <v>100</v>
      </c>
      <c r="G6" s="4">
        <v>120</v>
      </c>
    </row>
    <row r="7" spans="1:7">
      <c r="A7" s="3">
        <v>4</v>
      </c>
      <c r="B7" s="3" t="s">
        <v>30</v>
      </c>
      <c r="C7" s="12" t="s">
        <v>28</v>
      </c>
      <c r="D7" s="4" t="s">
        <v>193</v>
      </c>
      <c r="E7" s="4">
        <v>80</v>
      </c>
      <c r="F7" s="4">
        <v>100</v>
      </c>
      <c r="G7" s="4">
        <v>120</v>
      </c>
    </row>
    <row r="8" spans="1:7">
      <c r="A8" s="3">
        <v>5</v>
      </c>
      <c r="B8" s="3" t="s">
        <v>34</v>
      </c>
      <c r="C8" s="12" t="s">
        <v>28</v>
      </c>
      <c r="D8" s="4" t="s">
        <v>193</v>
      </c>
      <c r="E8" s="4">
        <v>80</v>
      </c>
      <c r="F8" s="4">
        <v>100</v>
      </c>
      <c r="G8" s="4">
        <v>120</v>
      </c>
    </row>
    <row r="9" spans="1:7">
      <c r="A9" s="3">
        <v>6</v>
      </c>
      <c r="B9" s="3" t="s">
        <v>38</v>
      </c>
      <c r="C9" s="12" t="s">
        <v>42</v>
      </c>
      <c r="D9" s="4" t="s">
        <v>193</v>
      </c>
      <c r="E9" s="4">
        <v>80</v>
      </c>
      <c r="F9" s="4">
        <v>100</v>
      </c>
      <c r="G9" s="4">
        <v>120</v>
      </c>
    </row>
    <row r="10" spans="1:7">
      <c r="A10" s="4">
        <v>7</v>
      </c>
      <c r="B10" s="4" t="s">
        <v>43</v>
      </c>
      <c r="C10" s="2" t="s">
        <v>194</v>
      </c>
      <c r="D10" s="2"/>
      <c r="E10" s="2"/>
      <c r="F10" s="2"/>
      <c r="G10" s="2"/>
    </row>
    <row r="11" spans="1:7">
      <c r="A11" s="3">
        <v>8</v>
      </c>
      <c r="B11" s="3" t="s">
        <v>46</v>
      </c>
      <c r="C11" s="12" t="s">
        <v>195</v>
      </c>
      <c r="D11" s="4" t="s">
        <v>193</v>
      </c>
      <c r="E11" s="4">
        <v>80</v>
      </c>
      <c r="F11" s="4">
        <v>100</v>
      </c>
      <c r="G11" s="4">
        <v>120</v>
      </c>
    </row>
    <row r="12" spans="1:7">
      <c r="A12" s="3">
        <v>9</v>
      </c>
      <c r="B12" s="3" t="s">
        <v>52</v>
      </c>
      <c r="C12" s="12" t="s">
        <v>196</v>
      </c>
      <c r="D12" s="4" t="s">
        <v>193</v>
      </c>
      <c r="E12" s="4">
        <v>80</v>
      </c>
      <c r="F12" s="4">
        <v>100</v>
      </c>
      <c r="G12" s="4">
        <v>120</v>
      </c>
    </row>
    <row r="13" spans="1:7">
      <c r="A13" s="3">
        <v>10</v>
      </c>
      <c r="B13" s="3" t="s">
        <v>57</v>
      </c>
      <c r="C13" s="12" t="s">
        <v>197</v>
      </c>
      <c r="D13" s="4" t="s">
        <v>193</v>
      </c>
      <c r="E13" s="4">
        <v>80</v>
      </c>
      <c r="F13" s="4">
        <v>100</v>
      </c>
      <c r="G13" s="4">
        <v>120</v>
      </c>
    </row>
    <row r="14" spans="1:7">
      <c r="A14" s="3">
        <v>11</v>
      </c>
      <c r="B14" s="3" t="s">
        <v>62</v>
      </c>
      <c r="C14" s="12" t="s">
        <v>198</v>
      </c>
      <c r="D14" s="4" t="s">
        <v>193</v>
      </c>
      <c r="E14" s="4">
        <v>80</v>
      </c>
      <c r="F14" s="4">
        <v>100</v>
      </c>
      <c r="G14" s="4">
        <v>120</v>
      </c>
    </row>
    <row r="15" spans="1:7">
      <c r="A15" s="3">
        <v>12</v>
      </c>
      <c r="B15" s="3" t="s">
        <v>67</v>
      </c>
      <c r="C15" s="12" t="s">
        <v>199</v>
      </c>
      <c r="D15" s="4" t="s">
        <v>193</v>
      </c>
      <c r="E15" s="4">
        <v>80</v>
      </c>
      <c r="F15" s="4">
        <v>100</v>
      </c>
      <c r="G15" s="4">
        <v>120</v>
      </c>
    </row>
    <row r="16" spans="1:7">
      <c r="A16" s="3">
        <v>13</v>
      </c>
      <c r="B16" s="3" t="s">
        <v>72</v>
      </c>
      <c r="C16" s="12" t="s">
        <v>42</v>
      </c>
      <c r="D16" s="4" t="s">
        <v>193</v>
      </c>
      <c r="E16" s="4">
        <v>80</v>
      </c>
      <c r="F16" s="4">
        <v>100</v>
      </c>
      <c r="G16" s="4">
        <v>120</v>
      </c>
    </row>
    <row r="17" spans="1:7">
      <c r="A17" s="4">
        <v>14</v>
      </c>
      <c r="B17" s="4" t="s">
        <v>76</v>
      </c>
      <c r="C17" s="2" t="s">
        <v>194</v>
      </c>
      <c r="D17" s="2"/>
      <c r="E17" s="2"/>
      <c r="F17" s="2"/>
      <c r="G17" s="2"/>
    </row>
    <row r="18" spans="1:7">
      <c r="A18" s="4">
        <v>15</v>
      </c>
      <c r="B18" s="4" t="s">
        <v>78</v>
      </c>
      <c r="C18" s="2" t="s">
        <v>200</v>
      </c>
      <c r="D18" s="2"/>
      <c r="E18" s="2"/>
      <c r="F18" s="2"/>
      <c r="G18" s="2"/>
    </row>
    <row r="19" spans="1:7">
      <c r="A19" s="3">
        <v>16</v>
      </c>
      <c r="B19" s="3" t="s">
        <v>81</v>
      </c>
      <c r="C19" s="12" t="s">
        <v>197</v>
      </c>
      <c r="D19" s="4" t="s">
        <v>193</v>
      </c>
      <c r="E19" s="4">
        <v>80</v>
      </c>
      <c r="F19" s="4">
        <v>100</v>
      </c>
      <c r="G19" s="4">
        <v>120</v>
      </c>
    </row>
    <row r="20" spans="1:7">
      <c r="A20" s="3">
        <v>17</v>
      </c>
      <c r="B20" s="3" t="s">
        <v>86</v>
      </c>
      <c r="C20" s="12" t="s">
        <v>201</v>
      </c>
      <c r="D20" s="4" t="s">
        <v>193</v>
      </c>
      <c r="E20" s="4">
        <v>80</v>
      </c>
      <c r="F20" s="4">
        <v>100</v>
      </c>
      <c r="G20" s="4">
        <v>120</v>
      </c>
    </row>
    <row r="21" spans="1:7">
      <c r="A21" s="3">
        <v>18</v>
      </c>
      <c r="B21" s="3" t="s">
        <v>78</v>
      </c>
      <c r="C21" s="12" t="s">
        <v>42</v>
      </c>
      <c r="D21" s="4" t="s">
        <v>193</v>
      </c>
      <c r="E21" s="4">
        <v>80</v>
      </c>
      <c r="F21" s="4">
        <v>100</v>
      </c>
      <c r="G21" s="4">
        <v>120</v>
      </c>
    </row>
    <row r="22" spans="1:7">
      <c r="A22" s="4">
        <v>19</v>
      </c>
      <c r="B22" s="4" t="s">
        <v>94</v>
      </c>
      <c r="C22" s="2" t="s">
        <v>202</v>
      </c>
      <c r="D22" s="2"/>
      <c r="E22" s="2"/>
      <c r="F22" s="2"/>
      <c r="G22" s="2"/>
    </row>
    <row r="23" spans="1:7">
      <c r="A23" s="3">
        <v>20</v>
      </c>
      <c r="B23" s="3" t="s">
        <v>97</v>
      </c>
      <c r="C23" s="12" t="s">
        <v>197</v>
      </c>
      <c r="D23" s="4" t="s">
        <v>193</v>
      </c>
      <c r="E23" s="4">
        <v>80</v>
      </c>
      <c r="F23" s="4">
        <v>100</v>
      </c>
      <c r="G23" s="4">
        <v>120</v>
      </c>
    </row>
    <row r="24" spans="1:7">
      <c r="A24" s="3">
        <v>21</v>
      </c>
      <c r="B24" s="3" t="s">
        <v>101</v>
      </c>
      <c r="C24" s="12" t="s">
        <v>197</v>
      </c>
      <c r="D24" s="4" t="s">
        <v>193</v>
      </c>
      <c r="E24" s="4">
        <v>80</v>
      </c>
      <c r="F24" s="4">
        <v>100</v>
      </c>
      <c r="G24" s="4">
        <v>120</v>
      </c>
    </row>
    <row r="25" spans="1:7">
      <c r="A25" s="3">
        <v>22</v>
      </c>
      <c r="B25" s="3" t="s">
        <v>105</v>
      </c>
      <c r="C25" s="12" t="s">
        <v>197</v>
      </c>
      <c r="D25" s="4" t="s">
        <v>193</v>
      </c>
      <c r="E25" s="4">
        <v>80</v>
      </c>
      <c r="F25" s="4">
        <v>100</v>
      </c>
      <c r="G25" s="4">
        <v>120</v>
      </c>
    </row>
    <row r="26" spans="1:7">
      <c r="A26" s="3">
        <v>23</v>
      </c>
      <c r="B26" s="3" t="s">
        <v>94</v>
      </c>
      <c r="C26" s="12" t="s">
        <v>42</v>
      </c>
      <c r="D26" s="4" t="s">
        <v>193</v>
      </c>
      <c r="E26" s="4">
        <v>80</v>
      </c>
      <c r="F26" s="4">
        <v>100</v>
      </c>
      <c r="G26" s="4">
        <v>120</v>
      </c>
    </row>
    <row r="27" spans="1:7">
      <c r="A27" s="4">
        <v>24</v>
      </c>
      <c r="B27" s="4" t="s">
        <v>112</v>
      </c>
      <c r="C27" s="2" t="s">
        <v>203</v>
      </c>
      <c r="D27" s="2"/>
      <c r="E27" s="2"/>
      <c r="F27" s="2"/>
      <c r="G27" s="2"/>
    </row>
    <row r="28" spans="1:7">
      <c r="A28" s="3">
        <v>25</v>
      </c>
      <c r="B28" s="3" t="s">
        <v>115</v>
      </c>
      <c r="C28" s="12" t="s">
        <v>201</v>
      </c>
      <c r="D28" s="4" t="s">
        <v>193</v>
      </c>
      <c r="E28" s="4">
        <v>80</v>
      </c>
      <c r="F28" s="4">
        <v>100</v>
      </c>
      <c r="G28" s="4">
        <v>120</v>
      </c>
    </row>
    <row r="29" spans="1:7">
      <c r="A29" s="3">
        <v>26</v>
      </c>
      <c r="B29" s="3" t="s">
        <v>119</v>
      </c>
      <c r="C29" s="12" t="s">
        <v>197</v>
      </c>
      <c r="D29" s="4" t="s">
        <v>193</v>
      </c>
      <c r="E29" s="4">
        <v>80</v>
      </c>
      <c r="F29" s="4">
        <v>100</v>
      </c>
      <c r="G29" s="4">
        <v>120</v>
      </c>
    </row>
    <row r="30" spans="1:7">
      <c r="A30" s="3">
        <v>27</v>
      </c>
      <c r="B30" s="3" t="s">
        <v>123</v>
      </c>
      <c r="C30" s="12" t="s">
        <v>197</v>
      </c>
      <c r="D30" s="4" t="s">
        <v>193</v>
      </c>
      <c r="E30" s="4">
        <v>80</v>
      </c>
      <c r="F30" s="4">
        <v>100</v>
      </c>
      <c r="G30" s="4">
        <v>120</v>
      </c>
    </row>
    <row r="31" spans="1:7">
      <c r="A31" s="3">
        <v>28</v>
      </c>
      <c r="B31" s="3" t="s">
        <v>127</v>
      </c>
      <c r="C31" s="12" t="s">
        <v>42</v>
      </c>
      <c r="D31" s="4" t="s">
        <v>193</v>
      </c>
      <c r="E31" s="4">
        <v>80</v>
      </c>
      <c r="F31" s="4">
        <v>100</v>
      </c>
      <c r="G31" s="4">
        <v>120</v>
      </c>
    </row>
    <row r="32" spans="1:7">
      <c r="A32" s="4">
        <v>29</v>
      </c>
      <c r="B32" s="4" t="s">
        <v>131</v>
      </c>
      <c r="C32" s="2" t="s">
        <v>200</v>
      </c>
      <c r="D32" s="2"/>
      <c r="E32" s="2"/>
      <c r="F32" s="2"/>
      <c r="G32" s="2"/>
    </row>
    <row r="33" spans="1:7">
      <c r="A33" s="3">
        <v>30</v>
      </c>
      <c r="B33" s="3" t="s">
        <v>133</v>
      </c>
      <c r="C33" s="12" t="s">
        <v>200</v>
      </c>
      <c r="D33" s="4" t="s">
        <v>193</v>
      </c>
      <c r="E33" s="4">
        <v>80</v>
      </c>
      <c r="F33" s="4">
        <v>100</v>
      </c>
      <c r="G33" s="4">
        <v>120</v>
      </c>
    </row>
    <row r="34" spans="1:7">
      <c r="A34" s="3">
        <v>31</v>
      </c>
      <c r="B34" s="3" t="s">
        <v>137</v>
      </c>
      <c r="C34" s="12" t="s">
        <v>42</v>
      </c>
      <c r="D34" s="4" t="s">
        <v>193</v>
      </c>
      <c r="E34" s="4">
        <v>80</v>
      </c>
      <c r="F34" s="4">
        <v>100</v>
      </c>
      <c r="G34" s="4">
        <v>120</v>
      </c>
    </row>
    <row r="35" spans="1:7">
      <c r="A35" s="3">
        <v>32</v>
      </c>
      <c r="B35" s="3" t="s">
        <v>140</v>
      </c>
      <c r="C35" s="12" t="s">
        <v>42</v>
      </c>
      <c r="D35" s="4" t="s">
        <v>193</v>
      </c>
      <c r="E35" s="4">
        <v>80</v>
      </c>
      <c r="F35" s="4">
        <v>100</v>
      </c>
      <c r="G35" s="4">
        <v>120</v>
      </c>
    </row>
    <row r="36" spans="1:7">
      <c r="A36" s="4">
        <v>33</v>
      </c>
      <c r="B36" s="4" t="s">
        <v>144</v>
      </c>
      <c r="C36" s="2" t="s">
        <v>204</v>
      </c>
      <c r="D36" s="2"/>
      <c r="E36" s="2"/>
      <c r="F36" s="2"/>
      <c r="G36" s="2"/>
    </row>
    <row r="37" spans="1:7">
      <c r="A37" s="3">
        <v>34</v>
      </c>
      <c r="B37" s="3" t="s">
        <v>147</v>
      </c>
      <c r="C37" s="12" t="s">
        <v>200</v>
      </c>
      <c r="D37" s="4" t="s">
        <v>193</v>
      </c>
      <c r="E37" s="4">
        <v>80</v>
      </c>
      <c r="F37" s="4">
        <v>100</v>
      </c>
      <c r="G37" s="4">
        <v>120</v>
      </c>
    </row>
    <row r="38" spans="1:7">
      <c r="A38" s="3">
        <v>35</v>
      </c>
      <c r="B38" s="3" t="s">
        <v>152</v>
      </c>
      <c r="C38" s="12" t="s">
        <v>200</v>
      </c>
      <c r="D38" s="4" t="s">
        <v>193</v>
      </c>
      <c r="E38" s="4">
        <v>80</v>
      </c>
      <c r="F38" s="4">
        <v>100</v>
      </c>
      <c r="G38" s="4">
        <v>120</v>
      </c>
    </row>
    <row r="39" spans="1:7">
      <c r="A39" s="3">
        <v>36</v>
      </c>
      <c r="B39" s="3" t="s">
        <v>154</v>
      </c>
      <c r="C39" s="12" t="s">
        <v>42</v>
      </c>
      <c r="D39" s="4" t="s">
        <v>193</v>
      </c>
      <c r="E39" s="4">
        <v>80</v>
      </c>
      <c r="F39" s="4">
        <v>100</v>
      </c>
      <c r="G39" s="4">
        <v>120</v>
      </c>
    </row>
    <row r="40" spans="1:7">
      <c r="A40" s="4">
        <v>37</v>
      </c>
      <c r="B40" s="4" t="s">
        <v>158</v>
      </c>
      <c r="C40" s="2" t="s">
        <v>205</v>
      </c>
      <c r="D40" s="2"/>
      <c r="E40" s="2"/>
      <c r="F40" s="2"/>
      <c r="G40" s="2"/>
    </row>
    <row r="41" spans="1:7">
      <c r="A41" s="3">
        <v>38</v>
      </c>
      <c r="B41" s="3" t="s">
        <v>161</v>
      </c>
      <c r="C41" s="12" t="s">
        <v>196</v>
      </c>
      <c r="D41" s="4" t="s">
        <v>193</v>
      </c>
      <c r="E41" s="4">
        <v>80</v>
      </c>
      <c r="F41" s="4">
        <v>100</v>
      </c>
      <c r="G41" s="4">
        <v>120</v>
      </c>
    </row>
    <row r="42" spans="1:7">
      <c r="A42" s="3">
        <v>39</v>
      </c>
      <c r="B42" s="3" t="s">
        <v>165</v>
      </c>
      <c r="C42" s="12" t="s">
        <v>196</v>
      </c>
      <c r="D42" s="4" t="s">
        <v>193</v>
      </c>
      <c r="E42" s="4">
        <v>80</v>
      </c>
      <c r="F42" s="4">
        <v>100</v>
      </c>
      <c r="G42" s="4">
        <v>120</v>
      </c>
    </row>
    <row r="43" spans="1:7">
      <c r="A43" s="3">
        <v>40</v>
      </c>
      <c r="B43" s="3" t="s">
        <v>170</v>
      </c>
      <c r="C43" s="12" t="s">
        <v>42</v>
      </c>
      <c r="D43" s="4" t="s">
        <v>193</v>
      </c>
      <c r="E43" s="4">
        <v>80</v>
      </c>
      <c r="F43" s="4">
        <v>100</v>
      </c>
      <c r="G43" s="4">
        <v>120</v>
      </c>
    </row>
  </sheetData>
  <mergeCells count="2">
    <mergeCell ref="A1:B1"/>
    <mergeCell ref="D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cols>
    <col min="1" max="1" width="12.7109375" customWidth="1"/>
    <col min="4" max="4" width="8.7109375" customWidth="1"/>
    <col min="7" max="7" width="12.7109375" customWidth="1"/>
  </cols>
  <sheetData>
    <row r="1" spans="1:7">
      <c r="A1" s="1" t="s">
        <v>206</v>
      </c>
      <c r="B1" s="1"/>
      <c r="D1" s="1" t="s">
        <v>207</v>
      </c>
      <c r="E1" s="1"/>
      <c r="G1" s="1" t="s">
        <v>208</v>
      </c>
    </row>
    <row r="2" spans="1:7">
      <c r="A2" s="12" t="s">
        <v>209</v>
      </c>
      <c r="B2" s="13" t="s">
        <v>210</v>
      </c>
      <c r="D2" s="12" t="s">
        <v>236</v>
      </c>
      <c r="E2" s="14" t="s">
        <v>219</v>
      </c>
    </row>
    <row r="3" spans="1:7">
      <c r="A3" s="12" t="s">
        <v>211</v>
      </c>
      <c r="B3" s="13" t="s">
        <v>210</v>
      </c>
      <c r="D3" s="12" t="s">
        <v>237</v>
      </c>
      <c r="E3" s="14" t="s">
        <v>219</v>
      </c>
    </row>
    <row r="4" spans="1:7">
      <c r="A4" s="12" t="s">
        <v>212</v>
      </c>
      <c r="B4" s="13" t="s">
        <v>210</v>
      </c>
      <c r="D4" s="12" t="s">
        <v>238</v>
      </c>
      <c r="E4" s="14" t="s">
        <v>219</v>
      </c>
    </row>
    <row r="5" spans="1:7">
      <c r="A5" s="12" t="s">
        <v>213</v>
      </c>
      <c r="B5" s="13" t="s">
        <v>210</v>
      </c>
      <c r="D5" s="12" t="s">
        <v>239</v>
      </c>
      <c r="E5" s="14" t="s">
        <v>219</v>
      </c>
    </row>
    <row r="6" spans="1:7">
      <c r="A6" s="12" t="s">
        <v>214</v>
      </c>
      <c r="B6" s="13" t="s">
        <v>210</v>
      </c>
      <c r="D6" s="12" t="s">
        <v>240</v>
      </c>
      <c r="E6" s="14" t="s">
        <v>219</v>
      </c>
    </row>
    <row r="7" spans="1:7">
      <c r="A7" s="12" t="s">
        <v>215</v>
      </c>
      <c r="B7" s="13" t="s">
        <v>210</v>
      </c>
      <c r="D7" s="12" t="s">
        <v>241</v>
      </c>
      <c r="E7" s="13" t="s">
        <v>210</v>
      </c>
    </row>
    <row r="8" spans="1:7">
      <c r="A8" s="12" t="s">
        <v>216</v>
      </c>
      <c r="B8" s="13" t="s">
        <v>210</v>
      </c>
      <c r="D8" s="12" t="s">
        <v>242</v>
      </c>
      <c r="E8" s="13" t="s">
        <v>210</v>
      </c>
    </row>
    <row r="9" spans="1:7">
      <c r="A9" s="12" t="s">
        <v>217</v>
      </c>
      <c r="B9" s="13" t="s">
        <v>210</v>
      </c>
    </row>
    <row r="10" spans="1:7">
      <c r="A10" s="12" t="s">
        <v>218</v>
      </c>
      <c r="B10" s="14" t="s">
        <v>219</v>
      </c>
    </row>
    <row r="11" spans="1:7">
      <c r="A11" s="12" t="s">
        <v>220</v>
      </c>
      <c r="B11" s="14" t="s">
        <v>219</v>
      </c>
    </row>
    <row r="12" spans="1:7">
      <c r="A12" s="12" t="s">
        <v>221</v>
      </c>
      <c r="B12" s="14" t="s">
        <v>219</v>
      </c>
    </row>
    <row r="13" spans="1:7">
      <c r="A13" s="12" t="s">
        <v>222</v>
      </c>
      <c r="B13" s="14" t="s">
        <v>219</v>
      </c>
    </row>
    <row r="14" spans="1:7">
      <c r="A14" s="12" t="s">
        <v>223</v>
      </c>
      <c r="B14" s="13" t="s">
        <v>210</v>
      </c>
    </row>
    <row r="15" spans="1:7">
      <c r="A15" s="12" t="s">
        <v>224</v>
      </c>
      <c r="B15" s="14" t="s">
        <v>219</v>
      </c>
    </row>
    <row r="16" spans="1:7">
      <c r="A16" s="12" t="s">
        <v>225</v>
      </c>
      <c r="B16" s="14" t="s">
        <v>219</v>
      </c>
    </row>
    <row r="17" spans="1:2">
      <c r="A17" s="12" t="s">
        <v>226</v>
      </c>
      <c r="B17" s="14" t="s">
        <v>219</v>
      </c>
    </row>
    <row r="18" spans="1:2">
      <c r="A18" s="12" t="s">
        <v>227</v>
      </c>
      <c r="B18" s="14" t="s">
        <v>219</v>
      </c>
    </row>
    <row r="19" spans="1:2">
      <c r="A19" s="12" t="s">
        <v>228</v>
      </c>
      <c r="B19" s="13" t="s">
        <v>210</v>
      </c>
    </row>
    <row r="20" spans="1:2">
      <c r="A20" s="12" t="s">
        <v>229</v>
      </c>
      <c r="B20" s="13" t="s">
        <v>210</v>
      </c>
    </row>
    <row r="21" spans="1:2">
      <c r="A21" s="12" t="s">
        <v>230</v>
      </c>
      <c r="B21" s="13" t="s">
        <v>210</v>
      </c>
    </row>
    <row r="22" spans="1:2">
      <c r="A22" s="12" t="s">
        <v>231</v>
      </c>
      <c r="B22" s="13" t="s">
        <v>210</v>
      </c>
    </row>
    <row r="23" spans="1:2">
      <c r="A23" s="12" t="s">
        <v>232</v>
      </c>
      <c r="B23" s="13" t="s">
        <v>210</v>
      </c>
    </row>
    <row r="24" spans="1:2">
      <c r="A24" s="12" t="s">
        <v>233</v>
      </c>
      <c r="B24" s="13" t="s">
        <v>210</v>
      </c>
    </row>
    <row r="25" spans="1:2">
      <c r="A25" s="12" t="s">
        <v>234</v>
      </c>
      <c r="B25" s="13" t="s">
        <v>210</v>
      </c>
    </row>
    <row r="28" spans="1:2">
      <c r="A28" s="15" t="s">
        <v>235</v>
      </c>
    </row>
  </sheetData>
  <mergeCells count="2">
    <mergeCell ref="A1:B1"/>
    <mergeCell ref="D1:E1"/>
  </mergeCells>
  <conditionalFormatting sqref="B2:B25">
    <cfRule type="cellIs" dxfId="0" priority="1" operator="equal">
      <formula>"Yes"</formula>
    </cfRule>
    <cfRule type="cellIs" dxfId="1" priority="2" operator="equal">
      <formula>"No"</formula>
    </cfRule>
  </conditionalFormatting>
  <conditionalFormatting sqref="E2:E8">
    <cfRule type="cellIs" dxfId="0" priority="3" operator="equal">
      <formula>"Yes"</formula>
    </cfRule>
    <cfRule type="cellIs" dxfId="1" priority="4" operator="equal">
      <formula>"No"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E2"/>
  <sheetViews>
    <sheetView workbookViewId="0"/>
  </sheetViews>
  <sheetFormatPr defaultRowHeight="15"/>
  <cols>
    <col min="1" max="14" width="15.7109375" customWidth="1"/>
    <col min="15" max="31" width="17.7109375" customWidth="1"/>
  </cols>
  <sheetData>
    <row r="1" spans="1:31">
      <c r="A1" s="1" t="s">
        <v>0</v>
      </c>
      <c r="B1" s="1"/>
      <c r="C1" s="1"/>
      <c r="D1" s="1" t="s">
        <v>243</v>
      </c>
      <c r="E1" s="1"/>
      <c r="F1" s="1"/>
      <c r="G1" s="1"/>
      <c r="H1" s="1" t="s">
        <v>244</v>
      </c>
      <c r="I1" s="1"/>
      <c r="J1" s="1"/>
      <c r="K1" s="1"/>
      <c r="L1" s="1"/>
      <c r="M1" s="1"/>
      <c r="N1" s="1"/>
    </row>
    <row r="2" spans="1:31" ht="30" customHeight="1">
      <c r="A2" s="1" t="s">
        <v>6</v>
      </c>
      <c r="B2" s="1" t="s">
        <v>245</v>
      </c>
      <c r="C2" s="1" t="s">
        <v>246</v>
      </c>
      <c r="D2" s="1" t="s">
        <v>247</v>
      </c>
      <c r="E2" s="1" t="s">
        <v>248</v>
      </c>
      <c r="F2" s="1" t="s">
        <v>249</v>
      </c>
      <c r="G2" s="1" t="s">
        <v>250</v>
      </c>
      <c r="H2" s="1" t="s">
        <v>251</v>
      </c>
      <c r="I2" s="1" t="s">
        <v>252</v>
      </c>
      <c r="J2" s="1" t="s">
        <v>253</v>
      </c>
      <c r="K2" s="1" t="s">
        <v>254</v>
      </c>
      <c r="L2" s="1" t="s">
        <v>255</v>
      </c>
      <c r="M2" s="1" t="s">
        <v>256</v>
      </c>
      <c r="N2" s="1" t="s">
        <v>257</v>
      </c>
      <c r="O2" s="1" t="s">
        <v>258</v>
      </c>
      <c r="P2" s="1" t="s">
        <v>259</v>
      </c>
      <c r="Q2" s="1" t="s">
        <v>260</v>
      </c>
      <c r="R2" s="1" t="s">
        <v>261</v>
      </c>
      <c r="S2" s="1" t="s">
        <v>262</v>
      </c>
      <c r="T2" s="1" t="s">
        <v>262</v>
      </c>
      <c r="U2" s="1" t="s">
        <v>263</v>
      </c>
      <c r="V2" s="1" t="s">
        <v>264</v>
      </c>
      <c r="W2" s="1" t="s">
        <v>265</v>
      </c>
      <c r="X2" s="1" t="s">
        <v>266</v>
      </c>
      <c r="Y2" s="1" t="s">
        <v>267</v>
      </c>
      <c r="Z2" s="1" t="s">
        <v>268</v>
      </c>
      <c r="AA2" s="1" t="s">
        <v>269</v>
      </c>
      <c r="AB2" s="1" t="s">
        <v>270</v>
      </c>
      <c r="AC2" s="1" t="s">
        <v>271</v>
      </c>
      <c r="AD2" s="1" t="s">
        <v>272</v>
      </c>
      <c r="AE2" s="1" t="s">
        <v>273</v>
      </c>
    </row>
  </sheetData>
  <mergeCells count="3">
    <mergeCell ref="A1:C1"/>
    <mergeCell ref="D1:G1"/>
    <mergeCell ref="H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Baseline Schedule</vt:lpstr>
      <vt:lpstr>Resources</vt:lpstr>
      <vt:lpstr>Risk Analysis</vt:lpstr>
      <vt:lpstr>Agenda</vt:lpstr>
      <vt:lpstr>Tracking Overview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2026-08-31T10:30:14Z</dcterms:created>
  <dcterms:modified xsi:type="dcterms:W3CDTF">2026-08-31T10:30:14Z</dcterms:modified>
</cp:coreProperties>
</file>