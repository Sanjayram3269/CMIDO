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ys Sesion" sheetId="1" r:id="rId4"/>
    <sheet state="visible" name="VANVA (Current)" sheetId="2" r:id="rId5"/>
    <sheet state="visible" name="VANVA (Future)" sheetId="3" r:id="rId6"/>
    <sheet state="visible" name="VANVA (Future) Versi 2" sheetId="4" r:id="rId7"/>
    <sheet state="hidden" name="Rata-rata" sheetId="5" r:id="rId8"/>
    <sheet state="hidden" name="Rata-rata V1" sheetId="6" r:id="rId9"/>
    <sheet state="hidden" name="Rata-rataFuture V2" sheetId="7" r:id="rId10"/>
    <sheet state="hidden" name="Conclusion" sheetId="8" r:id="rId11"/>
    <sheet state="hidden" name="Raw data" sheetId="9" r:id="rId12"/>
    <sheet state="visible" name="Sheet6" sheetId="10" r:id="rId13"/>
    <sheet state="visible" name="Std SLA" sheetId="11" r:id="rId14"/>
  </sheets>
  <definedNames>
    <definedName name="dayspr">'Raw data'!$B$4:$AL$60</definedName>
    <definedName name="dayspo">'Raw data'!$K$4:$AL$60</definedName>
  </definedNames>
  <calcPr/>
</workbook>
</file>

<file path=xl/sharedStrings.xml><?xml version="1.0" encoding="utf-8"?>
<sst xmlns="http://schemas.openxmlformats.org/spreadsheetml/2006/main" count="6298" uniqueCount="793">
  <si>
    <t>NO</t>
  </si>
  <si>
    <t>TAHAPAN</t>
  </si>
  <si>
    <t>PROSES PENGADAAN JASA</t>
  </si>
  <si>
    <t>MEDIA</t>
  </si>
  <si>
    <t>QT</t>
  </si>
  <si>
    <t>SATUAN</t>
  </si>
  <si>
    <t>TAKE TIME (MENIT)</t>
  </si>
  <si>
    <t>HARI</t>
  </si>
  <si>
    <t>JML ORANG</t>
  </si>
  <si>
    <t>TOTAL per Tahapan (Menit)</t>
  </si>
  <si>
    <t>Satuan Hari</t>
  </si>
  <si>
    <t>Keterangan</t>
  </si>
  <si>
    <t>Menit</t>
  </si>
  <si>
    <t>Days</t>
  </si>
  <si>
    <t>Persentase setiap bagian</t>
  </si>
  <si>
    <t>Disposisi PR</t>
  </si>
  <si>
    <t>VP Menerima PR</t>
  </si>
  <si>
    <t>SIPS</t>
  </si>
  <si>
    <t>Item PR</t>
  </si>
  <si>
    <t>Paling banyak makan waktu (karena Manual)</t>
  </si>
  <si>
    <t>VP Disposisi ke AVP</t>
  </si>
  <si>
    <t>Paling lama</t>
  </si>
  <si>
    <t>AVP Disposisi ke Buyer</t>
  </si>
  <si>
    <t>Replikasi PR ke Eproc</t>
  </si>
  <si>
    <t>Eproc</t>
  </si>
  <si>
    <t>Pembuatan Proposal Tender</t>
  </si>
  <si>
    <t>Judul dan Referensi Tender</t>
  </si>
  <si>
    <t>Upload Dokumen Pengadaan</t>
  </si>
  <si>
    <t>Mengisi Detail Tender</t>
  </si>
  <si>
    <t>Mengisi Jawdal Tender</t>
  </si>
  <si>
    <t>Mengisi Persyaratan Tender</t>
  </si>
  <si>
    <t>Pembuatan DUR &amp; Approval</t>
  </si>
  <si>
    <t>Pembuatan DUR di Eproc</t>
  </si>
  <si>
    <t>Download File DUR dari Eproc</t>
  </si>
  <si>
    <t>Total</t>
  </si>
  <si>
    <t>Upload File DUR ke SIPS</t>
  </si>
  <si>
    <t>Mengisi Detail Tender dan DUR</t>
  </si>
  <si>
    <t>Approval AVP</t>
  </si>
  <si>
    <t>Eproc &amp; SIPS</t>
  </si>
  <si>
    <t>Approval VP</t>
  </si>
  <si>
    <t>Approval SVP</t>
  </si>
  <si>
    <t>Approval Direksi</t>
  </si>
  <si>
    <t>Aanwijzing</t>
  </si>
  <si>
    <t>Membuat Undangan Aanwijzing</t>
  </si>
  <si>
    <t>Pelaksanaan Aanwijzing</t>
  </si>
  <si>
    <t>Zoom</t>
  </si>
  <si>
    <t>Membuat BA Aanwijzing</t>
  </si>
  <si>
    <t>Word</t>
  </si>
  <si>
    <t>Mengirim BA Aanwijzing</t>
  </si>
  <si>
    <t>Email</t>
  </si>
  <si>
    <t>Penawaran Rekanan</t>
  </si>
  <si>
    <t>Rekanan Upload Dokumen</t>
  </si>
  <si>
    <t>Buyer Menerima Dokumen</t>
  </si>
  <si>
    <t>Buyer Download Dokumen</t>
  </si>
  <si>
    <t>Buyer Upload Dokumen</t>
  </si>
  <si>
    <t>Evaluasi Teknis</t>
  </si>
  <si>
    <t>Buyer Mengirim Dokumen ke PPBJ untuk Evaluasi Teknis</t>
  </si>
  <si>
    <t>Approval AVP Daan Jasa</t>
  </si>
  <si>
    <t>Approval VP Daan Jasa</t>
  </si>
  <si>
    <t>VP PPBJ Menerima Dokumen</t>
  </si>
  <si>
    <t>VP PPBJ Disposisi ke AVP PPBJ Jasa</t>
  </si>
  <si>
    <t>AVP PPBJ Jasa Disposisi ke Staf</t>
  </si>
  <si>
    <t>Staf PPBJ Menerima Dokumen Penawaran</t>
  </si>
  <si>
    <t>Staf PPBJ Melakukan Evaluasi dan Kirim User</t>
  </si>
  <si>
    <t>Approval AVP PPBJ Jasa</t>
  </si>
  <si>
    <t>Approval VP PPBJ</t>
  </si>
  <si>
    <t>VP User Menerima Evaluasi</t>
  </si>
  <si>
    <t>VP User Disposisi ke AVP User</t>
  </si>
  <si>
    <t>AVP User Disposisi ke Staf</t>
  </si>
  <si>
    <t>Staf Melakukan Evaluasi Teknis</t>
  </si>
  <si>
    <t>Staf Mengirimkan Hasil Evaluasi Teknis ke PPBJ</t>
  </si>
  <si>
    <t>Approval AVP User</t>
  </si>
  <si>
    <t>Approval VP User</t>
  </si>
  <si>
    <t>VP PPBJ Menerima Evaluasi</t>
  </si>
  <si>
    <t>Staf PPBJ Melakukan Penyesuaian Hasil Evaluasi dan Kirim ke Daan Jasa</t>
  </si>
  <si>
    <t>VP Daan Jasa Menerima Hasil Evaluasi</t>
  </si>
  <si>
    <t>VP Daan Jasa Disposisi ke AVP</t>
  </si>
  <si>
    <t>Negosiasi</t>
  </si>
  <si>
    <t>Buyer Melanjutkan Proses Evaluasi untuk Rekanan yang Lolos Tahap Selanjutnya</t>
  </si>
  <si>
    <t>Buyer Mengajukan Approval Negosiasi ke AVP</t>
  </si>
  <si>
    <t>Approval AVP untuk Proses Negosiasi</t>
  </si>
  <si>
    <t>Buyer Membuat Jadwal Negosiasi di Epoc</t>
  </si>
  <si>
    <t>Proses Negosiasi dengan Rekanan</t>
  </si>
  <si>
    <t>Download Hasil Nego dan Resume Bid Tabulation</t>
  </si>
  <si>
    <t>Upload di SIPS</t>
  </si>
  <si>
    <t>Approval AVP Hasil Negosiasi</t>
  </si>
  <si>
    <t>Usulan Pemenang</t>
  </si>
  <si>
    <t>Pengajuan Usulan Pemenang</t>
  </si>
  <si>
    <t>Purchase Order (PO)</t>
  </si>
  <si>
    <t>Create PO</t>
  </si>
  <si>
    <t>SAP</t>
  </si>
  <si>
    <t>Item PO</t>
  </si>
  <si>
    <t>Download File PO</t>
  </si>
  <si>
    <t>Upload File PO</t>
  </si>
  <si>
    <t>Kirim PO</t>
  </si>
  <si>
    <t>Kirim PO ke Vendor</t>
  </si>
  <si>
    <t>Total (Menit) :</t>
  </si>
  <si>
    <t>Total (Hari) :</t>
  </si>
  <si>
    <t>SINGLE PLATFORM</t>
  </si>
  <si>
    <t>VA/NVA</t>
  </si>
  <si>
    <t>KETERANGAN</t>
  </si>
  <si>
    <t>Eproc V3</t>
  </si>
  <si>
    <t>VA</t>
  </si>
  <si>
    <t>NVA</t>
  </si>
  <si>
    <t>PCE</t>
  </si>
  <si>
    <t>Buyer Mengirim Dokumen ke User untuk Evaluasi Teknis</t>
  </si>
  <si>
    <t>Staf Mengirimkan Hasil Evaluasi Teknis ke Daan Jasa</t>
  </si>
  <si>
    <t>TAKT TIME (MENIT)</t>
  </si>
  <si>
    <t>Buyer Menerima Hasil Evaluasi Teknis</t>
  </si>
  <si>
    <t>Nik</t>
  </si>
  <si>
    <t>Nama</t>
  </si>
  <si>
    <t>PR</t>
  </si>
  <si>
    <t>Item Of</t>
  </si>
  <si>
    <t>Status</t>
  </si>
  <si>
    <t>Material Number</t>
  </si>
  <si>
    <t>Short text</t>
  </si>
  <si>
    <t>Purchasing Group</t>
  </si>
  <si>
    <t>Requisition Date</t>
  </si>
  <si>
    <t>Release Date</t>
  </si>
  <si>
    <t>Tanggal Disposisi Buyer</t>
  </si>
  <si>
    <t xml:space="preserve">Disposisi PR - Proposal Tender </t>
  </si>
  <si>
    <t>Proposal Tender - DUR &amp; Approval</t>
  </si>
  <si>
    <t>DUR &amp; Approval - Aanwijzing</t>
  </si>
  <si>
    <t>Aanwijzing - Penawaran Rekanan</t>
  </si>
  <si>
    <t>Penawaran Rekanan - Evaluasi Teknis</t>
  </si>
  <si>
    <t>Evaluasi Teknis - Negosiasi</t>
  </si>
  <si>
    <t>Negosiasi - Usulan Pemenang</t>
  </si>
  <si>
    <t>Usulan Pemenang - PO</t>
  </si>
  <si>
    <t>Total SLA</t>
  </si>
  <si>
    <t>Total SLA - Realisasi days</t>
  </si>
  <si>
    <t>Tanggal PO</t>
  </si>
  <si>
    <t>Requisitioner</t>
  </si>
  <si>
    <t>PR-PO</t>
  </si>
  <si>
    <t>No PO</t>
  </si>
  <si>
    <t>Prioritas</t>
  </si>
  <si>
    <t>Outline Aggrement</t>
  </si>
  <si>
    <t>Kontrak/Non kontrak</t>
  </si>
  <si>
    <t>Standard SLA</t>
  </si>
  <si>
    <t>Realisasi SLA</t>
  </si>
  <si>
    <t>Days SLA</t>
  </si>
  <si>
    <t>Nilai SLA</t>
  </si>
  <si>
    <t>Nomor MR/SR</t>
  </si>
  <si>
    <t>Nilai MR/SR</t>
  </si>
  <si>
    <t>OE PR</t>
  </si>
  <si>
    <t>Nilai Item PO</t>
  </si>
  <si>
    <t>Persentase PO/SR atau PO/MR</t>
  </si>
  <si>
    <t>Nilai Persentase PO/SR atau PO/MR</t>
  </si>
  <si>
    <t>Deisza Tarramif Thahull</t>
  </si>
  <si>
    <t>Closed</t>
  </si>
  <si>
    <t>S37Z</t>
  </si>
  <si>
    <t>[SA2]Jasa Major Inspection generator</t>
  </si>
  <si>
    <t>B37</t>
  </si>
  <si>
    <t>25/10/2024</t>
  </si>
  <si>
    <t>23/01/2025</t>
  </si>
  <si>
    <t>13/02/2025</t>
  </si>
  <si>
    <t>TA3SA225</t>
  </si>
  <si>
    <t>13 Hari</t>
  </si>
  <si>
    <t>TA</t>
  </si>
  <si>
    <t>Non Agreement</t>
  </si>
  <si>
    <t>15 Hari</t>
  </si>
  <si>
    <t>11 Hari</t>
  </si>
  <si>
    <t>3630/E26000/SR/SIPS/2024</t>
  </si>
  <si>
    <t>Rp 963.845.578</t>
  </si>
  <si>
    <t>Rp 951.290.153</t>
  </si>
  <si>
    <t>Rp. 945.000.000</t>
  </si>
  <si>
    <t>99.34 %</t>
  </si>
  <si>
    <t>S41C</t>
  </si>
  <si>
    <t>Perbaikan Alat &amp; Mesin Bengkel Pabrik 3</t>
  </si>
  <si>
    <t>B41</t>
  </si>
  <si>
    <t>27/12/2024</t>
  </si>
  <si>
    <t>22/01/2025</t>
  </si>
  <si>
    <t>15/01/2025</t>
  </si>
  <si>
    <t>IREPC24</t>
  </si>
  <si>
    <t>9 Hari</t>
  </si>
  <si>
    <t>Normal</t>
  </si>
  <si>
    <t>40 Hari</t>
  </si>
  <si>
    <t>8 Hari</t>
  </si>
  <si>
    <t>3934/E2D000/SR/SIPS/2024</t>
  </si>
  <si>
    <t>Rp 225.155.000</t>
  </si>
  <si>
    <t>Rp. 220.500.000</t>
  </si>
  <si>
    <t>97.93 %</t>
  </si>
  <si>
    <t>S37H</t>
  </si>
  <si>
    <t>(AMMONIA IA) Jasa Perbaikan Rotor 103 JH</t>
  </si>
  <si>
    <t>18/01/2025</t>
  </si>
  <si>
    <t>IREPC25</t>
  </si>
  <si>
    <t>10 Hari</t>
  </si>
  <si>
    <t>6 Hari</t>
  </si>
  <si>
    <t>3932/E2D000/SR/SIPS/2024</t>
  </si>
  <si>
    <t>Rp 601.250.000</t>
  </si>
  <si>
    <t>Rp 583.045.775</t>
  </si>
  <si>
    <t>Rp. 531.180.000</t>
  </si>
  <si>
    <t>91.1 %</t>
  </si>
  <si>
    <t>Rebabbit Journal Bearing P21101</t>
  </si>
  <si>
    <t>16/01/2025</t>
  </si>
  <si>
    <t>7 Hari</t>
  </si>
  <si>
    <t>3938/E2D000/SR/SIPS/2024</t>
  </si>
  <si>
    <t>Rp 46.500.000</t>
  </si>
  <si>
    <t>Rp. 46.000.000</t>
  </si>
  <si>
    <t>98.92 %</t>
  </si>
  <si>
    <t>S50Z</t>
  </si>
  <si>
    <t>Monitoring Pemeliharaan ElevatorPrilling</t>
  </si>
  <si>
    <t>B50</t>
  </si>
  <si>
    <t>23/05/2025</t>
  </si>
  <si>
    <t>24/01/2025</t>
  </si>
  <si>
    <t>3939/E2D000/SR/SIPS/2024</t>
  </si>
  <si>
    <t>Rp 353.925.737</t>
  </si>
  <si>
    <t>Rp 350.000.000</t>
  </si>
  <si>
    <t>Rp. 343.000.000</t>
  </si>
  <si>
    <t>98 %</t>
  </si>
  <si>
    <t>S41Z</t>
  </si>
  <si>
    <t>Jasa Penggantian Reformax 210/330 LDP</t>
  </si>
  <si>
    <t>17/01/2025</t>
  </si>
  <si>
    <t>TA1BNH325</t>
  </si>
  <si>
    <t>Urgent</t>
  </si>
  <si>
    <t>4029/E26000/SR/SIPS/2024</t>
  </si>
  <si>
    <t>Rp 2.200.000.000</t>
  </si>
  <si>
    <t>Rp 2.150.000.000</t>
  </si>
  <si>
    <t>Rp. 2.140.000.000</t>
  </si>
  <si>
    <t>99.53 %</t>
  </si>
  <si>
    <t>S40Z</t>
  </si>
  <si>
    <t>PPM Bagging Machine 2B Jan-Jun 25</t>
  </si>
  <si>
    <t>B40</t>
  </si>
  <si>
    <t>21/04/2025</t>
  </si>
  <si>
    <t>14 Hari</t>
  </si>
  <si>
    <t>005/E2D000/SR/SIPS/2025</t>
  </si>
  <si>
    <t>Rp 523.171.523</t>
  </si>
  <si>
    <t>Rp. 516.000.000</t>
  </si>
  <si>
    <t>98.63 %</t>
  </si>
  <si>
    <t>S50J</t>
  </si>
  <si>
    <t>[SA2]Jasa Cleaning Economizer Tower 123</t>
  </si>
  <si>
    <t>2985/E26000/SR/SIPS/2024</t>
  </si>
  <si>
    <t>Rp 390.105.183</t>
  </si>
  <si>
    <t>Rp. 380.000.000</t>
  </si>
  <si>
    <t>97.41 %</t>
  </si>
  <si>
    <t>Pemasangan CCTV System Unit ZA-2</t>
  </si>
  <si>
    <t>30/01/2025</t>
  </si>
  <si>
    <t>28/02/2025</t>
  </si>
  <si>
    <t>21 Hari</t>
  </si>
  <si>
    <t>100/E2D000/SR/SIPS/2025</t>
  </si>
  <si>
    <t>Rp 217.317.000</t>
  </si>
  <si>
    <t>Rp 220.000.000</t>
  </si>
  <si>
    <t>Rp. 218.000.000</t>
  </si>
  <si>
    <t>99.09 %</t>
  </si>
  <si>
    <t>S50F</t>
  </si>
  <si>
    <t>Jasa Perbaikan Struktur Area 1A</t>
  </si>
  <si>
    <t>13/01/2025</t>
  </si>
  <si>
    <t>21/02/2025</t>
  </si>
  <si>
    <t>14/01/2025</t>
  </si>
  <si>
    <t>5 Hari</t>
  </si>
  <si>
    <t>119/E2D000/SR/SIPS/2025</t>
  </si>
  <si>
    <t>Rp 403.636.638</t>
  </si>
  <si>
    <t>Rp. 395.000.000</t>
  </si>
  <si>
    <t>97.86 %</t>
  </si>
  <si>
    <t>Perbaikan Struktur &amp; Pipa Area Pabrik 1B</t>
  </si>
  <si>
    <t>20/03/2025</t>
  </si>
  <si>
    <t>4 Hari</t>
  </si>
  <si>
    <t>163/E2D000/SR/SIPS/2025</t>
  </si>
  <si>
    <t>Rp 444.147.219</t>
  </si>
  <si>
    <t>Rp. 435.000.000</t>
  </si>
  <si>
    <t>97.94 %</t>
  </si>
  <si>
    <t>Pembongkaran Stack T4201 Pabrik CR</t>
  </si>
  <si>
    <t>20/01/2025</t>
  </si>
  <si>
    <t>153/E2D000/SR/SIPS/2025</t>
  </si>
  <si>
    <t>Rp 240.095.808</t>
  </si>
  <si>
    <t>Rp. 235.000.000</t>
  </si>
  <si>
    <t>97.88 %</t>
  </si>
  <si>
    <t>Repair Rotor 104 JA 1A</t>
  </si>
  <si>
    <t>25/02/2025</t>
  </si>
  <si>
    <t>25 Hari</t>
  </si>
  <si>
    <t>23 Hari</t>
  </si>
  <si>
    <t>075/E2D000/SR/SIPS/2025</t>
  </si>
  <si>
    <t>Rp 723.600.000</t>
  </si>
  <si>
    <t>Rp 697.121.721</t>
  </si>
  <si>
    <t>Rp. 680.000.000</t>
  </si>
  <si>
    <t>97.54 %</t>
  </si>
  <si>
    <t>Fabrikasi Perforated Plate 105D 1B</t>
  </si>
  <si>
    <t>076/E2D000/SR/SIPS/2025</t>
  </si>
  <si>
    <t>Rp 272.550.000</t>
  </si>
  <si>
    <t>Rp 271.790.975</t>
  </si>
  <si>
    <t>Rp. 268.000.000</t>
  </si>
  <si>
    <t>98.61 %</t>
  </si>
  <si>
    <t>S42Z</t>
  </si>
  <si>
    <t>Sewa Bucket Pemuatan TUKS Pelabuhan</t>
  </si>
  <si>
    <t>B42</t>
  </si>
  <si>
    <t>28/07/2025</t>
  </si>
  <si>
    <t>LPL25</t>
  </si>
  <si>
    <t>27 Hari</t>
  </si>
  <si>
    <t>164/E14000/SR/SIPS/2025</t>
  </si>
  <si>
    <t>Rp 712.500.000</t>
  </si>
  <si>
    <t>Rp. 712.250.000</t>
  </si>
  <si>
    <t>99.96 %</t>
  </si>
  <si>
    <t>S45E</t>
  </si>
  <si>
    <t>Jasa Uji Radiografi</t>
  </si>
  <si>
    <t>B45</t>
  </si>
  <si>
    <t>29/10/2026</t>
  </si>
  <si>
    <t>ISTIK25</t>
  </si>
  <si>
    <t>35 Hari</t>
  </si>
  <si>
    <t>16 Hari</t>
  </si>
  <si>
    <t>257/E21000/SR/SIPS/2025</t>
  </si>
  <si>
    <t>Rp 978.191.000</t>
  </si>
  <si>
    <t>Rp. 791.440.000</t>
  </si>
  <si>
    <t>80.91 %</t>
  </si>
  <si>
    <t>Jasa Repair 20M 04.02 Bottom Slag Boiler UBB</t>
  </si>
  <si>
    <t>262/E2D000/SR/SIPS/2025</t>
  </si>
  <si>
    <t>Rp 191.057.780</t>
  </si>
  <si>
    <t>Rp. 187.000.000</t>
  </si>
  <si>
    <t>S38B</t>
  </si>
  <si>
    <t>Jasa Injeksi Sealant Block Valve Header Steam 101 F Ammonia</t>
  </si>
  <si>
    <t>B38</t>
  </si>
  <si>
    <t>31/01/2025</t>
  </si>
  <si>
    <t>259/E2D000/SR/SIPS/2025</t>
  </si>
  <si>
    <t>Rp 46.750.000</t>
  </si>
  <si>
    <t>Rp. 45.000.000</t>
  </si>
  <si>
    <t>96.26 %</t>
  </si>
  <si>
    <t>S39Z</t>
  </si>
  <si>
    <t>Retrofit ACB TR01 &amp; ACB PM2282C</t>
  </si>
  <si>
    <t>B39</t>
  </si>
  <si>
    <t>TA1AUTL25</t>
  </si>
  <si>
    <t>12 Hari</t>
  </si>
  <si>
    <t>245/E26000/SR/SIPS/2025</t>
  </si>
  <si>
    <t>Rp 680.023.000</t>
  </si>
  <si>
    <t>Rp 629.058.638</t>
  </si>
  <si>
    <t>Rp. 544.000.000</t>
  </si>
  <si>
    <t>86.48 %</t>
  </si>
  <si>
    <t>[SA2]Jasa Repair Generator</t>
  </si>
  <si>
    <t>381/E26000/SR/SIPS/2025</t>
  </si>
  <si>
    <t>Rp 863.982.260</t>
  </si>
  <si>
    <t>Rp 857.464.230</t>
  </si>
  <si>
    <t>Rp. 839.860.000</t>
  </si>
  <si>
    <t>97.95 %</t>
  </si>
  <si>
    <t>S67Z</t>
  </si>
  <si>
    <t>Pengembangan APM</t>
  </si>
  <si>
    <t>B67</t>
  </si>
  <si>
    <t>18/02/2025</t>
  </si>
  <si>
    <t>27/02/2025</t>
  </si>
  <si>
    <t>REL25</t>
  </si>
  <si>
    <t>142/E22000/SR/SIPS/2025</t>
  </si>
  <si>
    <t>Rp 102.944.160</t>
  </si>
  <si>
    <t>Rp. 100.782.344</t>
  </si>
  <si>
    <t>97.9 %</t>
  </si>
  <si>
    <t>Jasa Penggantian Kabel Tray Phonska II &amp; III</t>
  </si>
  <si>
    <t>15/02/2025</t>
  </si>
  <si>
    <t>18/03/2025</t>
  </si>
  <si>
    <t>20/02/2025</t>
  </si>
  <si>
    <t>478/E2D000/SR/SIPS/2025</t>
  </si>
  <si>
    <t>Rp 119.896.200</t>
  </si>
  <si>
    <t>Rp. 116.500.000</t>
  </si>
  <si>
    <t>97.17 %</t>
  </si>
  <si>
    <t>Pekerjaan Perbaikan MOV 2211 A B C D</t>
  </si>
  <si>
    <t>480/E2D000/SR/SIPS/2025</t>
  </si>
  <si>
    <t>Rp 188.500.000</t>
  </si>
  <si>
    <t>Rp. 170.000.000</t>
  </si>
  <si>
    <t>90.19 %</t>
  </si>
  <si>
    <t>Lisensi PHA Pro</t>
  </si>
  <si>
    <t>17/02/2025</t>
  </si>
  <si>
    <t>27/10/2025</t>
  </si>
  <si>
    <t>22/04/2025</t>
  </si>
  <si>
    <t>15/05/2025</t>
  </si>
  <si>
    <t>TEKINFO25</t>
  </si>
  <si>
    <t>489/PBD200/SR/SIPS/2025</t>
  </si>
  <si>
    <t>Rp 257.196.000</t>
  </si>
  <si>
    <t>Rp 197.500.000</t>
  </si>
  <si>
    <t>Rp. 193.500.000</t>
  </si>
  <si>
    <t>97.97 %</t>
  </si>
  <si>
    <t>Lisensi BowTieXP</t>
  </si>
  <si>
    <t>24/07/2025</t>
  </si>
  <si>
    <t>32 Hari</t>
  </si>
  <si>
    <t>-</t>
  </si>
  <si>
    <t>Rp 0</t>
  </si>
  <si>
    <t>Rp 84.790.000</t>
  </si>
  <si>
    <t>Rp. 84.000.000</t>
  </si>
  <si>
    <t>99.07 %</t>
  </si>
  <si>
    <t>S38A</t>
  </si>
  <si>
    <t>Jasa Laminasi Pipa 34 Inchi area KM 4+200 Jalur KAI Sememi Kandangan PA Gunung Sari</t>
  </si>
  <si>
    <t>472/E2D000/SR/SIPS/2025</t>
  </si>
  <si>
    <t>Rp 392.082.000</t>
  </si>
  <si>
    <t>Rp 380.745.975</t>
  </si>
  <si>
    <t>Rp. 379.000.000</t>
  </si>
  <si>
    <t>99.54 %</t>
  </si>
  <si>
    <t>S39E</t>
  </si>
  <si>
    <t>Jasa Prefentive switchgear Phonska I</t>
  </si>
  <si>
    <t>19/02/2025</t>
  </si>
  <si>
    <t>26/02/2025</t>
  </si>
  <si>
    <t>TA2PH125</t>
  </si>
  <si>
    <t>577/E26000/SR/SIPS/2025</t>
  </si>
  <si>
    <t>Rp 117.585.900</t>
  </si>
  <si>
    <t>Rp 109.108.000</t>
  </si>
  <si>
    <t>Rp. 102.000.000</t>
  </si>
  <si>
    <t>93.49 %</t>
  </si>
  <si>
    <t>S67C</t>
  </si>
  <si>
    <t>Pngmbangan Digital Twin &amp; 3D Asset</t>
  </si>
  <si>
    <t>26/06/2025</t>
  </si>
  <si>
    <t>17/03/2025</t>
  </si>
  <si>
    <t>27/03/2025</t>
  </si>
  <si>
    <t>594/PBD200/SR/SIPS/2025</t>
  </si>
  <si>
    <t>Rp 351.021.800</t>
  </si>
  <si>
    <t>Rp. 350.000.000</t>
  </si>
  <si>
    <t>99.71 %</t>
  </si>
  <si>
    <t>Jasa PM Robot, Compressor &amp; Dehumdifier</t>
  </si>
  <si>
    <t>15/04/2025</t>
  </si>
  <si>
    <t>Gudang25</t>
  </si>
  <si>
    <t>18 Hari</t>
  </si>
  <si>
    <t>17 Hari</t>
  </si>
  <si>
    <t>618/E72000/SR/SIPS/2025</t>
  </si>
  <si>
    <t>Rp 621.780.000</t>
  </si>
  <si>
    <t>Rp 546.424.020</t>
  </si>
  <si>
    <t>Rp. 540.000.000</t>
  </si>
  <si>
    <t>98.82 %</t>
  </si>
  <si>
    <t>Jasa Fabrikasi Elbow Outlet HDPE B-03D2311 unit Asam Phospat 3A</t>
  </si>
  <si>
    <t>13/03/2025</t>
  </si>
  <si>
    <t>3 Hari</t>
  </si>
  <si>
    <t>777/E2D000/SR/SIPS/2025</t>
  </si>
  <si>
    <t>Rp 391.000.000</t>
  </si>
  <si>
    <t>Rp 376.782.788</t>
  </si>
  <si>
    <t>Rp. 365.000.000</t>
  </si>
  <si>
    <t>96.87 %</t>
  </si>
  <si>
    <t>Preventive dan Predictive Kelistrikan</t>
  </si>
  <si>
    <t>19/03/2025</t>
  </si>
  <si>
    <t>883/E2D000/SR/SIPS/2025</t>
  </si>
  <si>
    <t>Rp 284.398.161</t>
  </si>
  <si>
    <t>Rp 278.250.026</t>
  </si>
  <si>
    <t>Rp. 275.000.000</t>
  </si>
  <si>
    <t>98.83 %</t>
  </si>
  <si>
    <t>S39B</t>
  </si>
  <si>
    <t>(NPK II) Jasa Repair Trafo 18TRNPK2 2000 KVA</t>
  </si>
  <si>
    <t>13/05/2025</t>
  </si>
  <si>
    <t>853/E2D000/SR/SIPS/2025</t>
  </si>
  <si>
    <t>Rp 96.850.000</t>
  </si>
  <si>
    <t>Rp 92.213.750</t>
  </si>
  <si>
    <t>Rp. 90.000.000</t>
  </si>
  <si>
    <t>97.6 %</t>
  </si>
  <si>
    <t>Jasa Penggantian Mesin bagging Dual single 15M123A/B NPK I</t>
  </si>
  <si>
    <t>17/05/2025</t>
  </si>
  <si>
    <t>21/03/2025</t>
  </si>
  <si>
    <t>19/04/2025</t>
  </si>
  <si>
    <t>TA2NPK125</t>
  </si>
  <si>
    <t>907/E26000/SR/SIPS/2025</t>
  </si>
  <si>
    <t>Rp 960.000.000</t>
  </si>
  <si>
    <t>Rp 955.898.700</t>
  </si>
  <si>
    <t>Rp. 948.000.000</t>
  </si>
  <si>
    <t>99.17 %</t>
  </si>
  <si>
    <t>Jasa Repair Control Valve Amoniak 1A</t>
  </si>
  <si>
    <t>TA1ANH325</t>
  </si>
  <si>
    <t>22 Hari</t>
  </si>
  <si>
    <t>978/E26000/SR/SIPS/2025</t>
  </si>
  <si>
    <t>Rp 935.805.000</t>
  </si>
  <si>
    <t>Rp 998.000.000</t>
  </si>
  <si>
    <t>Rp. 998.000.000</t>
  </si>
  <si>
    <t>100 %</t>
  </si>
  <si>
    <t>JASA RECOATING PRILLING TOWER UREA IA</t>
  </si>
  <si>
    <t>14/03/2025</t>
  </si>
  <si>
    <t>26/03/2025</t>
  </si>
  <si>
    <t>TA1AUR25</t>
  </si>
  <si>
    <t>862/E26000/SR/SIPS/2025</t>
  </si>
  <si>
    <t>Rp 991.532.498</t>
  </si>
  <si>
    <t>Rp 952.863.600</t>
  </si>
  <si>
    <t>Rp. 943.000.000</t>
  </si>
  <si>
    <t>98.96 %</t>
  </si>
  <si>
    <t>S67E</t>
  </si>
  <si>
    <t>Perbaikan Mobil Operasional K3</t>
  </si>
  <si>
    <t>28/03/2025</t>
  </si>
  <si>
    <t>16/05/2025</t>
  </si>
  <si>
    <t>K325</t>
  </si>
  <si>
    <t>1040/E42000/SR/SIPS/2025</t>
  </si>
  <si>
    <t>Rp 13.350.000</t>
  </si>
  <si>
    <t>Rp 14.360.000</t>
  </si>
  <si>
    <t>Rp. 13.850.000</t>
  </si>
  <si>
    <t>96.45 %</t>
  </si>
  <si>
    <t>S38D</t>
  </si>
  <si>
    <t>[PB1] Jasa PPM Conveyor System Unit Pabrik 1 April - Juni 2025</t>
  </si>
  <si>
    <t>26/05/2025</t>
  </si>
  <si>
    <t>30/04/2025</t>
  </si>
  <si>
    <t>1045/E2D000/SR/SIPS/2025</t>
  </si>
  <si>
    <t>Rp 612.866.494</t>
  </si>
  <si>
    <t>Rp 600.000.000</t>
  </si>
  <si>
    <t>Rp. 599.000.000</t>
  </si>
  <si>
    <t>99.83 %</t>
  </si>
  <si>
    <t>Jasa PPM Rotating Equipment &amp; Mechanical Equipment Periode April - Juni 2025</t>
  </si>
  <si>
    <t>1046/E2D000/SR/SIPS/2025</t>
  </si>
  <si>
    <t>Rp 263.825.425</t>
  </si>
  <si>
    <t>Rp 260.491.126</t>
  </si>
  <si>
    <t>Rp. 255.000.000</t>
  </si>
  <si>
    <t>97.89 %</t>
  </si>
  <si>
    <t>Jasa Kalibrasi Mesin Balancing Abro H64 Bengkel Pabrik 3</t>
  </si>
  <si>
    <t>17/04/2025</t>
  </si>
  <si>
    <t>19/05/2025</t>
  </si>
  <si>
    <t>28/05/2025</t>
  </si>
  <si>
    <t>1226/E2D000/SR/SIPS/2025</t>
  </si>
  <si>
    <t>Rp 75.500.000</t>
  </si>
  <si>
    <t>Rp. 72.500.000</t>
  </si>
  <si>
    <t>96.03 %</t>
  </si>
  <si>
    <t>Pasang Soot Blower B-02.01 A Area Econom</t>
  </si>
  <si>
    <t>29/04/2025</t>
  </si>
  <si>
    <t>22/05/2025</t>
  </si>
  <si>
    <t>INVCANHAR25</t>
  </si>
  <si>
    <t>Investasi</t>
  </si>
  <si>
    <t>1084/E36000/SR/SIPS/2025</t>
  </si>
  <si>
    <t>Rp 990.000.000</t>
  </si>
  <si>
    <t>Rp 957.000.000</t>
  </si>
  <si>
    <t>Rp. 872.000.000</t>
  </si>
  <si>
    <t>91.12 %</t>
  </si>
  <si>
    <t>Pengadaan Lisensi Software SAP2000</t>
  </si>
  <si>
    <t>28/04/2025</t>
  </si>
  <si>
    <t>TEKNINFO25</t>
  </si>
  <si>
    <t>29 Hari</t>
  </si>
  <si>
    <t>1266/PBD200/SR/SIPS/2025</t>
  </si>
  <si>
    <t>Rp 294.893.424</t>
  </si>
  <si>
    <t>Rp 390.000.000</t>
  </si>
  <si>
    <t>Rp. 385.000.000</t>
  </si>
  <si>
    <t>98.72 %</t>
  </si>
  <si>
    <t>Jasa Disaster Recovery Center</t>
  </si>
  <si>
    <t>14/05/2025</t>
  </si>
  <si>
    <t>1283/PBD200/SR/SIPS/2025</t>
  </si>
  <si>
    <t>Rp 415.800.000</t>
  </si>
  <si>
    <t>Rp. 400.000.000</t>
  </si>
  <si>
    <t>96.2 %</t>
  </si>
  <si>
    <t>Jasa Penggantian Air Preheater 101-BL</t>
  </si>
  <si>
    <t>14/04/2025</t>
  </si>
  <si>
    <t>1230/E26000/SR/SIPS/2025</t>
  </si>
  <si>
    <t>Rp 2.500.000.000</t>
  </si>
  <si>
    <t>Rp 2.496.587.479</t>
  </si>
  <si>
    <t>Rp. 2.345.000.000</t>
  </si>
  <si>
    <t>93.93 %</t>
  </si>
  <si>
    <t>S50D</t>
  </si>
  <si>
    <t>Casting Spacer Coupling Agitator 30R2302B Unit PA 2</t>
  </si>
  <si>
    <t>21/05/2025</t>
  </si>
  <si>
    <t>1419/E2D000/SR/SIPS/2025</t>
  </si>
  <si>
    <t>Rp 88.000.000</t>
  </si>
  <si>
    <t>Rp. 75.000.000</t>
  </si>
  <si>
    <t>85.23 %</t>
  </si>
  <si>
    <t>Jasa Mechanical Cleaning PHE 109C</t>
  </si>
  <si>
    <t>20 Hari</t>
  </si>
  <si>
    <t>1495/E26000/SR/SIPS/2025</t>
  </si>
  <si>
    <t>Rp 956.990.552</t>
  </si>
  <si>
    <t>Rp 945.955.144</t>
  </si>
  <si>
    <t>Rp. 940.000.000</t>
  </si>
  <si>
    <t>99.37 %</t>
  </si>
  <si>
    <t>[AlF3] Jasa Sewa Alat Bantu TA AlF3</t>
  </si>
  <si>
    <t>24/05/2025</t>
  </si>
  <si>
    <t>TA3AlF325</t>
  </si>
  <si>
    <t>28 Hari</t>
  </si>
  <si>
    <t>1566/E26000/SR/SIPS/2025</t>
  </si>
  <si>
    <t>Rp 668.790.000</t>
  </si>
  <si>
    <t>Rp. 650.000.000</t>
  </si>
  <si>
    <t>97.19 %</t>
  </si>
  <si>
    <t>PM &amp; Kalibrasi AAS Thermo Scientific</t>
  </si>
  <si>
    <t>19/06/2025</t>
  </si>
  <si>
    <t>LAB25</t>
  </si>
  <si>
    <t>1414/E44000/SR/SIPS/2025</t>
  </si>
  <si>
    <t>Rp 19.000.000</t>
  </si>
  <si>
    <t>Rp 16.600.000</t>
  </si>
  <si>
    <t>Rp. 15.300.000</t>
  </si>
  <si>
    <t>92.17 %</t>
  </si>
  <si>
    <t>Jasa Preventive Maintenance Cubicle SS2</t>
  </si>
  <si>
    <t>13/06/2025</t>
  </si>
  <si>
    <t>1588/E26000/SR/SIPS/2025</t>
  </si>
  <si>
    <t>Rp 121.968.000</t>
  </si>
  <si>
    <t>Rp 121.101.300</t>
  </si>
  <si>
    <t>Rp. 113.000.000</t>
  </si>
  <si>
    <t>93.31 %</t>
  </si>
  <si>
    <t>Jasa Spot PM Bagging Machine</t>
  </si>
  <si>
    <t>30 Hari</t>
  </si>
  <si>
    <t>1625/E72000/SR/SIPS/2025</t>
  </si>
  <si>
    <t>Rp 808.122.510</t>
  </si>
  <si>
    <t>Rp 787.202.753</t>
  </si>
  <si>
    <t>Rp. 649.000.000</t>
  </si>
  <si>
    <t>82.44 %</t>
  </si>
  <si>
    <t>Jasa Injeksi Sealant BV Sampling Out 141-D to 102-C - Ammonia IB</t>
  </si>
  <si>
    <t>1636/E2D000/SR/SIPS/2025</t>
  </si>
  <si>
    <t>Rp 405.330.000</t>
  </si>
  <si>
    <t>Rp 404.755.600</t>
  </si>
  <si>
    <t>97.59 %</t>
  </si>
  <si>
    <t>S39D</t>
  </si>
  <si>
    <t>Penggantian Softstarter Pompa 08-MP2103A Submersible raw water P.A Babat</t>
  </si>
  <si>
    <t>27/05/2025</t>
  </si>
  <si>
    <t>1338/E2D000/SR/SIPS/2025</t>
  </si>
  <si>
    <t>Rp 123.500.000</t>
  </si>
  <si>
    <t>Rp 104.687.600</t>
  </si>
  <si>
    <t>Rp. 104.000.000</t>
  </si>
  <si>
    <t>S44Z</t>
  </si>
  <si>
    <t>Mock Up Test Piece Phased Array</t>
  </si>
  <si>
    <t>B44</t>
  </si>
  <si>
    <t>20/06/2025</t>
  </si>
  <si>
    <t>1713/E21000/SR/SIPS/2025</t>
  </si>
  <si>
    <t>Rp 61.500.000</t>
  </si>
  <si>
    <t>Rp. 60.000.000</t>
  </si>
  <si>
    <t>97.56 %</t>
  </si>
  <si>
    <t>Casting Part Pompa General Pabrik 3A</t>
  </si>
  <si>
    <t>16/06/2025</t>
  </si>
  <si>
    <t>1627/E2D000/SR/SIPS/2025</t>
  </si>
  <si>
    <t>Rp 516.867.232</t>
  </si>
  <si>
    <t>Rp 483.457.821</t>
  </si>
  <si>
    <t>Rp. 399.000.000</t>
  </si>
  <si>
    <t>82.53 %</t>
  </si>
  <si>
    <t>PM &amp; Kalibrasi Spectoscopy Agilent</t>
  </si>
  <si>
    <t>26/09/2025</t>
  </si>
  <si>
    <t>1751/E44000/SR/SIPS/2025</t>
  </si>
  <si>
    <t>Rp 95.000.000</t>
  </si>
  <si>
    <t>Rp 90.222.972</t>
  </si>
  <si>
    <t>Rp. 70.650.000</t>
  </si>
  <si>
    <t>78.31 %</t>
  </si>
  <si>
    <t>S50</t>
  </si>
  <si>
    <t>Jasa Tambah Tie in Line N2 143LA</t>
  </si>
  <si>
    <t>23/06/2025</t>
  </si>
  <si>
    <t>1 Hari</t>
  </si>
  <si>
    <t>Agreement</t>
  </si>
  <si>
    <t>1828/E26000/SR/SIPS/2025</t>
  </si>
  <si>
    <t>Rp 513.793.300</t>
  </si>
  <si>
    <t>Rp. 513.793.300</t>
  </si>
  <si>
    <t>Jasa Casting Impeller 30P2501</t>
  </si>
  <si>
    <t>16/07/2025</t>
  </si>
  <si>
    <t>1799/E2D000/SR/SIPS/2025</t>
  </si>
  <si>
    <t>Rp 152.268.648</t>
  </si>
  <si>
    <t>Rp 138.500.000</t>
  </si>
  <si>
    <t>Rp. 121.000.000</t>
  </si>
  <si>
    <t>87.36 %</t>
  </si>
  <si>
    <t>tahapan dalam evaluasi perlu di persimple</t>
  </si>
  <si>
    <t xml:space="preserve">realisasi </t>
  </si>
  <si>
    <t xml:space="preserve">Standar </t>
  </si>
  <si>
    <t>%</t>
  </si>
  <si>
    <t>Rata-Rata</t>
  </si>
  <si>
    <t>Rata-rata V1</t>
  </si>
  <si>
    <t>Rata-RAta V2</t>
  </si>
  <si>
    <t>Export Table PR</t>
  </si>
  <si>
    <t>Nomor SR</t>
  </si>
  <si>
    <t>Nomor PR</t>
  </si>
  <si>
    <t>Prioritas PR</t>
  </si>
  <si>
    <t>Purchase Group</t>
  </si>
  <si>
    <t>Short Text</t>
  </si>
  <si>
    <t>Barang/Jasa</t>
  </si>
  <si>
    <t>Metode Tender</t>
  </si>
  <si>
    <t>Nomor PO</t>
  </si>
  <si>
    <t>Cataloging MR</t>
  </si>
  <si>
    <t>PR - full release</t>
  </si>
  <si>
    <t>PR - PO</t>
  </si>
  <si>
    <t>Disposisi PR ke Tender</t>
  </si>
  <si>
    <t>Penawaran ke Eval. Administrasi</t>
  </si>
  <si>
    <t>Eval IET Teknis 1</t>
  </si>
  <si>
    <t>Eval IET Teknis 2</t>
  </si>
  <si>
    <t>Eval IET Teknis 3</t>
  </si>
  <si>
    <t>Eval User</t>
  </si>
  <si>
    <t>Eval OE 1</t>
  </si>
  <si>
    <t>Eval OE 2</t>
  </si>
  <si>
    <t>Eval OE 3</t>
  </si>
  <si>
    <t>Eval OE Jasa 1</t>
  </si>
  <si>
    <t>Eval OE Jasa 2</t>
  </si>
  <si>
    <t>Eval OE Jasa 3</t>
  </si>
  <si>
    <t>Eval. final Hingga PO</t>
  </si>
  <si>
    <t>PIC Buyer (Daan)</t>
  </si>
  <si>
    <t>PO - GR 103/101 (DN)</t>
  </si>
  <si>
    <t>PO - GR 103/101 (LN)</t>
  </si>
  <si>
    <t>Total Leadtime Internal Kom Teknik</t>
  </si>
  <si>
    <t>Bulan Internal Komp Teknik</t>
  </si>
  <si>
    <t>Total Hari Kerja All (DN)</t>
  </si>
  <si>
    <t>Total Bulan All (DN)</t>
  </si>
  <si>
    <t>Total Hari Kerja All (LN)</t>
  </si>
  <si>
    <t>Total Bulan All (LN)</t>
  </si>
  <si>
    <t>Jasa</t>
  </si>
  <si>
    <t>eproc</t>
  </si>
  <si>
    <t>24-07-2025</t>
  </si>
  <si>
    <t>2 Hari</t>
  </si>
  <si>
    <t>Deisza Tarramif Thahull (2166575)</t>
  </si>
  <si>
    <t>1.29 bulan</t>
  </si>
  <si>
    <t>Dibatalkan</t>
  </si>
  <si>
    <t>Lisensi Aermod</t>
  </si>
  <si>
    <t>0.48 bulan</t>
  </si>
  <si>
    <t>39 Hari</t>
  </si>
  <si>
    <t>0.62 bulan</t>
  </si>
  <si>
    <t>52 Hari</t>
  </si>
  <si>
    <t>25-02-2025</t>
  </si>
  <si>
    <t>0 Hari</t>
  </si>
  <si>
    <t>1.1 bulan</t>
  </si>
  <si>
    <t>28-02-2025</t>
  </si>
  <si>
    <t>55 Hari</t>
  </si>
  <si>
    <t>0.95 bulan</t>
  </si>
  <si>
    <t>75 Hari</t>
  </si>
  <si>
    <t>16-05-2025</t>
  </si>
  <si>
    <t>24 Hari</t>
  </si>
  <si>
    <t>1.14 bulan</t>
  </si>
  <si>
    <t>30-04-2025</t>
  </si>
  <si>
    <t>0.43 bulan</t>
  </si>
  <si>
    <t>22-04-2025</t>
  </si>
  <si>
    <t>63 Hari</t>
  </si>
  <si>
    <t>0.38 bulan</t>
  </si>
  <si>
    <t>71 Hari</t>
  </si>
  <si>
    <t>22-05-2025</t>
  </si>
  <si>
    <t>0.76 bulan</t>
  </si>
  <si>
    <t>23-01-2025</t>
  </si>
  <si>
    <t>34 Hari</t>
  </si>
  <si>
    <t>0.24 bulan</t>
  </si>
  <si>
    <t>28-05-2025</t>
  </si>
  <si>
    <t>41 Hari</t>
  </si>
  <si>
    <t>51 Hari</t>
  </si>
  <si>
    <t>44 Hari</t>
  </si>
  <si>
    <t>0.57 bulan</t>
  </si>
  <si>
    <t>56 Hari</t>
  </si>
  <si>
    <t>26 Hari</t>
  </si>
  <si>
    <t>1.24 bulan</t>
  </si>
  <si>
    <t>53 Hari</t>
  </si>
  <si>
    <t>14-05-2025</t>
  </si>
  <si>
    <t>79 Hari</t>
  </si>
  <si>
    <t>19-06-2025</t>
  </si>
  <si>
    <t>0.67 bulan</t>
  </si>
  <si>
    <t>1 bulan</t>
  </si>
  <si>
    <t>31 Hari</t>
  </si>
  <si>
    <t>21-05-2025</t>
  </si>
  <si>
    <t>27-02-2025</t>
  </si>
  <si>
    <t>0.71 bulan</t>
  </si>
  <si>
    <t>49 Hari</t>
  </si>
  <si>
    <t>30-01-2025</t>
  </si>
  <si>
    <t>1.38 bulan</t>
  </si>
  <si>
    <t>13-06-2025</t>
  </si>
  <si>
    <t>38 Hari</t>
  </si>
  <si>
    <t>1.48 bulan</t>
  </si>
  <si>
    <t>19 Hari</t>
  </si>
  <si>
    <t>0.9 bulan</t>
  </si>
  <si>
    <t>0.19 bulan</t>
  </si>
  <si>
    <t>33 Hari</t>
  </si>
  <si>
    <t>0.52 bulan</t>
  </si>
  <si>
    <t>1.19 bulan</t>
  </si>
  <si>
    <t>20-06-2025</t>
  </si>
  <si>
    <t>16-07-2025</t>
  </si>
  <si>
    <t>23-06-2025</t>
  </si>
  <si>
    <t>0.1 bulan</t>
  </si>
  <si>
    <t>20-03-2025</t>
  </si>
  <si>
    <t>36 Hari</t>
  </si>
  <si>
    <t>1.71 bulan</t>
  </si>
  <si>
    <t>13-02-2025</t>
  </si>
  <si>
    <t>0.33 bulan</t>
  </si>
  <si>
    <t>18-01-2025</t>
  </si>
  <si>
    <t>15-01-2025</t>
  </si>
  <si>
    <t>85 Hari</t>
  </si>
  <si>
    <t>95 Hari</t>
  </si>
  <si>
    <t>16-01-2025</t>
  </si>
  <si>
    <t>42 Hari</t>
  </si>
  <si>
    <t>24-01-2025</t>
  </si>
  <si>
    <t>86 Hari</t>
  </si>
  <si>
    <t>sap</t>
  </si>
  <si>
    <t>17-01-2025</t>
  </si>
  <si>
    <t>47 Hari</t>
  </si>
  <si>
    <t>43 Hari</t>
  </si>
  <si>
    <t>104 Hari</t>
  </si>
  <si>
    <t>114 Hari</t>
  </si>
  <si>
    <t>57 Hari</t>
  </si>
  <si>
    <t>70 Hari</t>
  </si>
  <si>
    <t>15-05-2025</t>
  </si>
  <si>
    <t>110 Hari</t>
  </si>
  <si>
    <t>118 Hari</t>
  </si>
  <si>
    <t>27-03-2025</t>
  </si>
  <si>
    <t>0.86 bulan</t>
  </si>
  <si>
    <t>15-04-2025</t>
  </si>
  <si>
    <t>0.81 bulan</t>
  </si>
  <si>
    <t>61 Hari</t>
  </si>
  <si>
    <t>13-05-2025</t>
  </si>
  <si>
    <t>80 Hari</t>
  </si>
  <si>
    <t>19-04-2025</t>
  </si>
  <si>
    <t>Pertanyaan</t>
  </si>
  <si>
    <t>Hasil Analisis</t>
  </si>
  <si>
    <t>What (Apa)</t>
  </si>
  <si>
    <t>Apa masalah utama yang dihadapi?</t>
  </si>
  <si>
    <t>Proses pengadaan jasa mengalami lead time yang panjang dengan variasi tinggi. Kendala utama meliputi pekerjaan berulang, proses persetujuan berlapis, serta pengunggahan dokumen berulang di berbagai sistem.</t>
  </si>
  <si>
    <t>Why (Mengapa)</t>
  </si>
  <si>
    <t>Mengapa masalah ini terjadi?</t>
  </si>
  <si>
    <t>- Proses: Alur pengadaan melibatkan banyak sistem (SIPS, e-Proc, SAP) yang belum terintegrasi → menimbulkan kebutuhan unggah dokumen berulang dan approval manual berlapis (AVP–Direksi). - Teknologi: Belum ada integrasi end-to-end, minim otomatisasi (notifikasi, auto-record). - Manusia: Buyer harus input data PR/vendor berulang di sistem berbeda, approval sangat bergantung pada ketersediaan manajemen puncak. - Dokumen: Pengulangan unggah/unduh dokumen penting (PR, DUR, BA negosiasi).</t>
  </si>
  <si>
    <t>Who (Siapa)</t>
  </si>
  <si>
    <t>Siapa yang terlibat/terdampak?</t>
  </si>
  <si>
    <t>- Buyer Departemen Pengadaan Jasa: terbebani input data berulang. - Manajemen (AVP, VP, SVP, Direksi): bottleneck dalam proses persetujuan. - Departemen PPBJ &amp; User: terlibat dalam koordinasi teknis dan evaluasi.</t>
  </si>
  <si>
    <t>Where (Di mana)</t>
  </si>
  <si>
    <t>Di mana masalah terjadi?</t>
  </si>
  <si>
    <t>Pada seluruh tahapan pengadaan jasa di PT XYZ, terutama ketika data berpindah antar platform (SIPS, e-Proc, SAP) serta saat persetujuan di level manajemen puncak.</t>
  </si>
  <si>
    <t>When (Kapan)</t>
  </si>
  <si>
    <t>Kapan masalah muncul?</t>
  </si>
  <si>
    <t>Secara konsisten pada setiap periode pengadaan, khususnya pada tahapan yang membutuhkan persetujuan tingkat atas dan saat terjadi perpindahan dokumen antar sistem.</t>
  </si>
  <si>
    <t>How (Bagaimana)</t>
  </si>
  <si>
    <t>Bagaimana solusi yang diusulkan?</t>
  </si>
  <si>
    <t>- Penyederhanaan proses: memangkas jalur approval evaluasi teknis → langsung ke PIC user untuk mengurangi bottleneck. - Integrasi sistem: penerapan platform tunggal (misalnya e-Proc V3) untuk menggabungkan fungsi SIPS, e-Proc, dan SAP → menghilangkan unggah dokumen berulang. - Delegasi kewenangan: memberikan otoritas approval teknis kepada PIC user → tidak bergantung sepenuhnya pada jadwal manajemen puncak.</t>
  </si>
  <si>
    <t>DUR</t>
  </si>
  <si>
    <t>Klasifikasi</t>
  </si>
  <si>
    <t>OK/SP</t>
  </si>
  <si>
    <t>SR Verified s/d PR Delivered</t>
  </si>
  <si>
    <t>PR Delivered s/d DUR Approved</t>
  </si>
  <si>
    <t>DUR Approved s/d BA Aanwijzing</t>
  </si>
  <si>
    <t>BA Aanwijzing s/d hasil klasifikasi teknis</t>
  </si>
  <si>
    <t>klasifikasi &amp; evaluasi TKDN</t>
  </si>
  <si>
    <t>Hasil klasifikasi Teknis s/d BA Negosiasi</t>
  </si>
  <si>
    <t>BA Negosiasi s/d FM-30-0122</t>
  </si>
  <si>
    <t>FM-30-0122 s/d OK Approved / Outline Agreement</t>
  </si>
  <si>
    <t>Total SLA Dept. PPBJ</t>
  </si>
  <si>
    <t>Total SLA Dept Pengadaan Jasa</t>
  </si>
  <si>
    <t>SLA Total</t>
  </si>
  <si>
    <t>Kontrak</t>
  </si>
  <si>
    <t>Non Kontrak</t>
  </si>
  <si>
    <t>Emergency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</si>
</sst>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0000000000000000000000"/>
    <numFmt numFmtId="165" formatCode="mm-dd-yyyy"/>
    <numFmt numFmtId="166" formatCode="mm/dd/yyyy"/>
    <numFmt numFmtId="167" formatCode="0.000"/>
  </numFmts>
  <fonts count="9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b/>
      <sz val="12.0"/>
      <color rgb="FF000000"/>
      <name val="&quot;Times New Roman&quot;"/>
    </font>
    <font/>
    <font>
      <sz val="12.0"/>
      <color rgb="FF000000"/>
      <name val="&quot;Times New Roman&quot;"/>
    </font>
    <font>
      <b/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" xfId="0" applyFont="1" applyNumberFormat="1"/>
    <xf borderId="0" fillId="2" fontId="1" numFmtId="0" xfId="0" applyAlignment="1" applyFill="1" applyFont="1">
      <alignment readingOrder="0"/>
    </xf>
    <xf borderId="1" fillId="0" fontId="1" numFmtId="0" xfId="0" applyBorder="1" applyFont="1"/>
    <xf borderId="1" fillId="0" fontId="1" numFmtId="2" xfId="0" applyBorder="1" applyFont="1" applyNumberFormat="1"/>
    <xf borderId="0" fillId="0" fontId="1" numFmtId="10" xfId="0" applyFont="1" applyNumberFormat="1"/>
    <xf borderId="0" fillId="3" fontId="1" numFmtId="0" xfId="0" applyAlignment="1" applyFill="1" applyFont="1">
      <alignment readingOrder="0"/>
    </xf>
    <xf borderId="1" fillId="0" fontId="1" numFmtId="0" xfId="0" applyAlignment="1" applyBorder="1" applyFont="1">
      <alignment readingOrder="0"/>
    </xf>
    <xf borderId="0" fillId="3" fontId="1" numFmtId="0" xfId="0" applyFont="1"/>
    <xf borderId="0" fillId="2" fontId="1" numFmtId="0" xfId="0" applyFont="1"/>
    <xf borderId="0" fillId="0" fontId="1" numFmtId="0" xfId="0" applyAlignment="1" applyFont="1">
      <alignment horizontal="right" readingOrder="0"/>
    </xf>
    <xf borderId="0" fillId="4" fontId="1" numFmtId="0" xfId="0" applyFill="1" applyFont="1"/>
    <xf borderId="0" fillId="0" fontId="1" numFmtId="164" xfId="0" applyFont="1" applyNumberFormat="1"/>
    <xf borderId="0" fillId="5" fontId="1" numFmtId="0" xfId="0" applyFill="1" applyFont="1"/>
    <xf borderId="0" fillId="6" fontId="1" numFmtId="0" xfId="0" applyFill="1" applyFont="1"/>
    <xf borderId="0" fillId="6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4" fontId="2" numFmtId="0" xfId="0" applyAlignment="1" applyFont="1">
      <alignment readingOrder="0" shrinkToFit="0" vertical="bottom" wrapText="0"/>
    </xf>
    <xf borderId="0" fillId="5" fontId="2" numFmtId="0" xfId="0" applyAlignment="1" applyFont="1">
      <alignment readingOrder="0" shrinkToFit="0" vertical="bottom" wrapText="0"/>
    </xf>
    <xf borderId="0" fillId="7" fontId="2" numFmtId="0" xfId="0" applyAlignment="1" applyFill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3" numFmtId="4" xfId="0" applyAlignment="1" applyFont="1" applyNumberForma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165" xfId="0" applyAlignment="1" applyFont="1" applyNumberFormat="1">
      <alignment horizontal="right" readingOrder="0" shrinkToFit="0" vertical="bottom" wrapText="0"/>
    </xf>
    <xf borderId="0" fillId="0" fontId="3" numFmtId="166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2" fontId="4" numFmtId="0" xfId="0" applyAlignment="1" applyFont="1">
      <alignment horizontal="right" readingOrder="0" shrinkToFit="0" vertical="bottom" wrapText="0"/>
    </xf>
    <xf borderId="0" fillId="8" fontId="1" numFmtId="0" xfId="0" applyAlignment="1" applyFill="1" applyFont="1">
      <alignment readingOrder="0"/>
    </xf>
    <xf borderId="0" fillId="3" fontId="3" numFmtId="0" xfId="0" applyAlignment="1" applyFont="1">
      <alignment horizontal="right" readingOrder="0" shrinkToFit="0" vertical="bottom" wrapText="0"/>
    </xf>
    <xf borderId="0" fillId="3" fontId="3" numFmtId="0" xfId="0" applyAlignment="1" applyFont="1">
      <alignment readingOrder="0" shrinkToFit="0" vertical="bottom" wrapText="0"/>
    </xf>
    <xf borderId="0" fillId="3" fontId="4" numFmtId="0" xfId="0" applyAlignment="1" applyFont="1">
      <alignment horizontal="right" readingOrder="0" shrinkToFit="0" vertical="bottom" wrapText="0"/>
    </xf>
    <xf borderId="0" fillId="3" fontId="4" numFmtId="165" xfId="0" applyAlignment="1" applyFont="1" applyNumberFormat="1">
      <alignment horizontal="right" readingOrder="0" shrinkToFit="0" vertical="bottom" wrapText="0"/>
    </xf>
    <xf borderId="0" fillId="3" fontId="3" numFmtId="0" xfId="0" applyAlignment="1" applyFont="1">
      <alignment shrinkToFit="0" vertical="bottom" wrapText="0"/>
    </xf>
    <xf borderId="1" fillId="0" fontId="1" numFmtId="167" xfId="0" applyBorder="1" applyFont="1" applyNumberFormat="1"/>
    <xf borderId="1" fillId="0" fontId="1" numFmtId="10" xfId="0" applyBorder="1" applyFont="1" applyNumberFormat="1"/>
    <xf borderId="1" fillId="5" fontId="1" numFmtId="10" xfId="0" applyBorder="1" applyFont="1" applyNumberFormat="1"/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165" xfId="0" applyAlignment="1" applyFont="1" applyNumberFormat="1">
      <alignment readingOrder="0" shrinkToFit="0" vertical="bottom" wrapText="0"/>
    </xf>
    <xf borderId="2" fillId="0" fontId="5" numFmtId="0" xfId="0" applyAlignment="1" applyBorder="1" applyFont="1">
      <alignment horizontal="center" readingOrder="0"/>
    </xf>
    <xf borderId="3" fillId="0" fontId="6" numFmtId="0" xfId="0" applyBorder="1" applyFont="1"/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/>
    </xf>
    <xf borderId="1" fillId="0" fontId="7" numFmtId="0" xfId="0" applyAlignment="1" applyBorder="1" applyFont="1">
      <alignment readingOrder="0"/>
    </xf>
    <xf borderId="0" fillId="0" fontId="8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8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26.29"/>
    <col customWidth="1" min="3" max="3" width="69.0"/>
    <col customWidth="1" min="4" max="4" width="11.86"/>
    <col customWidth="1" min="5" max="5" width="5.57"/>
    <col customWidth="1" min="6" max="6" width="8.71"/>
    <col customWidth="1" min="7" max="7" width="19.86"/>
    <col customWidth="1" hidden="1" min="8" max="8" width="12.86"/>
    <col customWidth="1" min="9" max="9" width="12.86"/>
    <col customWidth="1" min="10" max="10" width="24.29"/>
    <col customWidth="1" min="11" max="11" width="11.0"/>
    <col customWidth="1" min="12" max="12" width="39.0"/>
    <col customWidth="1" min="13" max="15" width="8.71"/>
    <col customWidth="1" min="16" max="16" width="29.86"/>
    <col customWidth="1" min="17" max="27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/>
      <c r="M1" s="3"/>
      <c r="N1" s="3"/>
      <c r="O1" s="3"/>
      <c r="P1" s="4" t="s">
        <v>11</v>
      </c>
      <c r="Q1" s="4" t="s">
        <v>12</v>
      </c>
      <c r="R1" s="4" t="s">
        <v>13</v>
      </c>
      <c r="S1" s="1" t="s">
        <v>14</v>
      </c>
      <c r="T1" s="3"/>
      <c r="U1" s="3"/>
      <c r="V1" s="3"/>
      <c r="W1" s="3"/>
      <c r="X1" s="3"/>
      <c r="Y1" s="3"/>
      <c r="Z1" s="3"/>
      <c r="AA1" s="3"/>
    </row>
    <row r="2" ht="14.25" customHeight="1">
      <c r="A2" s="5">
        <v>1.0</v>
      </c>
      <c r="B2" s="5" t="s">
        <v>15</v>
      </c>
      <c r="C2" s="6" t="s">
        <v>16</v>
      </c>
      <c r="D2" s="5" t="s">
        <v>17</v>
      </c>
      <c r="E2" s="6">
        <v>56.0</v>
      </c>
      <c r="F2" s="6" t="s">
        <v>18</v>
      </c>
      <c r="G2" s="6">
        <v>10.0</v>
      </c>
      <c r="H2" s="7">
        <f t="shared" ref="H2:H75" si="2">G2/1440</f>
        <v>0.006944444444</v>
      </c>
      <c r="I2" s="6">
        <v>1.0</v>
      </c>
      <c r="J2" s="5">
        <f>sum(G2:G5)</f>
        <v>100</v>
      </c>
      <c r="K2" s="8">
        <f>J2/(60*24)</f>
        <v>0.06944444444</v>
      </c>
      <c r="L2" s="9" t="s">
        <v>19</v>
      </c>
      <c r="P2" s="10" t="str">
        <f>B2</f>
        <v>Disposisi PR</v>
      </c>
      <c r="Q2" s="10">
        <f t="shared" ref="Q2:R2" si="1">J2</f>
        <v>100</v>
      </c>
      <c r="R2" s="11">
        <f t="shared" si="1"/>
        <v>0.06944444444</v>
      </c>
      <c r="S2" s="12">
        <f t="shared" ref="S2:S10" si="4">R2/$R$12</f>
        <v>0.00201511335</v>
      </c>
    </row>
    <row r="3" ht="14.25" customHeight="1">
      <c r="A3" s="6">
        <v>2.0</v>
      </c>
      <c r="C3" s="6" t="s">
        <v>20</v>
      </c>
      <c r="D3" s="6" t="s">
        <v>17</v>
      </c>
      <c r="E3" s="6">
        <v>56.0</v>
      </c>
      <c r="F3" s="6" t="s">
        <v>18</v>
      </c>
      <c r="G3" s="6">
        <v>20.0</v>
      </c>
      <c r="H3" s="7">
        <f t="shared" si="2"/>
        <v>0.01388888889</v>
      </c>
      <c r="I3" s="6">
        <v>1.0</v>
      </c>
      <c r="K3" s="8"/>
      <c r="L3" s="13" t="s">
        <v>21</v>
      </c>
      <c r="P3" s="10" t="str">
        <f>B6</f>
        <v>Pembuatan Proposal Tender</v>
      </c>
      <c r="Q3" s="10">
        <f t="shared" ref="Q3:R3" si="3">J6</f>
        <v>40</v>
      </c>
      <c r="R3" s="11">
        <f t="shared" si="3"/>
        <v>0.02777777778</v>
      </c>
      <c r="S3" s="12">
        <f t="shared" si="4"/>
        <v>0.0008060453401</v>
      </c>
    </row>
    <row r="4" ht="14.25" customHeight="1">
      <c r="A4" s="5">
        <v>3.0</v>
      </c>
      <c r="C4" s="6" t="s">
        <v>22</v>
      </c>
      <c r="D4" s="5" t="s">
        <v>17</v>
      </c>
      <c r="E4" s="6">
        <v>56.0</v>
      </c>
      <c r="F4" s="6" t="s">
        <v>18</v>
      </c>
      <c r="G4" s="6">
        <v>10.0</v>
      </c>
      <c r="H4" s="7">
        <f t="shared" si="2"/>
        <v>0.006944444444</v>
      </c>
      <c r="I4" s="6">
        <v>1.0</v>
      </c>
      <c r="K4" s="8"/>
      <c r="P4" s="10" t="str">
        <f>B11</f>
        <v>Pembuatan DUR &amp; Approval</v>
      </c>
      <c r="Q4" s="10">
        <f t="shared" ref="Q4:R4" si="5">J11</f>
        <v>8960</v>
      </c>
      <c r="R4" s="11">
        <f t="shared" si="5"/>
        <v>6.222222222</v>
      </c>
      <c r="S4" s="12">
        <f t="shared" si="4"/>
        <v>0.1805541562</v>
      </c>
    </row>
    <row r="5" ht="14.25" customHeight="1">
      <c r="A5" s="5">
        <v>4.0</v>
      </c>
      <c r="C5" s="5" t="s">
        <v>23</v>
      </c>
      <c r="D5" s="5" t="s">
        <v>24</v>
      </c>
      <c r="E5" s="6">
        <v>56.0</v>
      </c>
      <c r="F5" s="6" t="s">
        <v>18</v>
      </c>
      <c r="G5" s="6">
        <v>60.0</v>
      </c>
      <c r="H5" s="7">
        <f t="shared" si="2"/>
        <v>0.04166666667</v>
      </c>
      <c r="I5" s="6">
        <v>1.0</v>
      </c>
      <c r="K5" s="8"/>
      <c r="P5" s="10" t="str">
        <f>B19</f>
        <v>Aanwijzing</v>
      </c>
      <c r="Q5" s="10">
        <f t="shared" ref="Q5:R5" si="6">J19</f>
        <v>4370</v>
      </c>
      <c r="R5" s="11">
        <f t="shared" si="6"/>
        <v>3.034722222</v>
      </c>
      <c r="S5" s="12">
        <f t="shared" si="4"/>
        <v>0.0880604534</v>
      </c>
    </row>
    <row r="6" ht="14.25" customHeight="1">
      <c r="A6" s="6">
        <v>5.0</v>
      </c>
      <c r="B6" s="5" t="s">
        <v>25</v>
      </c>
      <c r="C6" s="5" t="s">
        <v>26</v>
      </c>
      <c r="D6" s="5" t="s">
        <v>24</v>
      </c>
      <c r="E6" s="6">
        <v>56.0</v>
      </c>
      <c r="F6" s="6" t="s">
        <v>18</v>
      </c>
      <c r="G6" s="6">
        <v>5.0</v>
      </c>
      <c r="H6" s="7">
        <f t="shared" si="2"/>
        <v>0.003472222222</v>
      </c>
      <c r="I6" s="6">
        <v>1.0</v>
      </c>
      <c r="J6" s="5">
        <f>sum(G6:G10)</f>
        <v>40</v>
      </c>
      <c r="K6" s="8">
        <f>J6/(60*24)</f>
        <v>0.02777777778</v>
      </c>
      <c r="P6" s="10" t="str">
        <f>B23</f>
        <v>Penawaran Rekanan</v>
      </c>
      <c r="Q6" s="10">
        <f t="shared" ref="Q6:R6" si="7">J23</f>
        <v>10125</v>
      </c>
      <c r="R6" s="11">
        <f t="shared" si="7"/>
        <v>7.03125</v>
      </c>
      <c r="S6" s="12">
        <f t="shared" si="4"/>
        <v>0.2040302267</v>
      </c>
    </row>
    <row r="7" ht="14.25" customHeight="1">
      <c r="A7" s="5">
        <v>6.0</v>
      </c>
      <c r="C7" s="5" t="s">
        <v>27</v>
      </c>
      <c r="D7" s="5" t="s">
        <v>24</v>
      </c>
      <c r="E7" s="6">
        <v>56.0</v>
      </c>
      <c r="F7" s="6" t="s">
        <v>18</v>
      </c>
      <c r="G7" s="6">
        <v>10.0</v>
      </c>
      <c r="H7" s="7">
        <f t="shared" si="2"/>
        <v>0.006944444444</v>
      </c>
      <c r="I7" s="6">
        <v>1.0</v>
      </c>
      <c r="K7" s="8"/>
      <c r="P7" s="10" t="str">
        <f>B27</f>
        <v>Evaluasi Teknis</v>
      </c>
      <c r="Q7" s="10">
        <f t="shared" ref="Q7:R7" si="8">J27</f>
        <v>6585</v>
      </c>
      <c r="R7" s="11">
        <f t="shared" si="8"/>
        <v>4.572916667</v>
      </c>
      <c r="S7" s="12">
        <f t="shared" si="4"/>
        <v>0.1326952141</v>
      </c>
    </row>
    <row r="8" ht="14.25" customHeight="1">
      <c r="A8" s="5">
        <v>7.0</v>
      </c>
      <c r="C8" s="5" t="s">
        <v>28</v>
      </c>
      <c r="D8" s="5" t="s">
        <v>24</v>
      </c>
      <c r="E8" s="6">
        <v>56.0</v>
      </c>
      <c r="F8" s="6" t="s">
        <v>18</v>
      </c>
      <c r="G8" s="6">
        <v>10.0</v>
      </c>
      <c r="H8" s="7">
        <f t="shared" si="2"/>
        <v>0.006944444444</v>
      </c>
      <c r="I8" s="6">
        <v>1.0</v>
      </c>
      <c r="K8" s="8"/>
      <c r="P8" s="10" t="str">
        <f>B53</f>
        <v>Negosiasi</v>
      </c>
      <c r="Q8" s="10">
        <f t="shared" ref="Q8:R8" si="9">J53</f>
        <v>1560</v>
      </c>
      <c r="R8" s="11">
        <f t="shared" si="9"/>
        <v>1.083333333</v>
      </c>
      <c r="S8" s="12">
        <f t="shared" si="4"/>
        <v>0.03143576826</v>
      </c>
    </row>
    <row r="9" ht="14.25" customHeight="1">
      <c r="A9" s="6">
        <v>8.0</v>
      </c>
      <c r="C9" s="5" t="s">
        <v>29</v>
      </c>
      <c r="D9" s="5" t="s">
        <v>24</v>
      </c>
      <c r="E9" s="6">
        <v>56.0</v>
      </c>
      <c r="F9" s="6" t="s">
        <v>18</v>
      </c>
      <c r="G9" s="6">
        <v>5.0</v>
      </c>
      <c r="H9" s="7">
        <f t="shared" si="2"/>
        <v>0.003472222222</v>
      </c>
      <c r="I9" s="6">
        <v>1.0</v>
      </c>
      <c r="K9" s="8"/>
      <c r="P9" s="10" t="str">
        <f>B62</f>
        <v>Usulan Pemenang</v>
      </c>
      <c r="Q9" s="10">
        <f t="shared" ref="Q9:R9" si="10">J62</f>
        <v>8940</v>
      </c>
      <c r="R9" s="11">
        <f t="shared" si="10"/>
        <v>6.208333333</v>
      </c>
      <c r="S9" s="12">
        <f t="shared" si="4"/>
        <v>0.1801511335</v>
      </c>
    </row>
    <row r="10" ht="14.25" customHeight="1">
      <c r="A10" s="5">
        <v>9.0</v>
      </c>
      <c r="C10" s="5" t="s">
        <v>30</v>
      </c>
      <c r="D10" s="5" t="s">
        <v>24</v>
      </c>
      <c r="E10" s="6">
        <v>56.0</v>
      </c>
      <c r="F10" s="6" t="s">
        <v>18</v>
      </c>
      <c r="G10" s="6">
        <v>10.0</v>
      </c>
      <c r="H10" s="7">
        <f t="shared" si="2"/>
        <v>0.006944444444</v>
      </c>
      <c r="I10" s="6">
        <v>1.0</v>
      </c>
      <c r="K10" s="8"/>
      <c r="P10" s="10" t="str">
        <f>B68</f>
        <v>Purchase Order (PO)</v>
      </c>
      <c r="Q10" s="10">
        <f t="shared" ref="Q10:R10" si="11">J68</f>
        <v>8940</v>
      </c>
      <c r="R10" s="11">
        <f t="shared" si="11"/>
        <v>6.208333333</v>
      </c>
      <c r="S10" s="12">
        <f t="shared" si="4"/>
        <v>0.1801511335</v>
      </c>
    </row>
    <row r="11" ht="14.25" customHeight="1">
      <c r="A11" s="5">
        <v>10.0</v>
      </c>
      <c r="B11" s="5" t="s">
        <v>31</v>
      </c>
      <c r="C11" s="5" t="s">
        <v>32</v>
      </c>
      <c r="D11" s="5" t="s">
        <v>24</v>
      </c>
      <c r="E11" s="6">
        <v>56.0</v>
      </c>
      <c r="F11" s="6" t="s">
        <v>18</v>
      </c>
      <c r="G11" s="6">
        <v>20.0</v>
      </c>
      <c r="H11" s="7">
        <f t="shared" si="2"/>
        <v>0.01388888889</v>
      </c>
      <c r="I11" s="6">
        <v>1.0</v>
      </c>
      <c r="J11" s="5">
        <f>sum(G11:G18)</f>
        <v>8960</v>
      </c>
      <c r="K11" s="8">
        <f>J11/(60*24)</f>
        <v>6.222222222</v>
      </c>
      <c r="P11" s="10" t="str">
        <f>B75</f>
        <v>Kirim PO</v>
      </c>
      <c r="Q11" s="10">
        <f t="shared" ref="Q11:R11" si="12">J75</f>
        <v>5</v>
      </c>
      <c r="R11" s="11">
        <f t="shared" si="12"/>
        <v>0.003472222222</v>
      </c>
      <c r="S11" s="12"/>
    </row>
    <row r="12" ht="14.25" customHeight="1">
      <c r="A12" s="6">
        <v>11.0</v>
      </c>
      <c r="C12" s="5" t="s">
        <v>33</v>
      </c>
      <c r="D12" s="5" t="s">
        <v>24</v>
      </c>
      <c r="E12" s="6">
        <v>56.0</v>
      </c>
      <c r="F12" s="6" t="s">
        <v>18</v>
      </c>
      <c r="G12" s="6">
        <v>5.0</v>
      </c>
      <c r="H12" s="7">
        <f t="shared" si="2"/>
        <v>0.003472222222</v>
      </c>
      <c r="I12" s="6">
        <v>1.0</v>
      </c>
      <c r="K12" s="8"/>
      <c r="P12" s="14" t="s">
        <v>34</v>
      </c>
      <c r="Q12" s="10">
        <f t="shared" ref="Q12:R12" si="13">sum(Q2:Q11)</f>
        <v>49625</v>
      </c>
      <c r="R12" s="11">
        <f t="shared" si="13"/>
        <v>34.46180556</v>
      </c>
    </row>
    <row r="13" ht="14.25" customHeight="1">
      <c r="A13" s="5">
        <v>12.0</v>
      </c>
      <c r="C13" s="5" t="s">
        <v>35</v>
      </c>
      <c r="D13" s="5" t="s">
        <v>17</v>
      </c>
      <c r="E13" s="6">
        <v>56.0</v>
      </c>
      <c r="F13" s="6" t="s">
        <v>18</v>
      </c>
      <c r="G13" s="6">
        <v>5.0</v>
      </c>
      <c r="H13" s="7">
        <f t="shared" si="2"/>
        <v>0.003472222222</v>
      </c>
      <c r="I13" s="6">
        <v>1.0</v>
      </c>
      <c r="K13" s="8"/>
    </row>
    <row r="14" ht="14.25" customHeight="1">
      <c r="A14" s="5">
        <v>13.0</v>
      </c>
      <c r="C14" s="5" t="s">
        <v>36</v>
      </c>
      <c r="D14" s="5" t="s">
        <v>17</v>
      </c>
      <c r="E14" s="6">
        <v>56.0</v>
      </c>
      <c r="F14" s="6" t="s">
        <v>18</v>
      </c>
      <c r="G14" s="6">
        <v>10.0</v>
      </c>
      <c r="H14" s="7">
        <f t="shared" si="2"/>
        <v>0.006944444444</v>
      </c>
      <c r="I14" s="6">
        <v>1.0</v>
      </c>
      <c r="K14" s="8"/>
    </row>
    <row r="15" ht="14.25" customHeight="1">
      <c r="A15" s="6">
        <v>14.0</v>
      </c>
      <c r="C15" s="5" t="s">
        <v>37</v>
      </c>
      <c r="D15" s="5" t="s">
        <v>38</v>
      </c>
      <c r="E15" s="6">
        <v>56.0</v>
      </c>
      <c r="F15" s="6" t="s">
        <v>18</v>
      </c>
      <c r="G15" s="6">
        <v>40.0</v>
      </c>
      <c r="H15" s="7">
        <f t="shared" si="2"/>
        <v>0.02777777778</v>
      </c>
      <c r="I15" s="6">
        <v>1.0</v>
      </c>
      <c r="K15" s="8"/>
    </row>
    <row r="16" ht="14.25" customHeight="1">
      <c r="A16" s="5">
        <v>15.0</v>
      </c>
      <c r="C16" s="5" t="s">
        <v>39</v>
      </c>
      <c r="D16" s="5" t="s">
        <v>38</v>
      </c>
      <c r="E16" s="6">
        <v>56.0</v>
      </c>
      <c r="F16" s="6" t="s">
        <v>18</v>
      </c>
      <c r="G16" s="6">
        <v>180.0</v>
      </c>
      <c r="H16" s="7">
        <f t="shared" si="2"/>
        <v>0.125</v>
      </c>
      <c r="I16" s="6">
        <v>1.0</v>
      </c>
      <c r="K16" s="8"/>
    </row>
    <row r="17" ht="14.25" customHeight="1">
      <c r="A17" s="5">
        <v>16.0</v>
      </c>
      <c r="C17" s="5" t="s">
        <v>40</v>
      </c>
      <c r="D17" s="5" t="s">
        <v>38</v>
      </c>
      <c r="E17" s="6">
        <v>56.0</v>
      </c>
      <c r="F17" s="6" t="s">
        <v>18</v>
      </c>
      <c r="G17" s="6">
        <v>1500.0</v>
      </c>
      <c r="H17" s="7">
        <f t="shared" si="2"/>
        <v>1.041666667</v>
      </c>
      <c r="I17" s="6">
        <v>1.0</v>
      </c>
      <c r="K17" s="8"/>
    </row>
    <row r="18" ht="14.25" customHeight="1">
      <c r="A18" s="6">
        <v>17.0</v>
      </c>
      <c r="C18" s="5" t="s">
        <v>41</v>
      </c>
      <c r="D18" s="5" t="s">
        <v>38</v>
      </c>
      <c r="E18" s="6">
        <v>56.0</v>
      </c>
      <c r="F18" s="6" t="s">
        <v>18</v>
      </c>
      <c r="G18" s="6">
        <v>7200.0</v>
      </c>
      <c r="H18" s="7">
        <f t="shared" si="2"/>
        <v>5</v>
      </c>
      <c r="I18" s="6">
        <v>1.0</v>
      </c>
      <c r="K18" s="8"/>
    </row>
    <row r="19" ht="14.25" customHeight="1">
      <c r="A19" s="5">
        <v>18.0</v>
      </c>
      <c r="B19" s="5" t="s">
        <v>42</v>
      </c>
      <c r="C19" s="5" t="s">
        <v>43</v>
      </c>
      <c r="D19" s="5" t="s">
        <v>17</v>
      </c>
      <c r="E19" s="6">
        <v>56.0</v>
      </c>
      <c r="F19" s="6" t="s">
        <v>18</v>
      </c>
      <c r="G19" s="6">
        <v>10.0</v>
      </c>
      <c r="H19" s="7">
        <f t="shared" si="2"/>
        <v>0.006944444444</v>
      </c>
      <c r="I19" s="6">
        <v>1.0</v>
      </c>
      <c r="J19" s="5">
        <f>sum(G19:G22)</f>
        <v>4370</v>
      </c>
      <c r="K19" s="8">
        <f>J19/(60*24)</f>
        <v>3.034722222</v>
      </c>
    </row>
    <row r="20" ht="14.25" customHeight="1">
      <c r="A20" s="5">
        <v>19.0</v>
      </c>
      <c r="C20" s="5" t="s">
        <v>44</v>
      </c>
      <c r="D20" s="5" t="s">
        <v>45</v>
      </c>
      <c r="E20" s="6">
        <v>56.0</v>
      </c>
      <c r="F20" s="6" t="s">
        <v>18</v>
      </c>
      <c r="G20" s="6">
        <v>4320.0</v>
      </c>
      <c r="H20" s="7">
        <f t="shared" si="2"/>
        <v>3</v>
      </c>
      <c r="I20" s="6">
        <v>1.0</v>
      </c>
      <c r="K20" s="8"/>
    </row>
    <row r="21" ht="14.25" customHeight="1">
      <c r="A21" s="6">
        <v>20.0</v>
      </c>
      <c r="C21" s="6" t="s">
        <v>46</v>
      </c>
      <c r="D21" s="6" t="s">
        <v>47</v>
      </c>
      <c r="E21" s="6">
        <v>56.0</v>
      </c>
      <c r="F21" s="6" t="s">
        <v>18</v>
      </c>
      <c r="G21" s="6">
        <v>30.0</v>
      </c>
      <c r="H21" s="7">
        <f t="shared" si="2"/>
        <v>0.02083333333</v>
      </c>
      <c r="I21" s="6">
        <v>1.0</v>
      </c>
      <c r="K21" s="8"/>
    </row>
    <row r="22" ht="14.25" customHeight="1">
      <c r="A22" s="5">
        <v>21.0</v>
      </c>
      <c r="C22" s="5" t="s">
        <v>48</v>
      </c>
      <c r="D22" s="6" t="s">
        <v>49</v>
      </c>
      <c r="E22" s="6">
        <v>56.0</v>
      </c>
      <c r="F22" s="6" t="s">
        <v>18</v>
      </c>
      <c r="G22" s="6">
        <v>10.0</v>
      </c>
      <c r="H22" s="7">
        <f t="shared" si="2"/>
        <v>0.006944444444</v>
      </c>
      <c r="I22" s="6">
        <v>1.0</v>
      </c>
      <c r="K22" s="8"/>
    </row>
    <row r="23" ht="14.25" customHeight="1">
      <c r="A23" s="5">
        <v>22.0</v>
      </c>
      <c r="B23" s="15" t="s">
        <v>50</v>
      </c>
      <c r="C23" s="5" t="s">
        <v>51</v>
      </c>
      <c r="D23" s="5" t="s">
        <v>24</v>
      </c>
      <c r="E23" s="6">
        <v>56.0</v>
      </c>
      <c r="F23" s="6" t="s">
        <v>18</v>
      </c>
      <c r="G23" s="6">
        <v>10080.0</v>
      </c>
      <c r="H23" s="7">
        <f t="shared" si="2"/>
        <v>7</v>
      </c>
      <c r="I23" s="6">
        <v>1.0</v>
      </c>
      <c r="J23" s="5">
        <f>sum(G23:G26)</f>
        <v>10125</v>
      </c>
      <c r="K23" s="8">
        <f>J23/(60*24)</f>
        <v>7.03125</v>
      </c>
    </row>
    <row r="24" ht="14.25" customHeight="1">
      <c r="A24" s="6">
        <v>23.0</v>
      </c>
      <c r="C24" s="5" t="s">
        <v>52</v>
      </c>
      <c r="D24" s="5" t="s">
        <v>24</v>
      </c>
      <c r="E24" s="6">
        <v>56.0</v>
      </c>
      <c r="F24" s="6" t="s">
        <v>18</v>
      </c>
      <c r="G24" s="6">
        <v>10.0</v>
      </c>
      <c r="H24" s="7">
        <f t="shared" si="2"/>
        <v>0.006944444444</v>
      </c>
      <c r="I24" s="6">
        <v>1.0</v>
      </c>
      <c r="K24" s="8"/>
    </row>
    <row r="25" ht="14.25" customHeight="1">
      <c r="A25" s="5">
        <v>24.0</v>
      </c>
      <c r="C25" s="5" t="s">
        <v>53</v>
      </c>
      <c r="D25" s="5" t="s">
        <v>24</v>
      </c>
      <c r="E25" s="6">
        <v>56.0</v>
      </c>
      <c r="F25" s="6" t="s">
        <v>18</v>
      </c>
      <c r="G25" s="6">
        <v>15.0</v>
      </c>
      <c r="H25" s="7">
        <f t="shared" si="2"/>
        <v>0.01041666667</v>
      </c>
      <c r="I25" s="6">
        <v>1.0</v>
      </c>
      <c r="K25" s="8"/>
    </row>
    <row r="26" ht="14.25" customHeight="1">
      <c r="A26" s="5">
        <v>25.0</v>
      </c>
      <c r="C26" s="5" t="s">
        <v>54</v>
      </c>
      <c r="D26" s="5" t="s">
        <v>17</v>
      </c>
      <c r="E26" s="6">
        <v>56.0</v>
      </c>
      <c r="F26" s="6" t="s">
        <v>18</v>
      </c>
      <c r="G26" s="6">
        <v>20.0</v>
      </c>
      <c r="H26" s="7">
        <f t="shared" si="2"/>
        <v>0.01388888889</v>
      </c>
      <c r="I26" s="6">
        <v>1.0</v>
      </c>
      <c r="K26" s="8"/>
    </row>
    <row r="27" ht="14.25" customHeight="1">
      <c r="A27" s="6">
        <v>26.0</v>
      </c>
      <c r="B27" s="9" t="s">
        <v>55</v>
      </c>
      <c r="C27" s="16" t="s">
        <v>56</v>
      </c>
      <c r="D27" s="5" t="s">
        <v>17</v>
      </c>
      <c r="E27" s="6">
        <v>56.0</v>
      </c>
      <c r="F27" s="6" t="s">
        <v>18</v>
      </c>
      <c r="G27" s="6">
        <v>20.0</v>
      </c>
      <c r="H27" s="7">
        <f t="shared" si="2"/>
        <v>0.01388888889</v>
      </c>
      <c r="I27" s="6">
        <v>1.0</v>
      </c>
      <c r="J27" s="5">
        <f>sum(G27:G52)</f>
        <v>6585</v>
      </c>
      <c r="K27" s="8">
        <f>J27/(60*24)</f>
        <v>4.572916667</v>
      </c>
    </row>
    <row r="28" ht="14.25" customHeight="1">
      <c r="A28" s="5">
        <v>27.0</v>
      </c>
      <c r="B28" s="16"/>
      <c r="C28" s="16" t="s">
        <v>57</v>
      </c>
      <c r="D28" s="5" t="s">
        <v>17</v>
      </c>
      <c r="E28" s="6">
        <v>56.0</v>
      </c>
      <c r="F28" s="6" t="s">
        <v>18</v>
      </c>
      <c r="G28" s="6">
        <v>10.0</v>
      </c>
      <c r="H28" s="7">
        <f t="shared" si="2"/>
        <v>0.006944444444</v>
      </c>
      <c r="I28" s="6">
        <v>1.0</v>
      </c>
      <c r="K28" s="8"/>
    </row>
    <row r="29" ht="14.25" customHeight="1">
      <c r="A29" s="5">
        <v>28.0</v>
      </c>
      <c r="B29" s="16"/>
      <c r="C29" s="9" t="s">
        <v>58</v>
      </c>
      <c r="D29" s="5" t="s">
        <v>17</v>
      </c>
      <c r="E29" s="6">
        <v>56.0</v>
      </c>
      <c r="F29" s="6" t="s">
        <v>18</v>
      </c>
      <c r="G29" s="6">
        <v>120.0</v>
      </c>
      <c r="H29" s="7">
        <f t="shared" si="2"/>
        <v>0.08333333333</v>
      </c>
      <c r="I29" s="6">
        <v>1.0</v>
      </c>
      <c r="K29" s="8"/>
    </row>
    <row r="30" ht="14.25" customHeight="1">
      <c r="A30" s="6">
        <v>29.0</v>
      </c>
      <c r="B30" s="16"/>
      <c r="C30" s="16" t="s">
        <v>59</v>
      </c>
      <c r="D30" s="5" t="s">
        <v>17</v>
      </c>
      <c r="E30" s="6">
        <v>56.0</v>
      </c>
      <c r="F30" s="6" t="s">
        <v>18</v>
      </c>
      <c r="G30" s="6">
        <v>10.0</v>
      </c>
      <c r="H30" s="7">
        <f t="shared" si="2"/>
        <v>0.006944444444</v>
      </c>
      <c r="I30" s="6">
        <v>1.0</v>
      </c>
      <c r="K30" s="8"/>
    </row>
    <row r="31" ht="14.25" customHeight="1">
      <c r="A31" s="5">
        <v>30.0</v>
      </c>
      <c r="B31" s="16"/>
      <c r="C31" s="16" t="s">
        <v>60</v>
      </c>
      <c r="D31" s="5" t="s">
        <v>17</v>
      </c>
      <c r="E31" s="6">
        <v>56.0</v>
      </c>
      <c r="F31" s="6" t="s">
        <v>18</v>
      </c>
      <c r="G31" s="6">
        <v>20.0</v>
      </c>
      <c r="H31" s="7">
        <f t="shared" si="2"/>
        <v>0.01388888889</v>
      </c>
      <c r="I31" s="6">
        <v>1.0</v>
      </c>
      <c r="K31" s="8"/>
    </row>
    <row r="32" ht="14.25" customHeight="1">
      <c r="A32" s="5">
        <v>31.0</v>
      </c>
      <c r="B32" s="16"/>
      <c r="C32" s="16" t="s">
        <v>61</v>
      </c>
      <c r="D32" s="5" t="s">
        <v>17</v>
      </c>
      <c r="E32" s="6">
        <v>56.0</v>
      </c>
      <c r="F32" s="6" t="s">
        <v>18</v>
      </c>
      <c r="G32" s="6">
        <v>20.0</v>
      </c>
      <c r="H32" s="7">
        <f t="shared" si="2"/>
        <v>0.01388888889</v>
      </c>
      <c r="I32" s="6">
        <v>1.0</v>
      </c>
      <c r="K32" s="8"/>
    </row>
    <row r="33" ht="14.25" customHeight="1">
      <c r="A33" s="6">
        <v>32.0</v>
      </c>
      <c r="B33" s="16"/>
      <c r="C33" s="16" t="s">
        <v>62</v>
      </c>
      <c r="D33" s="5" t="s">
        <v>17</v>
      </c>
      <c r="E33" s="6">
        <v>56.0</v>
      </c>
      <c r="F33" s="6" t="s">
        <v>18</v>
      </c>
      <c r="G33" s="6">
        <v>10.0</v>
      </c>
      <c r="H33" s="7">
        <f t="shared" si="2"/>
        <v>0.006944444444</v>
      </c>
      <c r="I33" s="6">
        <v>1.0</v>
      </c>
      <c r="K33" s="8"/>
    </row>
    <row r="34" ht="14.25" customHeight="1">
      <c r="A34" s="5">
        <v>33.0</v>
      </c>
      <c r="B34" s="16"/>
      <c r="C34" s="9" t="s">
        <v>63</v>
      </c>
      <c r="D34" s="5" t="s">
        <v>17</v>
      </c>
      <c r="E34" s="6">
        <v>56.0</v>
      </c>
      <c r="F34" s="6" t="s">
        <v>18</v>
      </c>
      <c r="G34" s="6">
        <v>60.0</v>
      </c>
      <c r="H34" s="7">
        <f t="shared" si="2"/>
        <v>0.04166666667</v>
      </c>
      <c r="I34" s="6">
        <v>1.0</v>
      </c>
      <c r="K34" s="8"/>
    </row>
    <row r="35" ht="14.25" customHeight="1">
      <c r="A35" s="5">
        <v>34.0</v>
      </c>
      <c r="B35" s="16"/>
      <c r="C35" s="16" t="s">
        <v>64</v>
      </c>
      <c r="D35" s="5" t="s">
        <v>17</v>
      </c>
      <c r="E35" s="6">
        <v>56.0</v>
      </c>
      <c r="F35" s="6" t="s">
        <v>18</v>
      </c>
      <c r="G35" s="6">
        <v>10.0</v>
      </c>
      <c r="H35" s="7">
        <f t="shared" si="2"/>
        <v>0.006944444444</v>
      </c>
      <c r="I35" s="6">
        <v>1.0</v>
      </c>
      <c r="K35" s="8"/>
    </row>
    <row r="36" ht="14.25" customHeight="1">
      <c r="A36" s="6">
        <v>35.0</v>
      </c>
      <c r="B36" s="16"/>
      <c r="C36" s="16" t="s">
        <v>65</v>
      </c>
      <c r="D36" s="5" t="s">
        <v>17</v>
      </c>
      <c r="E36" s="6">
        <v>56.0</v>
      </c>
      <c r="F36" s="6" t="s">
        <v>18</v>
      </c>
      <c r="G36" s="6">
        <v>120.0</v>
      </c>
      <c r="H36" s="7">
        <f t="shared" si="2"/>
        <v>0.08333333333</v>
      </c>
      <c r="I36" s="6">
        <v>1.0</v>
      </c>
      <c r="K36" s="8"/>
    </row>
    <row r="37" ht="14.25" customHeight="1">
      <c r="A37" s="5">
        <v>36.0</v>
      </c>
      <c r="B37" s="16"/>
      <c r="C37" s="16" t="s">
        <v>66</v>
      </c>
      <c r="D37" s="5" t="s">
        <v>17</v>
      </c>
      <c r="E37" s="6">
        <v>56.0</v>
      </c>
      <c r="F37" s="6" t="s">
        <v>18</v>
      </c>
      <c r="G37" s="6">
        <v>10.0</v>
      </c>
      <c r="H37" s="7">
        <f t="shared" si="2"/>
        <v>0.006944444444</v>
      </c>
      <c r="I37" s="6">
        <v>1.0</v>
      </c>
      <c r="K37" s="8"/>
    </row>
    <row r="38" ht="14.25" customHeight="1">
      <c r="A38" s="5">
        <v>37.0</v>
      </c>
      <c r="B38" s="16"/>
      <c r="C38" s="16" t="s">
        <v>67</v>
      </c>
      <c r="D38" s="5" t="s">
        <v>17</v>
      </c>
      <c r="E38" s="6">
        <v>56.0</v>
      </c>
      <c r="F38" s="6" t="s">
        <v>18</v>
      </c>
      <c r="G38" s="6">
        <v>10.0</v>
      </c>
      <c r="H38" s="7">
        <f t="shared" si="2"/>
        <v>0.006944444444</v>
      </c>
      <c r="I38" s="6">
        <v>1.0</v>
      </c>
      <c r="K38" s="8"/>
    </row>
    <row r="39" ht="14.25" customHeight="1">
      <c r="A39" s="6">
        <v>38.0</v>
      </c>
      <c r="B39" s="16"/>
      <c r="C39" s="16" t="s">
        <v>68</v>
      </c>
      <c r="D39" s="5" t="s">
        <v>17</v>
      </c>
      <c r="E39" s="6">
        <v>56.0</v>
      </c>
      <c r="F39" s="6" t="s">
        <v>18</v>
      </c>
      <c r="G39" s="6">
        <v>10.0</v>
      </c>
      <c r="H39" s="7">
        <f t="shared" si="2"/>
        <v>0.006944444444</v>
      </c>
      <c r="I39" s="6">
        <v>1.0</v>
      </c>
      <c r="K39" s="8"/>
    </row>
    <row r="40" ht="14.25" customHeight="1">
      <c r="A40" s="5">
        <v>39.0</v>
      </c>
      <c r="B40" s="16"/>
      <c r="C40" s="16" t="s">
        <v>69</v>
      </c>
      <c r="D40" s="5" t="s">
        <v>17</v>
      </c>
      <c r="E40" s="6">
        <v>56.0</v>
      </c>
      <c r="F40" s="6" t="s">
        <v>18</v>
      </c>
      <c r="G40" s="6">
        <v>5760.0</v>
      </c>
      <c r="H40" s="7">
        <f t="shared" si="2"/>
        <v>4</v>
      </c>
      <c r="I40" s="6">
        <v>1.0</v>
      </c>
      <c r="K40" s="8"/>
    </row>
    <row r="41" ht="14.25" customHeight="1">
      <c r="A41" s="5">
        <v>40.0</v>
      </c>
      <c r="B41" s="16"/>
      <c r="C41" s="9" t="s">
        <v>70</v>
      </c>
      <c r="D41" s="5" t="s">
        <v>17</v>
      </c>
      <c r="E41" s="6">
        <v>56.0</v>
      </c>
      <c r="F41" s="6" t="s">
        <v>18</v>
      </c>
      <c r="G41" s="6">
        <v>10.0</v>
      </c>
      <c r="H41" s="7">
        <f t="shared" si="2"/>
        <v>0.006944444444</v>
      </c>
      <c r="I41" s="6">
        <v>1.0</v>
      </c>
      <c r="K41" s="8"/>
    </row>
    <row r="42" ht="14.25" customHeight="1">
      <c r="A42" s="6">
        <v>41.0</v>
      </c>
      <c r="B42" s="16"/>
      <c r="C42" s="16" t="s">
        <v>71</v>
      </c>
      <c r="D42" s="5" t="s">
        <v>17</v>
      </c>
      <c r="E42" s="6">
        <v>56.0</v>
      </c>
      <c r="F42" s="6" t="s">
        <v>18</v>
      </c>
      <c r="G42" s="6">
        <v>10.0</v>
      </c>
      <c r="H42" s="7">
        <f t="shared" si="2"/>
        <v>0.006944444444</v>
      </c>
      <c r="I42" s="6">
        <v>1.0</v>
      </c>
      <c r="K42" s="8"/>
    </row>
    <row r="43" ht="14.25" customHeight="1">
      <c r="A43" s="5">
        <v>42.0</v>
      </c>
      <c r="B43" s="16"/>
      <c r="C43" s="16" t="s">
        <v>72</v>
      </c>
      <c r="D43" s="5" t="s">
        <v>17</v>
      </c>
      <c r="E43" s="6">
        <v>56.0</v>
      </c>
      <c r="F43" s="6" t="s">
        <v>18</v>
      </c>
      <c r="G43" s="6">
        <v>120.0</v>
      </c>
      <c r="H43" s="7">
        <f t="shared" si="2"/>
        <v>0.08333333333</v>
      </c>
      <c r="I43" s="6">
        <v>1.0</v>
      </c>
      <c r="K43" s="8"/>
    </row>
    <row r="44" ht="14.25" customHeight="1">
      <c r="A44" s="5">
        <v>43.0</v>
      </c>
      <c r="B44" s="16"/>
      <c r="C44" s="16" t="s">
        <v>73</v>
      </c>
      <c r="D44" s="5" t="s">
        <v>17</v>
      </c>
      <c r="E44" s="6">
        <v>56.0</v>
      </c>
      <c r="F44" s="6" t="s">
        <v>18</v>
      </c>
      <c r="G44" s="6">
        <v>5.0</v>
      </c>
      <c r="H44" s="7">
        <f t="shared" si="2"/>
        <v>0.003472222222</v>
      </c>
      <c r="I44" s="6">
        <v>1.0</v>
      </c>
      <c r="K44" s="8"/>
    </row>
    <row r="45" ht="14.25" customHeight="1">
      <c r="A45" s="6">
        <v>44.0</v>
      </c>
      <c r="B45" s="16"/>
      <c r="C45" s="16" t="s">
        <v>60</v>
      </c>
      <c r="D45" s="5" t="s">
        <v>17</v>
      </c>
      <c r="E45" s="6">
        <v>56.0</v>
      </c>
      <c r="F45" s="6" t="s">
        <v>18</v>
      </c>
      <c r="G45" s="6">
        <v>20.0</v>
      </c>
      <c r="H45" s="7">
        <f t="shared" si="2"/>
        <v>0.01388888889</v>
      </c>
      <c r="I45" s="6">
        <v>1.0</v>
      </c>
      <c r="K45" s="8"/>
    </row>
    <row r="46" ht="14.25" customHeight="1">
      <c r="A46" s="5">
        <v>45.0</v>
      </c>
      <c r="B46" s="16"/>
      <c r="C46" s="16" t="s">
        <v>61</v>
      </c>
      <c r="D46" s="5" t="s">
        <v>17</v>
      </c>
      <c r="E46" s="6">
        <v>56.0</v>
      </c>
      <c r="F46" s="6" t="s">
        <v>18</v>
      </c>
      <c r="G46" s="6">
        <v>10.0</v>
      </c>
      <c r="H46" s="7">
        <f t="shared" si="2"/>
        <v>0.006944444444</v>
      </c>
      <c r="I46" s="6">
        <v>1.0</v>
      </c>
      <c r="K46" s="8"/>
    </row>
    <row r="47" ht="14.25" customHeight="1">
      <c r="A47" s="5">
        <v>46.0</v>
      </c>
      <c r="B47" s="16"/>
      <c r="C47" s="9" t="s">
        <v>74</v>
      </c>
      <c r="D47" s="5" t="s">
        <v>17</v>
      </c>
      <c r="E47" s="6">
        <v>56.0</v>
      </c>
      <c r="F47" s="6" t="s">
        <v>18</v>
      </c>
      <c r="G47" s="6">
        <v>30.0</v>
      </c>
      <c r="H47" s="7">
        <f t="shared" si="2"/>
        <v>0.02083333333</v>
      </c>
      <c r="I47" s="6">
        <v>1.0</v>
      </c>
      <c r="K47" s="8"/>
    </row>
    <row r="48" ht="14.25" customHeight="1">
      <c r="A48" s="6">
        <v>47.0</v>
      </c>
      <c r="B48" s="16"/>
      <c r="C48" s="16" t="s">
        <v>64</v>
      </c>
      <c r="D48" s="5" t="s">
        <v>17</v>
      </c>
      <c r="E48" s="6">
        <v>56.0</v>
      </c>
      <c r="F48" s="6" t="s">
        <v>18</v>
      </c>
      <c r="G48" s="6">
        <v>30.0</v>
      </c>
      <c r="H48" s="7">
        <f t="shared" si="2"/>
        <v>0.02083333333</v>
      </c>
      <c r="I48" s="6">
        <v>1.0</v>
      </c>
      <c r="K48" s="8"/>
    </row>
    <row r="49" ht="14.25" customHeight="1">
      <c r="A49" s="5">
        <v>48.0</v>
      </c>
      <c r="B49" s="16"/>
      <c r="C49" s="16" t="s">
        <v>65</v>
      </c>
      <c r="D49" s="5" t="s">
        <v>17</v>
      </c>
      <c r="E49" s="6">
        <v>56.0</v>
      </c>
      <c r="F49" s="6" t="s">
        <v>18</v>
      </c>
      <c r="G49" s="6">
        <v>120.0</v>
      </c>
      <c r="H49" s="7">
        <f t="shared" si="2"/>
        <v>0.08333333333</v>
      </c>
      <c r="I49" s="6">
        <v>1.0</v>
      </c>
      <c r="K49" s="8"/>
    </row>
    <row r="50" ht="14.25" customHeight="1">
      <c r="A50" s="5">
        <v>49.0</v>
      </c>
      <c r="B50" s="16"/>
      <c r="C50" s="16" t="s">
        <v>75</v>
      </c>
      <c r="D50" s="5" t="s">
        <v>17</v>
      </c>
      <c r="E50" s="6">
        <v>56.0</v>
      </c>
      <c r="F50" s="6" t="s">
        <v>18</v>
      </c>
      <c r="G50" s="6">
        <v>10.0</v>
      </c>
      <c r="H50" s="7">
        <f t="shared" si="2"/>
        <v>0.006944444444</v>
      </c>
      <c r="I50" s="6">
        <v>1.0</v>
      </c>
      <c r="K50" s="8"/>
    </row>
    <row r="51" ht="14.25" customHeight="1">
      <c r="A51" s="6">
        <v>50.0</v>
      </c>
      <c r="B51" s="16"/>
      <c r="C51" s="16" t="s">
        <v>76</v>
      </c>
      <c r="D51" s="5" t="s">
        <v>17</v>
      </c>
      <c r="E51" s="6">
        <v>56.0</v>
      </c>
      <c r="F51" s="6" t="s">
        <v>18</v>
      </c>
      <c r="G51" s="6">
        <v>20.0</v>
      </c>
      <c r="H51" s="7">
        <f t="shared" si="2"/>
        <v>0.01388888889</v>
      </c>
      <c r="I51" s="6">
        <v>1.0</v>
      </c>
      <c r="K51" s="8"/>
    </row>
    <row r="52" ht="14.25" customHeight="1">
      <c r="A52" s="5">
        <v>51.0</v>
      </c>
      <c r="B52" s="16"/>
      <c r="C52" s="16" t="s">
        <v>22</v>
      </c>
      <c r="D52" s="5" t="s">
        <v>17</v>
      </c>
      <c r="E52" s="6">
        <v>56.0</v>
      </c>
      <c r="F52" s="6" t="s">
        <v>18</v>
      </c>
      <c r="G52" s="6">
        <v>10.0</v>
      </c>
      <c r="H52" s="7">
        <f t="shared" si="2"/>
        <v>0.006944444444</v>
      </c>
      <c r="I52" s="6">
        <v>1.0</v>
      </c>
      <c r="K52" s="8"/>
    </row>
    <row r="53" ht="14.25" customHeight="1">
      <c r="A53" s="5">
        <v>52.0</v>
      </c>
      <c r="B53" s="6" t="s">
        <v>77</v>
      </c>
      <c r="C53" s="5" t="s">
        <v>78</v>
      </c>
      <c r="D53" s="5" t="s">
        <v>24</v>
      </c>
      <c r="E53" s="6">
        <v>56.0</v>
      </c>
      <c r="F53" s="6" t="s">
        <v>18</v>
      </c>
      <c r="G53" s="6">
        <v>30.0</v>
      </c>
      <c r="H53" s="7">
        <f t="shared" si="2"/>
        <v>0.02083333333</v>
      </c>
      <c r="I53" s="6">
        <v>1.0</v>
      </c>
      <c r="J53" s="5">
        <f>sum(G53:G61)</f>
        <v>1560</v>
      </c>
      <c r="K53" s="8">
        <f>J53/(60*24)</f>
        <v>1.083333333</v>
      </c>
    </row>
    <row r="54" ht="14.25" customHeight="1">
      <c r="A54" s="6">
        <v>53.0</v>
      </c>
      <c r="C54" s="5" t="s">
        <v>78</v>
      </c>
      <c r="D54" s="5" t="s">
        <v>17</v>
      </c>
      <c r="E54" s="6">
        <v>56.0</v>
      </c>
      <c r="F54" s="6" t="s">
        <v>18</v>
      </c>
      <c r="G54" s="6">
        <v>30.0</v>
      </c>
      <c r="H54" s="7">
        <f t="shared" si="2"/>
        <v>0.02083333333</v>
      </c>
      <c r="I54" s="6">
        <v>1.0</v>
      </c>
      <c r="K54" s="8"/>
    </row>
    <row r="55" ht="14.25" customHeight="1">
      <c r="A55" s="5">
        <v>54.0</v>
      </c>
      <c r="C55" s="5" t="s">
        <v>79</v>
      </c>
      <c r="D55" s="5" t="s">
        <v>17</v>
      </c>
      <c r="E55" s="6">
        <v>56.0</v>
      </c>
      <c r="F55" s="6" t="s">
        <v>18</v>
      </c>
      <c r="G55" s="6">
        <v>10.0</v>
      </c>
      <c r="H55" s="7">
        <f t="shared" si="2"/>
        <v>0.006944444444</v>
      </c>
      <c r="I55" s="6">
        <v>1.0</v>
      </c>
      <c r="K55" s="8"/>
    </row>
    <row r="56" ht="14.25" customHeight="1">
      <c r="A56" s="5">
        <v>55.0</v>
      </c>
      <c r="C56" s="5" t="s">
        <v>80</v>
      </c>
      <c r="D56" s="5" t="s">
        <v>17</v>
      </c>
      <c r="E56" s="6">
        <v>56.0</v>
      </c>
      <c r="F56" s="6" t="s">
        <v>18</v>
      </c>
      <c r="G56" s="6">
        <v>10.0</v>
      </c>
      <c r="H56" s="7">
        <f t="shared" si="2"/>
        <v>0.006944444444</v>
      </c>
      <c r="I56" s="6">
        <v>1.0</v>
      </c>
      <c r="K56" s="8"/>
    </row>
    <row r="57" ht="14.25" customHeight="1">
      <c r="A57" s="6">
        <v>56.0</v>
      </c>
      <c r="C57" s="5" t="s">
        <v>81</v>
      </c>
      <c r="D57" s="5" t="s">
        <v>24</v>
      </c>
      <c r="E57" s="6">
        <v>56.0</v>
      </c>
      <c r="F57" s="6" t="s">
        <v>18</v>
      </c>
      <c r="G57" s="6">
        <v>10.0</v>
      </c>
      <c r="H57" s="7">
        <f t="shared" si="2"/>
        <v>0.006944444444</v>
      </c>
      <c r="I57" s="6">
        <v>1.0</v>
      </c>
      <c r="K57" s="8"/>
    </row>
    <row r="58" ht="14.25" customHeight="1">
      <c r="A58" s="5">
        <v>57.0</v>
      </c>
      <c r="C58" s="5" t="s">
        <v>82</v>
      </c>
      <c r="D58" s="5" t="s">
        <v>24</v>
      </c>
      <c r="E58" s="6">
        <v>56.0</v>
      </c>
      <c r="F58" s="6" t="s">
        <v>18</v>
      </c>
      <c r="G58" s="6">
        <v>1440.0</v>
      </c>
      <c r="H58" s="7">
        <f t="shared" si="2"/>
        <v>1</v>
      </c>
      <c r="I58" s="6">
        <v>1.0</v>
      </c>
      <c r="K58" s="8"/>
    </row>
    <row r="59" ht="14.25" customHeight="1">
      <c r="A59" s="5">
        <v>58.0</v>
      </c>
      <c r="C59" s="5" t="s">
        <v>83</v>
      </c>
      <c r="D59" s="5" t="s">
        <v>24</v>
      </c>
      <c r="E59" s="6">
        <v>56.0</v>
      </c>
      <c r="F59" s="6" t="s">
        <v>18</v>
      </c>
      <c r="G59" s="6">
        <v>10.0</v>
      </c>
      <c r="H59" s="7">
        <f t="shared" si="2"/>
        <v>0.006944444444</v>
      </c>
      <c r="I59" s="6">
        <v>1.0</v>
      </c>
      <c r="K59" s="8"/>
    </row>
    <row r="60" ht="14.25" customHeight="1">
      <c r="A60" s="6">
        <v>59.0</v>
      </c>
      <c r="C60" s="5" t="s">
        <v>84</v>
      </c>
      <c r="D60" s="5" t="s">
        <v>17</v>
      </c>
      <c r="E60" s="6">
        <v>56.0</v>
      </c>
      <c r="F60" s="6" t="s">
        <v>18</v>
      </c>
      <c r="G60" s="6">
        <v>10.0</v>
      </c>
      <c r="H60" s="7">
        <f t="shared" si="2"/>
        <v>0.006944444444</v>
      </c>
      <c r="I60" s="6">
        <v>1.0</v>
      </c>
      <c r="K60" s="8"/>
    </row>
    <row r="61" ht="14.25" customHeight="1">
      <c r="A61" s="5">
        <v>60.0</v>
      </c>
      <c r="C61" s="5" t="s">
        <v>85</v>
      </c>
      <c r="D61" s="5" t="s">
        <v>17</v>
      </c>
      <c r="E61" s="6">
        <v>56.0</v>
      </c>
      <c r="F61" s="6" t="s">
        <v>18</v>
      </c>
      <c r="G61" s="6">
        <v>10.0</v>
      </c>
      <c r="H61" s="7">
        <f t="shared" si="2"/>
        <v>0.006944444444</v>
      </c>
      <c r="I61" s="6">
        <v>1.0</v>
      </c>
      <c r="K61" s="8"/>
    </row>
    <row r="62" ht="14.25" customHeight="1">
      <c r="A62" s="5">
        <v>61.0</v>
      </c>
      <c r="B62" s="6" t="s">
        <v>86</v>
      </c>
      <c r="C62" s="5" t="s">
        <v>87</v>
      </c>
      <c r="D62" s="5" t="s">
        <v>24</v>
      </c>
      <c r="E62" s="6">
        <v>56.0</v>
      </c>
      <c r="F62" s="6" t="s">
        <v>18</v>
      </c>
      <c r="G62" s="6">
        <v>10.0</v>
      </c>
      <c r="H62" s="7">
        <f t="shared" si="2"/>
        <v>0.006944444444</v>
      </c>
      <c r="I62" s="6">
        <v>1.0</v>
      </c>
      <c r="J62" s="5">
        <f>sum(G62:G67)</f>
        <v>8940</v>
      </c>
      <c r="K62" s="8">
        <f>J62/(60*24)</f>
        <v>6.208333333</v>
      </c>
    </row>
    <row r="63" ht="14.25" customHeight="1">
      <c r="A63" s="6">
        <v>62.0</v>
      </c>
      <c r="C63" s="5" t="s">
        <v>87</v>
      </c>
      <c r="D63" s="5" t="s">
        <v>17</v>
      </c>
      <c r="E63" s="6">
        <v>56.0</v>
      </c>
      <c r="F63" s="6" t="s">
        <v>18</v>
      </c>
      <c r="G63" s="6">
        <v>10.0</v>
      </c>
      <c r="H63" s="7">
        <f t="shared" si="2"/>
        <v>0.006944444444</v>
      </c>
      <c r="I63" s="6">
        <v>1.0</v>
      </c>
      <c r="K63" s="8"/>
    </row>
    <row r="64" ht="14.25" customHeight="1">
      <c r="A64" s="5">
        <v>63.0</v>
      </c>
      <c r="C64" s="5" t="s">
        <v>37</v>
      </c>
      <c r="D64" s="5" t="s">
        <v>38</v>
      </c>
      <c r="E64" s="6">
        <v>56.0</v>
      </c>
      <c r="F64" s="6" t="s">
        <v>18</v>
      </c>
      <c r="G64" s="6">
        <v>40.0</v>
      </c>
      <c r="H64" s="7">
        <f t="shared" si="2"/>
        <v>0.02777777778</v>
      </c>
      <c r="I64" s="6">
        <v>1.0</v>
      </c>
      <c r="K64" s="8"/>
    </row>
    <row r="65" ht="14.25" customHeight="1">
      <c r="A65" s="5">
        <v>64.0</v>
      </c>
      <c r="C65" s="5" t="s">
        <v>39</v>
      </c>
      <c r="D65" s="5" t="s">
        <v>38</v>
      </c>
      <c r="E65" s="6">
        <v>56.0</v>
      </c>
      <c r="F65" s="6" t="s">
        <v>18</v>
      </c>
      <c r="G65" s="6">
        <v>180.0</v>
      </c>
      <c r="H65" s="7">
        <f t="shared" si="2"/>
        <v>0.125</v>
      </c>
      <c r="I65" s="6">
        <v>1.0</v>
      </c>
      <c r="K65" s="8"/>
    </row>
    <row r="66" ht="14.25" customHeight="1">
      <c r="A66" s="6">
        <v>65.0</v>
      </c>
      <c r="C66" s="5" t="s">
        <v>40</v>
      </c>
      <c r="D66" s="5" t="s">
        <v>38</v>
      </c>
      <c r="E66" s="6">
        <v>56.0</v>
      </c>
      <c r="F66" s="6" t="s">
        <v>18</v>
      </c>
      <c r="G66" s="6">
        <v>1500.0</v>
      </c>
      <c r="H66" s="7">
        <f t="shared" si="2"/>
        <v>1.041666667</v>
      </c>
      <c r="I66" s="6">
        <v>1.0</v>
      </c>
      <c r="K66" s="8"/>
    </row>
    <row r="67" ht="14.25" customHeight="1">
      <c r="A67" s="5">
        <v>66.0</v>
      </c>
      <c r="C67" s="5" t="s">
        <v>41</v>
      </c>
      <c r="D67" s="5" t="s">
        <v>38</v>
      </c>
      <c r="E67" s="6">
        <v>56.0</v>
      </c>
      <c r="F67" s="6" t="s">
        <v>18</v>
      </c>
      <c r="G67" s="6">
        <v>7200.0</v>
      </c>
      <c r="H67" s="7">
        <f t="shared" si="2"/>
        <v>5</v>
      </c>
      <c r="I67" s="6">
        <v>1.0</v>
      </c>
      <c r="K67" s="8"/>
    </row>
    <row r="68" ht="14.25" customHeight="1">
      <c r="A68" s="5">
        <v>67.0</v>
      </c>
      <c r="B68" s="6" t="s">
        <v>88</v>
      </c>
      <c r="C68" s="5" t="s">
        <v>89</v>
      </c>
      <c r="D68" s="5" t="s">
        <v>90</v>
      </c>
      <c r="E68" s="6">
        <v>56.0</v>
      </c>
      <c r="F68" s="6" t="s">
        <v>91</v>
      </c>
      <c r="G68" s="6">
        <v>10.0</v>
      </c>
      <c r="H68" s="7">
        <f t="shared" si="2"/>
        <v>0.006944444444</v>
      </c>
      <c r="I68" s="6">
        <v>1.0</v>
      </c>
      <c r="J68" s="5">
        <f>sum(G68:G74)</f>
        <v>8940</v>
      </c>
      <c r="K68" s="8">
        <f>J68/(60*24)</f>
        <v>6.208333333</v>
      </c>
    </row>
    <row r="69" ht="14.25" customHeight="1">
      <c r="A69" s="6">
        <v>68.0</v>
      </c>
      <c r="C69" s="5" t="s">
        <v>92</v>
      </c>
      <c r="D69" s="5" t="s">
        <v>90</v>
      </c>
      <c r="E69" s="6">
        <v>56.0</v>
      </c>
      <c r="F69" s="6" t="s">
        <v>91</v>
      </c>
      <c r="G69" s="6">
        <v>5.0</v>
      </c>
      <c r="H69" s="7">
        <f t="shared" si="2"/>
        <v>0.003472222222</v>
      </c>
      <c r="I69" s="6">
        <v>1.0</v>
      </c>
      <c r="K69" s="8"/>
    </row>
    <row r="70" ht="14.25" customHeight="1">
      <c r="A70" s="5">
        <v>69.0</v>
      </c>
      <c r="C70" s="5" t="s">
        <v>93</v>
      </c>
      <c r="D70" s="5" t="s">
        <v>17</v>
      </c>
      <c r="E70" s="6">
        <v>56.0</v>
      </c>
      <c r="F70" s="6" t="s">
        <v>91</v>
      </c>
      <c r="G70" s="6">
        <v>5.0</v>
      </c>
      <c r="H70" s="7">
        <f t="shared" si="2"/>
        <v>0.003472222222</v>
      </c>
      <c r="I70" s="6">
        <v>1.0</v>
      </c>
      <c r="K70" s="8"/>
    </row>
    <row r="71" ht="14.25" customHeight="1">
      <c r="A71" s="5">
        <v>70.0</v>
      </c>
      <c r="C71" s="5" t="s">
        <v>37</v>
      </c>
      <c r="D71" s="5" t="s">
        <v>17</v>
      </c>
      <c r="E71" s="6">
        <v>56.0</v>
      </c>
      <c r="F71" s="6" t="s">
        <v>91</v>
      </c>
      <c r="G71" s="6">
        <v>40.0</v>
      </c>
      <c r="H71" s="7">
        <f t="shared" si="2"/>
        <v>0.02777777778</v>
      </c>
      <c r="I71" s="6">
        <v>1.0</v>
      </c>
      <c r="K71" s="8"/>
    </row>
    <row r="72" ht="14.25" customHeight="1">
      <c r="A72" s="6">
        <v>71.0</v>
      </c>
      <c r="C72" s="5" t="s">
        <v>39</v>
      </c>
      <c r="D72" s="5" t="s">
        <v>17</v>
      </c>
      <c r="E72" s="6">
        <v>56.0</v>
      </c>
      <c r="F72" s="6" t="s">
        <v>91</v>
      </c>
      <c r="G72" s="6">
        <v>180.0</v>
      </c>
      <c r="H72" s="7">
        <f t="shared" si="2"/>
        <v>0.125</v>
      </c>
      <c r="I72" s="6">
        <v>1.0</v>
      </c>
      <c r="K72" s="8"/>
    </row>
    <row r="73" ht="14.25" customHeight="1">
      <c r="A73" s="5">
        <v>72.0</v>
      </c>
      <c r="C73" s="5" t="s">
        <v>40</v>
      </c>
      <c r="D73" s="5" t="s">
        <v>17</v>
      </c>
      <c r="E73" s="6">
        <v>56.0</v>
      </c>
      <c r="F73" s="6" t="s">
        <v>91</v>
      </c>
      <c r="G73" s="6">
        <v>1500.0</v>
      </c>
      <c r="H73" s="7">
        <f t="shared" si="2"/>
        <v>1.041666667</v>
      </c>
      <c r="I73" s="6">
        <v>1.0</v>
      </c>
      <c r="K73" s="8"/>
    </row>
    <row r="74" ht="14.25" customHeight="1">
      <c r="A74" s="5">
        <v>73.0</v>
      </c>
      <c r="C74" s="5" t="s">
        <v>41</v>
      </c>
      <c r="D74" s="5" t="s">
        <v>17</v>
      </c>
      <c r="E74" s="6">
        <v>56.0</v>
      </c>
      <c r="F74" s="6" t="s">
        <v>91</v>
      </c>
      <c r="G74" s="6">
        <v>7200.0</v>
      </c>
      <c r="H74" s="7">
        <f t="shared" si="2"/>
        <v>5</v>
      </c>
      <c r="I74" s="6">
        <v>1.0</v>
      </c>
      <c r="K74" s="8"/>
    </row>
    <row r="75" ht="14.25" customHeight="1">
      <c r="A75" s="6">
        <v>74.0</v>
      </c>
      <c r="B75" s="6" t="s">
        <v>94</v>
      </c>
      <c r="C75" s="5" t="s">
        <v>95</v>
      </c>
      <c r="D75" s="5" t="s">
        <v>17</v>
      </c>
      <c r="E75" s="6">
        <v>56.0</v>
      </c>
      <c r="F75" s="6" t="s">
        <v>91</v>
      </c>
      <c r="G75" s="6">
        <v>5.0</v>
      </c>
      <c r="H75" s="7">
        <f t="shared" si="2"/>
        <v>0.003472222222</v>
      </c>
      <c r="I75" s="6">
        <v>1.0</v>
      </c>
      <c r="J75" s="5">
        <f>sum(G75)</f>
        <v>5</v>
      </c>
      <c r="K75" s="8">
        <f t="shared" ref="K75:K77" si="14">J75/(60*24)</f>
        <v>0.003472222222</v>
      </c>
    </row>
    <row r="76" ht="14.25" customHeight="1">
      <c r="A76" s="17" t="s">
        <v>96</v>
      </c>
      <c r="G76" s="18">
        <f>sum(G2:G75)</f>
        <v>49625</v>
      </c>
      <c r="H76" s="19"/>
      <c r="J76" s="18">
        <f>sum(J2:J75)</f>
        <v>49625</v>
      </c>
      <c r="K76" s="5">
        <f t="shared" si="14"/>
        <v>34.46180556</v>
      </c>
    </row>
    <row r="77" ht="14.25" customHeight="1">
      <c r="A77" s="17" t="s">
        <v>97</v>
      </c>
      <c r="G77" s="20">
        <f>G76/1440</f>
        <v>34.46180556</v>
      </c>
      <c r="H77" s="19"/>
      <c r="J77" s="20">
        <f>J76/1440</f>
        <v>34.46180556</v>
      </c>
      <c r="K77" s="5">
        <f t="shared" si="14"/>
        <v>0.02393180941</v>
      </c>
    </row>
    <row r="78" ht="14.25" customHeight="1">
      <c r="H78" s="19"/>
    </row>
    <row r="79" ht="14.25" customHeight="1">
      <c r="H79" s="19"/>
    </row>
    <row r="80" ht="14.25" customHeight="1">
      <c r="H80" s="19"/>
    </row>
    <row r="81" ht="14.25" customHeight="1">
      <c r="H81" s="19"/>
    </row>
    <row r="82" ht="14.25" customHeight="1">
      <c r="H82" s="19"/>
    </row>
    <row r="83" ht="14.25" customHeight="1">
      <c r="H83" s="19"/>
    </row>
    <row r="84" ht="14.25" customHeight="1">
      <c r="H84" s="19"/>
    </row>
    <row r="85" ht="14.25" customHeight="1">
      <c r="H85" s="19"/>
    </row>
    <row r="86" ht="14.25" customHeight="1">
      <c r="H86" s="19"/>
    </row>
    <row r="87" ht="14.25" customHeight="1">
      <c r="H87" s="19"/>
    </row>
    <row r="88" ht="14.25" customHeight="1">
      <c r="H88" s="19"/>
    </row>
    <row r="89" ht="14.25" customHeight="1">
      <c r="H89" s="19"/>
    </row>
    <row r="90" ht="14.25" customHeight="1">
      <c r="H90" s="19"/>
    </row>
    <row r="91" ht="14.25" customHeight="1">
      <c r="H91" s="19"/>
    </row>
    <row r="92" ht="14.25" customHeight="1">
      <c r="H92" s="19"/>
    </row>
    <row r="93" ht="14.25" customHeight="1">
      <c r="H93" s="19"/>
    </row>
    <row r="94" ht="14.25" customHeight="1">
      <c r="H94" s="19"/>
    </row>
    <row r="95" ht="14.25" customHeight="1">
      <c r="H95" s="19"/>
    </row>
    <row r="96" ht="14.25" customHeight="1">
      <c r="H96" s="19"/>
    </row>
    <row r="97" ht="14.25" customHeight="1">
      <c r="H97" s="19"/>
    </row>
    <row r="98" ht="14.25" customHeight="1">
      <c r="H98" s="19"/>
    </row>
    <row r="99" ht="14.25" customHeight="1">
      <c r="H99" s="19"/>
    </row>
    <row r="100" ht="14.25" customHeight="1">
      <c r="H100" s="19"/>
    </row>
    <row r="101" ht="14.25" customHeight="1">
      <c r="H101" s="19"/>
    </row>
    <row r="102" ht="14.25" customHeight="1">
      <c r="H102" s="19"/>
    </row>
    <row r="103" ht="14.25" customHeight="1">
      <c r="H103" s="19"/>
    </row>
    <row r="104" ht="14.25" customHeight="1">
      <c r="H104" s="19"/>
    </row>
    <row r="105" ht="14.25" customHeight="1">
      <c r="H105" s="19"/>
    </row>
    <row r="106" ht="14.25" customHeight="1">
      <c r="H106" s="19"/>
    </row>
    <row r="107" ht="14.25" customHeight="1">
      <c r="H107" s="19"/>
    </row>
    <row r="108" ht="14.25" customHeight="1">
      <c r="H108" s="19"/>
    </row>
    <row r="109" ht="14.25" customHeight="1">
      <c r="H109" s="19"/>
    </row>
    <row r="110" ht="14.25" customHeight="1">
      <c r="H110" s="19"/>
    </row>
    <row r="111" ht="14.25" customHeight="1">
      <c r="H111" s="19"/>
    </row>
    <row r="112" ht="14.25" customHeight="1">
      <c r="H112" s="19"/>
    </row>
    <row r="113" ht="14.25" customHeight="1">
      <c r="H113" s="19"/>
    </row>
    <row r="114" ht="14.25" customHeight="1">
      <c r="H114" s="19"/>
    </row>
    <row r="115" ht="14.25" customHeight="1">
      <c r="H115" s="19"/>
    </row>
    <row r="116" ht="14.25" customHeight="1">
      <c r="H116" s="19"/>
    </row>
    <row r="117" ht="14.25" customHeight="1">
      <c r="H117" s="19"/>
    </row>
    <row r="118" ht="14.25" customHeight="1">
      <c r="H118" s="19"/>
    </row>
    <row r="119" ht="14.25" customHeight="1">
      <c r="H119" s="19"/>
    </row>
    <row r="120" ht="14.25" customHeight="1">
      <c r="H120" s="19"/>
    </row>
    <row r="121" ht="14.25" customHeight="1">
      <c r="H121" s="19"/>
    </row>
    <row r="122" ht="14.25" customHeight="1">
      <c r="H122" s="19"/>
    </row>
    <row r="123" ht="14.25" customHeight="1">
      <c r="H123" s="19"/>
    </row>
    <row r="124" ht="14.25" customHeight="1">
      <c r="H124" s="19"/>
    </row>
    <row r="125" ht="14.25" customHeight="1">
      <c r="H125" s="19"/>
    </row>
    <row r="126" ht="14.25" customHeight="1">
      <c r="H126" s="19"/>
    </row>
    <row r="127" ht="14.25" customHeight="1">
      <c r="H127" s="19"/>
    </row>
    <row r="128" ht="14.25" customHeight="1">
      <c r="H128" s="19"/>
    </row>
    <row r="129" ht="14.25" customHeight="1">
      <c r="H129" s="19"/>
    </row>
    <row r="130" ht="14.25" customHeight="1">
      <c r="H130" s="19"/>
    </row>
    <row r="131" ht="14.25" customHeight="1">
      <c r="H131" s="19"/>
    </row>
    <row r="132" ht="14.25" customHeight="1">
      <c r="H132" s="19"/>
    </row>
    <row r="133" ht="14.25" customHeight="1">
      <c r="H133" s="19"/>
    </row>
    <row r="134" ht="14.25" customHeight="1">
      <c r="H134" s="19"/>
    </row>
    <row r="135" ht="14.25" customHeight="1">
      <c r="H135" s="19"/>
    </row>
    <row r="136" ht="14.25" customHeight="1">
      <c r="H136" s="19"/>
    </row>
    <row r="137" ht="14.25" customHeight="1">
      <c r="H137" s="19"/>
    </row>
    <row r="138" ht="14.25" customHeight="1">
      <c r="H138" s="19"/>
    </row>
    <row r="139" ht="14.25" customHeight="1">
      <c r="H139" s="19"/>
    </row>
    <row r="140" ht="14.25" customHeight="1">
      <c r="H140" s="19"/>
    </row>
    <row r="141" ht="14.25" customHeight="1">
      <c r="H141" s="19"/>
    </row>
    <row r="142" ht="14.25" customHeight="1">
      <c r="H142" s="19"/>
    </row>
    <row r="143" ht="14.25" customHeight="1">
      <c r="H143" s="19"/>
    </row>
    <row r="144" ht="14.25" customHeight="1">
      <c r="H144" s="19"/>
    </row>
    <row r="145" ht="14.25" customHeight="1">
      <c r="H145" s="19"/>
    </row>
    <row r="146" ht="14.25" customHeight="1">
      <c r="H146" s="19"/>
    </row>
    <row r="147" ht="14.25" customHeight="1">
      <c r="H147" s="19"/>
    </row>
    <row r="148" ht="14.25" customHeight="1">
      <c r="H148" s="19"/>
    </row>
    <row r="149" ht="14.25" customHeight="1">
      <c r="H149" s="19"/>
    </row>
    <row r="150" ht="14.25" customHeight="1">
      <c r="H150" s="19"/>
    </row>
    <row r="151" ht="14.25" customHeight="1">
      <c r="H151" s="19"/>
    </row>
    <row r="152" ht="14.25" customHeight="1">
      <c r="H152" s="19"/>
    </row>
    <row r="153" ht="14.25" customHeight="1">
      <c r="H153" s="19"/>
    </row>
    <row r="154" ht="14.25" customHeight="1">
      <c r="H154" s="19"/>
    </row>
    <row r="155" ht="14.25" customHeight="1">
      <c r="H155" s="19"/>
    </row>
    <row r="156" ht="14.25" customHeight="1">
      <c r="H156" s="19"/>
    </row>
    <row r="157" ht="14.25" customHeight="1">
      <c r="H157" s="19"/>
    </row>
    <row r="158" ht="14.25" customHeight="1">
      <c r="H158" s="19"/>
    </row>
    <row r="159" ht="14.25" customHeight="1">
      <c r="H159" s="19"/>
    </row>
    <row r="160" ht="14.25" customHeight="1">
      <c r="H160" s="19"/>
    </row>
    <row r="161" ht="14.25" customHeight="1">
      <c r="H161" s="19"/>
    </row>
    <row r="162" ht="14.25" customHeight="1">
      <c r="H162" s="19"/>
    </row>
    <row r="163" ht="14.25" customHeight="1">
      <c r="H163" s="19"/>
    </row>
    <row r="164" ht="14.25" customHeight="1">
      <c r="H164" s="19"/>
    </row>
    <row r="165" ht="14.25" customHeight="1">
      <c r="H165" s="19"/>
    </row>
    <row r="166" ht="14.25" customHeight="1">
      <c r="H166" s="19"/>
    </row>
    <row r="167" ht="14.25" customHeight="1">
      <c r="H167" s="19"/>
    </row>
    <row r="168" ht="14.25" customHeight="1">
      <c r="H168" s="19"/>
    </row>
    <row r="169" ht="14.25" customHeight="1">
      <c r="H169" s="19"/>
    </row>
    <row r="170" ht="14.25" customHeight="1">
      <c r="H170" s="19"/>
    </row>
    <row r="171" ht="14.25" customHeight="1">
      <c r="H171" s="19"/>
    </row>
    <row r="172" ht="14.25" customHeight="1">
      <c r="H172" s="19"/>
    </row>
    <row r="173" ht="14.25" customHeight="1">
      <c r="H173" s="19"/>
    </row>
    <row r="174" ht="14.25" customHeight="1">
      <c r="H174" s="19"/>
    </row>
    <row r="175" ht="14.25" customHeight="1">
      <c r="H175" s="19"/>
    </row>
    <row r="176" ht="14.25" customHeight="1">
      <c r="H176" s="19"/>
    </row>
    <row r="177" ht="14.25" customHeight="1">
      <c r="H177" s="19"/>
    </row>
    <row r="178" ht="14.25" customHeight="1">
      <c r="H178" s="19"/>
    </row>
    <row r="179" ht="14.25" customHeight="1">
      <c r="H179" s="19"/>
    </row>
    <row r="180" ht="14.25" customHeight="1">
      <c r="H180" s="19"/>
    </row>
    <row r="181" ht="14.25" customHeight="1">
      <c r="H181" s="19"/>
    </row>
    <row r="182" ht="14.25" customHeight="1">
      <c r="H182" s="19"/>
    </row>
    <row r="183" ht="14.25" customHeight="1">
      <c r="H183" s="19"/>
    </row>
    <row r="184" ht="14.25" customHeight="1">
      <c r="H184" s="19"/>
    </row>
    <row r="185" ht="14.25" customHeight="1">
      <c r="H185" s="19"/>
    </row>
    <row r="186" ht="14.25" customHeight="1">
      <c r="H186" s="19"/>
    </row>
    <row r="187" ht="14.25" customHeight="1">
      <c r="H187" s="19"/>
    </row>
    <row r="188" ht="14.25" customHeight="1">
      <c r="H188" s="19"/>
    </row>
    <row r="189" ht="14.25" customHeight="1">
      <c r="H189" s="19"/>
    </row>
    <row r="190" ht="14.25" customHeight="1">
      <c r="H190" s="19"/>
    </row>
    <row r="191" ht="14.25" customHeight="1">
      <c r="H191" s="19"/>
    </row>
    <row r="192" ht="14.25" customHeight="1">
      <c r="H192" s="19"/>
    </row>
    <row r="193" ht="14.25" customHeight="1">
      <c r="H193" s="19"/>
    </row>
    <row r="194" ht="14.25" customHeight="1">
      <c r="H194" s="19"/>
    </row>
    <row r="195" ht="14.25" customHeight="1">
      <c r="H195" s="19"/>
    </row>
    <row r="196" ht="14.25" customHeight="1">
      <c r="H196" s="19"/>
    </row>
    <row r="197" ht="14.25" customHeight="1">
      <c r="H197" s="19"/>
    </row>
    <row r="198" ht="14.25" customHeight="1">
      <c r="H198" s="19"/>
    </row>
    <row r="199" ht="14.25" customHeight="1">
      <c r="H199" s="19"/>
    </row>
    <row r="200" ht="14.25" customHeight="1">
      <c r="H200" s="19"/>
    </row>
    <row r="201" ht="14.25" customHeight="1">
      <c r="H201" s="19"/>
    </row>
    <row r="202" ht="14.25" customHeight="1">
      <c r="H202" s="19"/>
    </row>
    <row r="203" ht="14.25" customHeight="1">
      <c r="H203" s="19"/>
    </row>
    <row r="204" ht="14.25" customHeight="1">
      <c r="H204" s="19"/>
    </row>
    <row r="205" ht="14.25" customHeight="1">
      <c r="H205" s="19"/>
    </row>
    <row r="206" ht="14.25" customHeight="1">
      <c r="H206" s="19"/>
    </row>
    <row r="207" ht="14.25" customHeight="1">
      <c r="H207" s="19"/>
    </row>
    <row r="208" ht="14.25" customHeight="1">
      <c r="H208" s="19"/>
    </row>
    <row r="209" ht="14.25" customHeight="1">
      <c r="H209" s="19"/>
    </row>
    <row r="210" ht="14.25" customHeight="1">
      <c r="H210" s="19"/>
    </row>
    <row r="211" ht="14.25" customHeight="1">
      <c r="H211" s="19"/>
    </row>
    <row r="212" ht="14.25" customHeight="1">
      <c r="H212" s="19"/>
    </row>
    <row r="213" ht="14.25" customHeight="1">
      <c r="H213" s="19"/>
    </row>
    <row r="214" ht="14.25" customHeight="1">
      <c r="H214" s="19"/>
    </row>
    <row r="215" ht="14.25" customHeight="1">
      <c r="H215" s="19"/>
    </row>
    <row r="216" ht="14.25" customHeight="1">
      <c r="H216" s="19"/>
    </row>
    <row r="217" ht="14.25" customHeight="1">
      <c r="H217" s="19"/>
    </row>
    <row r="218" ht="14.25" customHeight="1">
      <c r="H218" s="19"/>
    </row>
    <row r="219" ht="14.25" customHeight="1">
      <c r="H219" s="19"/>
    </row>
    <row r="220" ht="14.25" customHeight="1">
      <c r="H220" s="19"/>
    </row>
    <row r="221" ht="14.25" customHeight="1">
      <c r="H221" s="19"/>
    </row>
    <row r="222" ht="14.25" customHeight="1">
      <c r="H222" s="19"/>
    </row>
    <row r="223" ht="14.25" customHeight="1">
      <c r="H223" s="19"/>
    </row>
    <row r="224" ht="14.25" customHeight="1">
      <c r="H224" s="19"/>
    </row>
    <row r="225" ht="14.25" customHeight="1">
      <c r="H225" s="19"/>
    </row>
    <row r="226" ht="14.25" customHeight="1">
      <c r="H226" s="19"/>
    </row>
    <row r="227" ht="14.25" customHeight="1">
      <c r="H227" s="19"/>
    </row>
    <row r="228" ht="14.25" customHeight="1">
      <c r="H228" s="19"/>
    </row>
    <row r="229" ht="14.25" customHeight="1">
      <c r="H229" s="19"/>
    </row>
    <row r="230" ht="14.25" customHeight="1">
      <c r="H230" s="19"/>
    </row>
    <row r="231" ht="14.25" customHeight="1">
      <c r="H231" s="19"/>
    </row>
    <row r="232" ht="14.25" customHeight="1">
      <c r="H232" s="19"/>
    </row>
    <row r="233" ht="14.25" customHeight="1">
      <c r="H233" s="19"/>
    </row>
    <row r="234" ht="14.25" customHeight="1">
      <c r="H234" s="19"/>
    </row>
    <row r="235" ht="14.25" customHeight="1">
      <c r="H235" s="19"/>
    </row>
    <row r="236" ht="14.25" customHeight="1">
      <c r="H236" s="19"/>
    </row>
    <row r="237" ht="14.25" customHeight="1">
      <c r="H237" s="19"/>
    </row>
    <row r="238" ht="14.25" customHeight="1">
      <c r="H238" s="19"/>
    </row>
    <row r="239" ht="14.25" customHeight="1">
      <c r="H239" s="19"/>
    </row>
    <row r="240" ht="14.25" customHeight="1">
      <c r="H240" s="19"/>
    </row>
    <row r="241" ht="14.25" customHeight="1">
      <c r="H241" s="19"/>
    </row>
    <row r="242" ht="14.25" customHeight="1">
      <c r="H242" s="19"/>
    </row>
    <row r="243" ht="14.25" customHeight="1">
      <c r="H243" s="19"/>
    </row>
    <row r="244" ht="14.25" customHeight="1">
      <c r="H244" s="19"/>
    </row>
    <row r="245" ht="14.25" customHeight="1">
      <c r="H245" s="19"/>
    </row>
    <row r="246" ht="14.25" customHeight="1">
      <c r="H246" s="19"/>
    </row>
    <row r="247" ht="14.25" customHeight="1">
      <c r="H247" s="19"/>
    </row>
    <row r="248" ht="14.25" customHeight="1">
      <c r="H248" s="19"/>
    </row>
    <row r="249" ht="14.25" customHeight="1">
      <c r="H249" s="19"/>
    </row>
    <row r="250" ht="14.25" customHeight="1">
      <c r="H250" s="19"/>
    </row>
    <row r="251" ht="14.25" customHeight="1">
      <c r="H251" s="19"/>
    </row>
    <row r="252" ht="14.25" customHeight="1">
      <c r="H252" s="19"/>
    </row>
    <row r="253" ht="14.25" customHeight="1">
      <c r="H253" s="19"/>
    </row>
    <row r="254" ht="14.25" customHeight="1">
      <c r="H254" s="19"/>
    </row>
    <row r="255" ht="14.25" customHeight="1">
      <c r="H255" s="19"/>
    </row>
    <row r="256" ht="14.25" customHeight="1">
      <c r="H256" s="19"/>
    </row>
    <row r="257" ht="14.25" customHeight="1">
      <c r="H257" s="19"/>
    </row>
    <row r="258" ht="14.25" customHeight="1">
      <c r="H258" s="19"/>
    </row>
    <row r="259" ht="14.25" customHeight="1">
      <c r="H259" s="19"/>
    </row>
    <row r="260" ht="14.25" customHeight="1">
      <c r="H260" s="19"/>
    </row>
    <row r="261" ht="14.25" customHeight="1">
      <c r="H261" s="19"/>
    </row>
    <row r="262" ht="14.25" customHeight="1">
      <c r="H262" s="19"/>
    </row>
    <row r="263" ht="14.25" customHeight="1">
      <c r="H263" s="19"/>
    </row>
    <row r="264" ht="14.25" customHeight="1">
      <c r="H264" s="19"/>
    </row>
    <row r="265" ht="14.25" customHeight="1">
      <c r="H265" s="19"/>
    </row>
    <row r="266" ht="14.25" customHeight="1">
      <c r="H266" s="19"/>
    </row>
    <row r="267" ht="14.25" customHeight="1">
      <c r="H267" s="19"/>
    </row>
    <row r="268" ht="14.25" customHeight="1">
      <c r="H268" s="19"/>
    </row>
    <row r="269" ht="14.25" customHeight="1">
      <c r="H269" s="19"/>
    </row>
    <row r="270" ht="14.25" customHeight="1">
      <c r="H270" s="19"/>
    </row>
    <row r="271" ht="14.25" customHeight="1">
      <c r="H271" s="19"/>
    </row>
    <row r="272" ht="14.25" customHeight="1">
      <c r="H272" s="19"/>
    </row>
    <row r="273" ht="14.25" customHeight="1">
      <c r="H273" s="19"/>
    </row>
    <row r="274" ht="14.25" customHeight="1">
      <c r="H274" s="19"/>
    </row>
    <row r="275" ht="14.25" customHeight="1">
      <c r="H275" s="19"/>
    </row>
    <row r="276" ht="14.25" customHeight="1">
      <c r="H276" s="19"/>
    </row>
    <row r="277" ht="14.25" customHeight="1">
      <c r="H277" s="19"/>
    </row>
    <row r="278" ht="14.25" customHeight="1">
      <c r="H278" s="19"/>
    </row>
    <row r="279" ht="14.25" customHeight="1">
      <c r="H279" s="19"/>
    </row>
    <row r="280" ht="14.25" customHeight="1">
      <c r="H280" s="19"/>
    </row>
    <row r="281" ht="14.25" customHeight="1">
      <c r="H281" s="19"/>
    </row>
    <row r="282" ht="14.25" customHeight="1">
      <c r="H282" s="19"/>
    </row>
    <row r="283" ht="14.25" customHeight="1">
      <c r="H283" s="19"/>
    </row>
    <row r="284" ht="14.25" customHeight="1">
      <c r="H284" s="19"/>
    </row>
    <row r="285" ht="14.25" customHeight="1">
      <c r="H285" s="19"/>
    </row>
    <row r="286" ht="14.25" customHeight="1">
      <c r="H286" s="19"/>
    </row>
    <row r="287" ht="14.25" customHeight="1">
      <c r="H287" s="19"/>
    </row>
    <row r="288" ht="14.25" customHeight="1">
      <c r="H288" s="19"/>
    </row>
    <row r="289" ht="14.25" customHeight="1">
      <c r="H289" s="19"/>
    </row>
    <row r="290" ht="14.25" customHeight="1">
      <c r="H290" s="19"/>
    </row>
    <row r="291" ht="14.25" customHeight="1">
      <c r="H291" s="19"/>
    </row>
    <row r="292" ht="14.25" customHeight="1">
      <c r="H292" s="19"/>
    </row>
    <row r="293" ht="14.25" customHeight="1">
      <c r="H293" s="19"/>
    </row>
    <row r="294" ht="14.25" customHeight="1">
      <c r="H294" s="19"/>
    </row>
    <row r="295" ht="14.25" customHeight="1">
      <c r="H295" s="19"/>
    </row>
    <row r="296" ht="14.25" customHeight="1">
      <c r="H296" s="19"/>
    </row>
    <row r="297" ht="14.25" customHeight="1">
      <c r="H297" s="19"/>
    </row>
    <row r="298" ht="14.25" customHeight="1">
      <c r="H298" s="19"/>
    </row>
    <row r="299" ht="14.25" customHeight="1">
      <c r="H299" s="19"/>
    </row>
    <row r="300" ht="14.25" customHeight="1">
      <c r="H300" s="19"/>
    </row>
    <row r="301" ht="14.25" customHeight="1">
      <c r="H301" s="19"/>
    </row>
    <row r="302" ht="14.25" customHeight="1">
      <c r="H302" s="19"/>
    </row>
    <row r="303" ht="14.25" customHeight="1">
      <c r="H303" s="19"/>
    </row>
    <row r="304" ht="14.25" customHeight="1">
      <c r="H304" s="19"/>
    </row>
    <row r="305" ht="14.25" customHeight="1">
      <c r="H305" s="19"/>
    </row>
    <row r="306" ht="14.25" customHeight="1">
      <c r="H306" s="19"/>
    </row>
    <row r="307" ht="14.25" customHeight="1">
      <c r="H307" s="19"/>
    </row>
    <row r="308" ht="14.25" customHeight="1">
      <c r="H308" s="19"/>
    </row>
    <row r="309" ht="14.25" customHeight="1">
      <c r="H309" s="19"/>
    </row>
    <row r="310" ht="14.25" customHeight="1">
      <c r="H310" s="19"/>
    </row>
    <row r="311" ht="14.25" customHeight="1">
      <c r="H311" s="19"/>
    </row>
    <row r="312" ht="14.25" customHeight="1">
      <c r="H312" s="19"/>
    </row>
    <row r="313" ht="14.25" customHeight="1">
      <c r="H313" s="19"/>
    </row>
    <row r="314" ht="14.25" customHeight="1">
      <c r="H314" s="19"/>
    </row>
    <row r="315" ht="14.25" customHeight="1">
      <c r="H315" s="19"/>
    </row>
    <row r="316" ht="14.25" customHeight="1">
      <c r="H316" s="19"/>
    </row>
    <row r="317" ht="14.25" customHeight="1">
      <c r="H317" s="19"/>
    </row>
    <row r="318" ht="14.25" customHeight="1">
      <c r="H318" s="19"/>
    </row>
    <row r="319" ht="14.25" customHeight="1">
      <c r="H319" s="19"/>
    </row>
    <row r="320" ht="14.25" customHeight="1">
      <c r="H320" s="19"/>
    </row>
    <row r="321" ht="14.25" customHeight="1">
      <c r="H321" s="19"/>
    </row>
    <row r="322" ht="14.25" customHeight="1">
      <c r="H322" s="19"/>
    </row>
    <row r="323" ht="14.25" customHeight="1">
      <c r="H323" s="19"/>
    </row>
    <row r="324" ht="14.25" customHeight="1">
      <c r="H324" s="19"/>
    </row>
    <row r="325" ht="14.25" customHeight="1">
      <c r="H325" s="19"/>
    </row>
    <row r="326" ht="14.25" customHeight="1">
      <c r="H326" s="19"/>
    </row>
    <row r="327" ht="14.25" customHeight="1">
      <c r="H327" s="19"/>
    </row>
    <row r="328" ht="14.25" customHeight="1">
      <c r="H328" s="19"/>
    </row>
    <row r="329" ht="14.25" customHeight="1">
      <c r="H329" s="19"/>
    </row>
    <row r="330" ht="14.25" customHeight="1">
      <c r="H330" s="19"/>
    </row>
    <row r="331" ht="14.25" customHeight="1">
      <c r="H331" s="19"/>
    </row>
    <row r="332" ht="14.25" customHeight="1">
      <c r="H332" s="19"/>
    </row>
    <row r="333" ht="14.25" customHeight="1">
      <c r="H333" s="19"/>
    </row>
    <row r="334" ht="14.25" customHeight="1">
      <c r="H334" s="19"/>
    </row>
    <row r="335" ht="14.25" customHeight="1">
      <c r="H335" s="19"/>
    </row>
    <row r="336" ht="14.25" customHeight="1">
      <c r="H336" s="19"/>
    </row>
    <row r="337" ht="14.25" customHeight="1">
      <c r="H337" s="19"/>
    </row>
    <row r="338" ht="14.25" customHeight="1">
      <c r="H338" s="19"/>
    </row>
    <row r="339" ht="14.25" customHeight="1">
      <c r="H339" s="19"/>
    </row>
    <row r="340" ht="14.25" customHeight="1">
      <c r="H340" s="19"/>
    </row>
    <row r="341" ht="14.25" customHeight="1">
      <c r="H341" s="19"/>
    </row>
    <row r="342" ht="14.25" customHeight="1">
      <c r="H342" s="19"/>
    </row>
    <row r="343" ht="14.25" customHeight="1">
      <c r="H343" s="19"/>
    </row>
    <row r="344" ht="14.25" customHeight="1">
      <c r="H344" s="19"/>
    </row>
    <row r="345" ht="14.25" customHeight="1">
      <c r="H345" s="19"/>
    </row>
    <row r="346" ht="14.25" customHeight="1">
      <c r="H346" s="19"/>
    </row>
    <row r="347" ht="14.25" customHeight="1">
      <c r="H347" s="19"/>
    </row>
    <row r="348" ht="14.25" customHeight="1">
      <c r="H348" s="19"/>
    </row>
    <row r="349" ht="14.25" customHeight="1">
      <c r="H349" s="19"/>
    </row>
    <row r="350" ht="14.25" customHeight="1">
      <c r="H350" s="19"/>
    </row>
    <row r="351" ht="14.25" customHeight="1">
      <c r="H351" s="19"/>
    </row>
    <row r="352" ht="14.25" customHeight="1">
      <c r="H352" s="19"/>
    </row>
    <row r="353" ht="14.25" customHeight="1">
      <c r="H353" s="19"/>
    </row>
    <row r="354" ht="14.25" customHeight="1">
      <c r="H354" s="19"/>
    </row>
    <row r="355" ht="14.25" customHeight="1">
      <c r="H355" s="19"/>
    </row>
    <row r="356" ht="14.25" customHeight="1">
      <c r="H356" s="19"/>
    </row>
    <row r="357" ht="14.25" customHeight="1">
      <c r="H357" s="19"/>
    </row>
    <row r="358" ht="14.25" customHeight="1">
      <c r="H358" s="19"/>
    </row>
    <row r="359" ht="14.25" customHeight="1">
      <c r="H359" s="19"/>
    </row>
    <row r="360" ht="14.25" customHeight="1">
      <c r="H360" s="19"/>
    </row>
    <row r="361" ht="14.25" customHeight="1">
      <c r="H361" s="19"/>
    </row>
    <row r="362" ht="14.25" customHeight="1">
      <c r="H362" s="19"/>
    </row>
    <row r="363" ht="14.25" customHeight="1">
      <c r="H363" s="19"/>
    </row>
    <row r="364" ht="14.25" customHeight="1">
      <c r="H364" s="19"/>
    </row>
    <row r="365" ht="14.25" customHeight="1">
      <c r="H365" s="19"/>
    </row>
    <row r="366" ht="14.25" customHeight="1">
      <c r="H366" s="19"/>
    </row>
    <row r="367" ht="14.25" customHeight="1">
      <c r="H367" s="19"/>
    </row>
    <row r="368" ht="14.25" customHeight="1">
      <c r="H368" s="19"/>
    </row>
    <row r="369" ht="14.25" customHeight="1">
      <c r="H369" s="19"/>
    </row>
    <row r="370" ht="14.25" customHeight="1">
      <c r="H370" s="19"/>
    </row>
    <row r="371" ht="14.25" customHeight="1">
      <c r="H371" s="19"/>
    </row>
    <row r="372" ht="14.25" customHeight="1">
      <c r="H372" s="19"/>
    </row>
    <row r="373" ht="14.25" customHeight="1">
      <c r="H373" s="19"/>
    </row>
    <row r="374" ht="14.25" customHeight="1">
      <c r="H374" s="19"/>
    </row>
    <row r="375" ht="14.25" customHeight="1">
      <c r="H375" s="19"/>
    </row>
    <row r="376" ht="14.25" customHeight="1">
      <c r="H376" s="19"/>
    </row>
    <row r="377" ht="14.25" customHeight="1">
      <c r="H377" s="19"/>
    </row>
    <row r="378" ht="14.25" customHeight="1">
      <c r="H378" s="19"/>
    </row>
    <row r="379" ht="14.25" customHeight="1">
      <c r="H379" s="19"/>
    </row>
    <row r="380" ht="14.25" customHeight="1">
      <c r="H380" s="19"/>
    </row>
    <row r="381" ht="14.25" customHeight="1">
      <c r="H381" s="19"/>
    </row>
    <row r="382" ht="14.25" customHeight="1">
      <c r="H382" s="19"/>
    </row>
    <row r="383" ht="14.25" customHeight="1">
      <c r="H383" s="19"/>
    </row>
    <row r="384" ht="14.25" customHeight="1">
      <c r="H384" s="19"/>
    </row>
    <row r="385" ht="14.25" customHeight="1">
      <c r="H385" s="19"/>
    </row>
    <row r="386" ht="14.25" customHeight="1">
      <c r="H386" s="19"/>
    </row>
    <row r="387" ht="14.25" customHeight="1">
      <c r="H387" s="19"/>
    </row>
    <row r="388" ht="14.25" customHeight="1">
      <c r="H388" s="19"/>
    </row>
    <row r="389" ht="14.25" customHeight="1">
      <c r="H389" s="19"/>
    </row>
    <row r="390" ht="14.25" customHeight="1">
      <c r="H390" s="19"/>
    </row>
    <row r="391" ht="14.25" customHeight="1">
      <c r="H391" s="19"/>
    </row>
    <row r="392" ht="14.25" customHeight="1">
      <c r="H392" s="19"/>
    </row>
    <row r="393" ht="14.25" customHeight="1">
      <c r="H393" s="19"/>
    </row>
    <row r="394" ht="14.25" customHeight="1">
      <c r="H394" s="19"/>
    </row>
    <row r="395" ht="14.25" customHeight="1">
      <c r="H395" s="19"/>
    </row>
    <row r="396" ht="14.25" customHeight="1">
      <c r="H396" s="19"/>
    </row>
    <row r="397" ht="14.25" customHeight="1">
      <c r="H397" s="19"/>
    </row>
    <row r="398" ht="14.25" customHeight="1">
      <c r="H398" s="19"/>
    </row>
    <row r="399" ht="14.25" customHeight="1">
      <c r="H399" s="19"/>
    </row>
    <row r="400" ht="14.25" customHeight="1">
      <c r="H400" s="19"/>
    </row>
    <row r="401" ht="14.25" customHeight="1">
      <c r="H401" s="19"/>
    </row>
    <row r="402" ht="14.25" customHeight="1">
      <c r="H402" s="19"/>
    </row>
    <row r="403" ht="14.25" customHeight="1">
      <c r="H403" s="19"/>
    </row>
    <row r="404" ht="14.25" customHeight="1">
      <c r="H404" s="19"/>
    </row>
    <row r="405" ht="14.25" customHeight="1">
      <c r="H405" s="19"/>
    </row>
    <row r="406" ht="14.25" customHeight="1">
      <c r="H406" s="19"/>
    </row>
    <row r="407" ht="14.25" customHeight="1">
      <c r="H407" s="19"/>
    </row>
    <row r="408" ht="14.25" customHeight="1">
      <c r="H408" s="19"/>
    </row>
    <row r="409" ht="14.25" customHeight="1">
      <c r="H409" s="19"/>
    </row>
    <row r="410" ht="14.25" customHeight="1">
      <c r="H410" s="19"/>
    </row>
    <row r="411" ht="14.25" customHeight="1">
      <c r="H411" s="19"/>
    </row>
    <row r="412" ht="14.25" customHeight="1">
      <c r="H412" s="19"/>
    </row>
    <row r="413" ht="14.25" customHeight="1">
      <c r="H413" s="19"/>
    </row>
    <row r="414" ht="14.25" customHeight="1">
      <c r="H414" s="19"/>
    </row>
    <row r="415" ht="14.25" customHeight="1">
      <c r="H415" s="19"/>
    </row>
    <row r="416" ht="14.25" customHeight="1">
      <c r="H416" s="19"/>
    </row>
    <row r="417" ht="14.25" customHeight="1">
      <c r="H417" s="19"/>
    </row>
    <row r="418" ht="14.25" customHeight="1">
      <c r="H418" s="19"/>
    </row>
    <row r="419" ht="14.25" customHeight="1">
      <c r="H419" s="19"/>
    </row>
    <row r="420" ht="14.25" customHeight="1">
      <c r="H420" s="19"/>
    </row>
    <row r="421" ht="14.25" customHeight="1">
      <c r="H421" s="19"/>
    </row>
    <row r="422" ht="14.25" customHeight="1">
      <c r="H422" s="19"/>
    </row>
    <row r="423" ht="14.25" customHeight="1">
      <c r="H423" s="19"/>
    </row>
    <row r="424" ht="14.25" customHeight="1">
      <c r="H424" s="19"/>
    </row>
    <row r="425" ht="14.25" customHeight="1">
      <c r="H425" s="19"/>
    </row>
    <row r="426" ht="14.25" customHeight="1">
      <c r="H426" s="19"/>
    </row>
    <row r="427" ht="14.25" customHeight="1">
      <c r="H427" s="19"/>
    </row>
    <row r="428" ht="14.25" customHeight="1">
      <c r="H428" s="19"/>
    </row>
    <row r="429" ht="14.25" customHeight="1">
      <c r="H429" s="19"/>
    </row>
    <row r="430" ht="14.25" customHeight="1">
      <c r="H430" s="19"/>
    </row>
    <row r="431" ht="14.25" customHeight="1">
      <c r="H431" s="19"/>
    </row>
    <row r="432" ht="14.25" customHeight="1">
      <c r="H432" s="19"/>
    </row>
    <row r="433" ht="14.25" customHeight="1">
      <c r="H433" s="19"/>
    </row>
    <row r="434" ht="14.25" customHeight="1">
      <c r="H434" s="19"/>
    </row>
    <row r="435" ht="14.25" customHeight="1">
      <c r="H435" s="19"/>
    </row>
    <row r="436" ht="14.25" customHeight="1">
      <c r="H436" s="19"/>
    </row>
    <row r="437" ht="14.25" customHeight="1">
      <c r="H437" s="19"/>
    </row>
    <row r="438" ht="14.25" customHeight="1">
      <c r="H438" s="19"/>
    </row>
    <row r="439" ht="14.25" customHeight="1">
      <c r="H439" s="19"/>
    </row>
    <row r="440" ht="14.25" customHeight="1">
      <c r="H440" s="19"/>
    </row>
    <row r="441" ht="14.25" customHeight="1">
      <c r="H441" s="19"/>
    </row>
    <row r="442" ht="14.25" customHeight="1">
      <c r="H442" s="19"/>
    </row>
    <row r="443" ht="14.25" customHeight="1">
      <c r="H443" s="19"/>
    </row>
    <row r="444" ht="14.25" customHeight="1">
      <c r="H444" s="19"/>
    </row>
    <row r="445" ht="14.25" customHeight="1">
      <c r="H445" s="19"/>
    </row>
    <row r="446" ht="14.25" customHeight="1">
      <c r="H446" s="19"/>
    </row>
    <row r="447" ht="14.25" customHeight="1">
      <c r="H447" s="19"/>
    </row>
    <row r="448" ht="14.25" customHeight="1">
      <c r="H448" s="19"/>
    </row>
    <row r="449" ht="14.25" customHeight="1">
      <c r="H449" s="19"/>
    </row>
    <row r="450" ht="14.25" customHeight="1">
      <c r="H450" s="19"/>
    </row>
    <row r="451" ht="14.25" customHeight="1">
      <c r="H451" s="19"/>
    </row>
    <row r="452" ht="14.25" customHeight="1">
      <c r="H452" s="19"/>
    </row>
    <row r="453" ht="14.25" customHeight="1">
      <c r="H453" s="19"/>
    </row>
    <row r="454" ht="14.25" customHeight="1">
      <c r="H454" s="19"/>
    </row>
    <row r="455" ht="14.25" customHeight="1">
      <c r="H455" s="19"/>
    </row>
    <row r="456" ht="14.25" customHeight="1">
      <c r="H456" s="19"/>
    </row>
    <row r="457" ht="14.25" customHeight="1">
      <c r="H457" s="19"/>
    </row>
    <row r="458" ht="14.25" customHeight="1">
      <c r="H458" s="19"/>
    </row>
    <row r="459" ht="14.25" customHeight="1">
      <c r="H459" s="19"/>
    </row>
    <row r="460" ht="14.25" customHeight="1">
      <c r="H460" s="19"/>
    </row>
    <row r="461" ht="14.25" customHeight="1">
      <c r="H461" s="19"/>
    </row>
    <row r="462" ht="14.25" customHeight="1">
      <c r="H462" s="19"/>
    </row>
    <row r="463" ht="14.25" customHeight="1">
      <c r="H463" s="19"/>
    </row>
    <row r="464" ht="14.25" customHeight="1">
      <c r="H464" s="19"/>
    </row>
    <row r="465" ht="14.25" customHeight="1">
      <c r="H465" s="19"/>
    </row>
    <row r="466" ht="14.25" customHeight="1">
      <c r="H466" s="19"/>
    </row>
    <row r="467" ht="14.25" customHeight="1">
      <c r="H467" s="19"/>
    </row>
    <row r="468" ht="14.25" customHeight="1">
      <c r="H468" s="19"/>
    </row>
    <row r="469" ht="14.25" customHeight="1">
      <c r="H469" s="19"/>
    </row>
    <row r="470" ht="14.25" customHeight="1">
      <c r="H470" s="19"/>
    </row>
    <row r="471" ht="14.25" customHeight="1">
      <c r="H471" s="19"/>
    </row>
    <row r="472" ht="14.25" customHeight="1">
      <c r="H472" s="19"/>
    </row>
    <row r="473" ht="14.25" customHeight="1">
      <c r="H473" s="19"/>
    </row>
    <row r="474" ht="14.25" customHeight="1">
      <c r="H474" s="19"/>
    </row>
    <row r="475" ht="14.25" customHeight="1">
      <c r="H475" s="19"/>
    </row>
    <row r="476" ht="14.25" customHeight="1">
      <c r="H476" s="19"/>
    </row>
    <row r="477" ht="14.25" customHeight="1">
      <c r="H477" s="19"/>
    </row>
    <row r="478" ht="14.25" customHeight="1">
      <c r="H478" s="19"/>
    </row>
    <row r="479" ht="14.25" customHeight="1">
      <c r="H479" s="19"/>
    </row>
    <row r="480" ht="14.25" customHeight="1">
      <c r="H480" s="19"/>
    </row>
    <row r="481" ht="14.25" customHeight="1">
      <c r="H481" s="19"/>
    </row>
    <row r="482" ht="14.25" customHeight="1">
      <c r="H482" s="19"/>
    </row>
    <row r="483" ht="14.25" customHeight="1">
      <c r="H483" s="19"/>
    </row>
    <row r="484" ht="14.25" customHeight="1">
      <c r="H484" s="19"/>
    </row>
    <row r="485" ht="14.25" customHeight="1">
      <c r="H485" s="19"/>
    </row>
    <row r="486" ht="14.25" customHeight="1">
      <c r="H486" s="19"/>
    </row>
    <row r="487" ht="14.25" customHeight="1">
      <c r="H487" s="19"/>
    </row>
    <row r="488" ht="14.25" customHeight="1">
      <c r="H488" s="19"/>
    </row>
    <row r="489" ht="14.25" customHeight="1">
      <c r="H489" s="19"/>
    </row>
    <row r="490" ht="14.25" customHeight="1">
      <c r="H490" s="19"/>
    </row>
    <row r="491" ht="14.25" customHeight="1">
      <c r="H491" s="19"/>
    </row>
    <row r="492" ht="14.25" customHeight="1">
      <c r="H492" s="19"/>
    </row>
    <row r="493" ht="14.25" customHeight="1">
      <c r="H493" s="19"/>
    </row>
    <row r="494" ht="14.25" customHeight="1">
      <c r="H494" s="19"/>
    </row>
    <row r="495" ht="14.25" customHeight="1">
      <c r="H495" s="19"/>
    </row>
    <row r="496" ht="14.25" customHeight="1">
      <c r="H496" s="19"/>
    </row>
    <row r="497" ht="14.25" customHeight="1">
      <c r="H497" s="19"/>
    </row>
    <row r="498" ht="14.25" customHeight="1">
      <c r="H498" s="19"/>
    </row>
    <row r="499" ht="14.25" customHeight="1">
      <c r="H499" s="19"/>
    </row>
    <row r="500" ht="14.25" customHeight="1">
      <c r="H500" s="19"/>
    </row>
    <row r="501" ht="14.25" customHeight="1">
      <c r="H501" s="19"/>
    </row>
    <row r="502" ht="14.25" customHeight="1">
      <c r="H502" s="19"/>
    </row>
    <row r="503" ht="14.25" customHeight="1">
      <c r="H503" s="19"/>
    </row>
    <row r="504" ht="14.25" customHeight="1">
      <c r="H504" s="19"/>
    </row>
    <row r="505" ht="14.25" customHeight="1">
      <c r="H505" s="19"/>
    </row>
    <row r="506" ht="14.25" customHeight="1">
      <c r="H506" s="19"/>
    </row>
    <row r="507" ht="14.25" customHeight="1">
      <c r="H507" s="19"/>
    </row>
    <row r="508" ht="14.25" customHeight="1">
      <c r="H508" s="19"/>
    </row>
    <row r="509" ht="14.25" customHeight="1">
      <c r="H509" s="19"/>
    </row>
    <row r="510" ht="14.25" customHeight="1">
      <c r="H510" s="19"/>
    </row>
    <row r="511" ht="14.25" customHeight="1">
      <c r="H511" s="19"/>
    </row>
    <row r="512" ht="14.25" customHeight="1">
      <c r="H512" s="19"/>
    </row>
    <row r="513" ht="14.25" customHeight="1">
      <c r="H513" s="19"/>
    </row>
    <row r="514" ht="14.25" customHeight="1">
      <c r="H514" s="19"/>
    </row>
    <row r="515" ht="14.25" customHeight="1">
      <c r="H515" s="19"/>
    </row>
    <row r="516" ht="14.25" customHeight="1">
      <c r="H516" s="19"/>
    </row>
    <row r="517" ht="14.25" customHeight="1">
      <c r="H517" s="19"/>
    </row>
    <row r="518" ht="14.25" customHeight="1">
      <c r="H518" s="19"/>
    </row>
    <row r="519" ht="14.25" customHeight="1">
      <c r="H519" s="19"/>
    </row>
    <row r="520" ht="14.25" customHeight="1">
      <c r="H520" s="19"/>
    </row>
    <row r="521" ht="14.25" customHeight="1">
      <c r="H521" s="19"/>
    </row>
    <row r="522" ht="14.25" customHeight="1">
      <c r="H522" s="19"/>
    </row>
    <row r="523" ht="14.25" customHeight="1">
      <c r="H523" s="19"/>
    </row>
    <row r="524" ht="14.25" customHeight="1">
      <c r="H524" s="19"/>
    </row>
    <row r="525" ht="14.25" customHeight="1">
      <c r="H525" s="19"/>
    </row>
    <row r="526" ht="14.25" customHeight="1">
      <c r="H526" s="19"/>
    </row>
    <row r="527" ht="14.25" customHeight="1">
      <c r="H527" s="19"/>
    </row>
    <row r="528" ht="14.25" customHeight="1">
      <c r="H528" s="19"/>
    </row>
    <row r="529" ht="14.25" customHeight="1">
      <c r="H529" s="19"/>
    </row>
    <row r="530" ht="14.25" customHeight="1">
      <c r="H530" s="19"/>
    </row>
    <row r="531" ht="14.25" customHeight="1">
      <c r="H531" s="19"/>
    </row>
    <row r="532" ht="14.25" customHeight="1">
      <c r="H532" s="19"/>
    </row>
    <row r="533" ht="14.25" customHeight="1">
      <c r="H533" s="19"/>
    </row>
    <row r="534" ht="14.25" customHeight="1">
      <c r="H534" s="19"/>
    </row>
    <row r="535" ht="14.25" customHeight="1">
      <c r="H535" s="19"/>
    </row>
    <row r="536" ht="14.25" customHeight="1">
      <c r="H536" s="19"/>
    </row>
    <row r="537" ht="14.25" customHeight="1">
      <c r="H537" s="19"/>
    </row>
    <row r="538" ht="14.25" customHeight="1">
      <c r="H538" s="19"/>
    </row>
    <row r="539" ht="14.25" customHeight="1">
      <c r="H539" s="19"/>
    </row>
    <row r="540" ht="14.25" customHeight="1">
      <c r="H540" s="19"/>
    </row>
    <row r="541" ht="14.25" customHeight="1">
      <c r="H541" s="19"/>
    </row>
    <row r="542" ht="14.25" customHeight="1">
      <c r="H542" s="19"/>
    </row>
    <row r="543" ht="14.25" customHeight="1">
      <c r="H543" s="19"/>
    </row>
    <row r="544" ht="14.25" customHeight="1">
      <c r="H544" s="19"/>
    </row>
    <row r="545" ht="14.25" customHeight="1">
      <c r="H545" s="19"/>
    </row>
    <row r="546" ht="14.25" customHeight="1">
      <c r="H546" s="19"/>
    </row>
    <row r="547" ht="14.25" customHeight="1">
      <c r="H547" s="19"/>
    </row>
    <row r="548" ht="14.25" customHeight="1">
      <c r="H548" s="19"/>
    </row>
    <row r="549" ht="14.25" customHeight="1">
      <c r="H549" s="19"/>
    </row>
    <row r="550" ht="14.25" customHeight="1">
      <c r="H550" s="19"/>
    </row>
    <row r="551" ht="14.25" customHeight="1">
      <c r="H551" s="19"/>
    </row>
    <row r="552" ht="14.25" customHeight="1">
      <c r="H552" s="19"/>
    </row>
    <row r="553" ht="14.25" customHeight="1">
      <c r="H553" s="19"/>
    </row>
    <row r="554" ht="14.25" customHeight="1">
      <c r="H554" s="19"/>
    </row>
    <row r="555" ht="14.25" customHeight="1">
      <c r="H555" s="19"/>
    </row>
    <row r="556" ht="14.25" customHeight="1">
      <c r="H556" s="19"/>
    </row>
    <row r="557" ht="14.25" customHeight="1">
      <c r="H557" s="19"/>
    </row>
    <row r="558" ht="14.25" customHeight="1">
      <c r="H558" s="19"/>
    </row>
    <row r="559" ht="14.25" customHeight="1">
      <c r="H559" s="19"/>
    </row>
    <row r="560" ht="14.25" customHeight="1">
      <c r="H560" s="19"/>
    </row>
    <row r="561" ht="14.25" customHeight="1">
      <c r="H561" s="19"/>
    </row>
    <row r="562" ht="14.25" customHeight="1">
      <c r="H562" s="19"/>
    </row>
    <row r="563" ht="14.25" customHeight="1">
      <c r="H563" s="19"/>
    </row>
    <row r="564" ht="14.25" customHeight="1">
      <c r="H564" s="19"/>
    </row>
    <row r="565" ht="14.25" customHeight="1">
      <c r="H565" s="19"/>
    </row>
    <row r="566" ht="14.25" customHeight="1">
      <c r="H566" s="19"/>
    </row>
    <row r="567" ht="14.25" customHeight="1">
      <c r="H567" s="19"/>
    </row>
    <row r="568" ht="14.25" customHeight="1">
      <c r="H568" s="19"/>
    </row>
    <row r="569" ht="14.25" customHeight="1">
      <c r="H569" s="19"/>
    </row>
    <row r="570" ht="14.25" customHeight="1">
      <c r="H570" s="19"/>
    </row>
    <row r="571" ht="14.25" customHeight="1">
      <c r="H571" s="19"/>
    </row>
    <row r="572" ht="14.25" customHeight="1">
      <c r="H572" s="19"/>
    </row>
    <row r="573" ht="14.25" customHeight="1">
      <c r="H573" s="19"/>
    </row>
    <row r="574" ht="14.25" customHeight="1">
      <c r="H574" s="19"/>
    </row>
    <row r="575" ht="14.25" customHeight="1">
      <c r="H575" s="19"/>
    </row>
    <row r="576" ht="14.25" customHeight="1">
      <c r="H576" s="19"/>
    </row>
    <row r="577" ht="14.25" customHeight="1">
      <c r="H577" s="19"/>
    </row>
    <row r="578" ht="14.25" customHeight="1">
      <c r="H578" s="19"/>
    </row>
    <row r="579" ht="14.25" customHeight="1">
      <c r="H579" s="19"/>
    </row>
    <row r="580" ht="14.25" customHeight="1">
      <c r="H580" s="19"/>
    </row>
    <row r="581" ht="14.25" customHeight="1">
      <c r="H581" s="19"/>
    </row>
    <row r="582" ht="14.25" customHeight="1">
      <c r="H582" s="19"/>
    </row>
    <row r="583" ht="14.25" customHeight="1">
      <c r="H583" s="19"/>
    </row>
    <row r="584" ht="14.25" customHeight="1">
      <c r="H584" s="19"/>
    </row>
    <row r="585" ht="14.25" customHeight="1">
      <c r="H585" s="19"/>
    </row>
    <row r="586" ht="14.25" customHeight="1">
      <c r="H586" s="19"/>
    </row>
    <row r="587" ht="14.25" customHeight="1">
      <c r="H587" s="19"/>
    </row>
    <row r="588" ht="14.25" customHeight="1">
      <c r="H588" s="19"/>
    </row>
    <row r="589" ht="14.25" customHeight="1">
      <c r="H589" s="19"/>
    </row>
    <row r="590" ht="14.25" customHeight="1">
      <c r="H590" s="19"/>
    </row>
    <row r="591" ht="14.25" customHeight="1">
      <c r="H591" s="19"/>
    </row>
    <row r="592" ht="14.25" customHeight="1">
      <c r="H592" s="19"/>
    </row>
    <row r="593" ht="14.25" customHeight="1">
      <c r="H593" s="19"/>
    </row>
    <row r="594" ht="14.25" customHeight="1">
      <c r="H594" s="19"/>
    </row>
    <row r="595" ht="14.25" customHeight="1">
      <c r="H595" s="19"/>
    </row>
    <row r="596" ht="14.25" customHeight="1">
      <c r="H596" s="19"/>
    </row>
    <row r="597" ht="14.25" customHeight="1">
      <c r="H597" s="19"/>
    </row>
    <row r="598" ht="14.25" customHeight="1">
      <c r="H598" s="19"/>
    </row>
    <row r="599" ht="14.25" customHeight="1">
      <c r="H599" s="19"/>
    </row>
    <row r="600" ht="14.25" customHeight="1">
      <c r="H600" s="19"/>
    </row>
    <row r="601" ht="14.25" customHeight="1">
      <c r="H601" s="19"/>
    </row>
    <row r="602" ht="14.25" customHeight="1">
      <c r="H602" s="19"/>
    </row>
    <row r="603" ht="14.25" customHeight="1">
      <c r="H603" s="19"/>
    </row>
    <row r="604" ht="14.25" customHeight="1">
      <c r="H604" s="19"/>
    </row>
    <row r="605" ht="14.25" customHeight="1">
      <c r="H605" s="19"/>
    </row>
    <row r="606" ht="14.25" customHeight="1">
      <c r="H606" s="19"/>
    </row>
    <row r="607" ht="14.25" customHeight="1">
      <c r="H607" s="19"/>
    </row>
    <row r="608" ht="14.25" customHeight="1">
      <c r="H608" s="19"/>
    </row>
    <row r="609" ht="14.25" customHeight="1">
      <c r="H609" s="19"/>
    </row>
    <row r="610" ht="14.25" customHeight="1">
      <c r="H610" s="19"/>
    </row>
    <row r="611" ht="14.25" customHeight="1">
      <c r="H611" s="19"/>
    </row>
    <row r="612" ht="14.25" customHeight="1">
      <c r="H612" s="19"/>
    </row>
    <row r="613" ht="14.25" customHeight="1">
      <c r="H613" s="19"/>
    </row>
    <row r="614" ht="14.25" customHeight="1">
      <c r="H614" s="19"/>
    </row>
    <row r="615" ht="14.25" customHeight="1">
      <c r="H615" s="19"/>
    </row>
    <row r="616" ht="14.25" customHeight="1">
      <c r="H616" s="19"/>
    </row>
    <row r="617" ht="14.25" customHeight="1">
      <c r="H617" s="19"/>
    </row>
    <row r="618" ht="14.25" customHeight="1">
      <c r="H618" s="19"/>
    </row>
    <row r="619" ht="14.25" customHeight="1">
      <c r="H619" s="19"/>
    </row>
    <row r="620" ht="14.25" customHeight="1">
      <c r="H620" s="19"/>
    </row>
    <row r="621" ht="14.25" customHeight="1">
      <c r="H621" s="19"/>
    </row>
    <row r="622" ht="14.25" customHeight="1">
      <c r="H622" s="19"/>
    </row>
    <row r="623" ht="14.25" customHeight="1">
      <c r="H623" s="19"/>
    </row>
    <row r="624" ht="14.25" customHeight="1">
      <c r="H624" s="19"/>
    </row>
    <row r="625" ht="14.25" customHeight="1">
      <c r="H625" s="19"/>
    </row>
    <row r="626" ht="14.25" customHeight="1">
      <c r="H626" s="19"/>
    </row>
    <row r="627" ht="14.25" customHeight="1">
      <c r="H627" s="19"/>
    </row>
    <row r="628" ht="14.25" customHeight="1">
      <c r="H628" s="19"/>
    </row>
    <row r="629" ht="14.25" customHeight="1">
      <c r="H629" s="19"/>
    </row>
    <row r="630" ht="14.25" customHeight="1">
      <c r="H630" s="19"/>
    </row>
    <row r="631" ht="14.25" customHeight="1">
      <c r="H631" s="19"/>
    </row>
    <row r="632" ht="14.25" customHeight="1">
      <c r="H632" s="19"/>
    </row>
    <row r="633" ht="14.25" customHeight="1">
      <c r="H633" s="19"/>
    </row>
    <row r="634" ht="14.25" customHeight="1">
      <c r="H634" s="19"/>
    </row>
    <row r="635" ht="14.25" customHeight="1">
      <c r="H635" s="19"/>
    </row>
    <row r="636" ht="14.25" customHeight="1">
      <c r="H636" s="19"/>
    </row>
    <row r="637" ht="14.25" customHeight="1">
      <c r="H637" s="19"/>
    </row>
    <row r="638" ht="14.25" customHeight="1">
      <c r="H638" s="19"/>
    </row>
    <row r="639" ht="14.25" customHeight="1">
      <c r="H639" s="19"/>
    </row>
    <row r="640" ht="14.25" customHeight="1">
      <c r="H640" s="19"/>
    </row>
    <row r="641" ht="14.25" customHeight="1">
      <c r="H641" s="19"/>
    </row>
    <row r="642" ht="14.25" customHeight="1">
      <c r="H642" s="19"/>
    </row>
    <row r="643" ht="14.25" customHeight="1">
      <c r="H643" s="19"/>
    </row>
    <row r="644" ht="14.25" customHeight="1">
      <c r="H644" s="19"/>
    </row>
    <row r="645" ht="14.25" customHeight="1">
      <c r="H645" s="19"/>
    </row>
    <row r="646" ht="14.25" customHeight="1">
      <c r="H646" s="19"/>
    </row>
    <row r="647" ht="14.25" customHeight="1">
      <c r="H647" s="19"/>
    </row>
    <row r="648" ht="14.25" customHeight="1">
      <c r="H648" s="19"/>
    </row>
    <row r="649" ht="14.25" customHeight="1">
      <c r="H649" s="19"/>
    </row>
    <row r="650" ht="14.25" customHeight="1">
      <c r="H650" s="19"/>
    </row>
    <row r="651" ht="14.25" customHeight="1">
      <c r="H651" s="19"/>
    </row>
    <row r="652" ht="14.25" customHeight="1">
      <c r="H652" s="19"/>
    </row>
    <row r="653" ht="14.25" customHeight="1">
      <c r="H653" s="19"/>
    </row>
    <row r="654" ht="14.25" customHeight="1">
      <c r="H654" s="19"/>
    </row>
    <row r="655" ht="14.25" customHeight="1">
      <c r="H655" s="19"/>
    </row>
    <row r="656" ht="14.25" customHeight="1">
      <c r="H656" s="19"/>
    </row>
    <row r="657" ht="14.25" customHeight="1">
      <c r="H657" s="19"/>
    </row>
    <row r="658" ht="14.25" customHeight="1">
      <c r="H658" s="19"/>
    </row>
    <row r="659" ht="14.25" customHeight="1">
      <c r="H659" s="19"/>
    </row>
    <row r="660" ht="14.25" customHeight="1">
      <c r="H660" s="19"/>
    </row>
    <row r="661" ht="14.25" customHeight="1">
      <c r="H661" s="19"/>
    </row>
    <row r="662" ht="14.25" customHeight="1">
      <c r="H662" s="19"/>
    </row>
    <row r="663" ht="14.25" customHeight="1">
      <c r="H663" s="19"/>
    </row>
    <row r="664" ht="14.25" customHeight="1">
      <c r="H664" s="19"/>
    </row>
    <row r="665" ht="14.25" customHeight="1">
      <c r="H665" s="19"/>
    </row>
    <row r="666" ht="14.25" customHeight="1">
      <c r="H666" s="19"/>
    </row>
    <row r="667" ht="14.25" customHeight="1">
      <c r="H667" s="19"/>
    </row>
    <row r="668" ht="14.25" customHeight="1">
      <c r="H668" s="19"/>
    </row>
    <row r="669" ht="14.25" customHeight="1">
      <c r="H669" s="19"/>
    </row>
    <row r="670" ht="14.25" customHeight="1">
      <c r="H670" s="19"/>
    </row>
    <row r="671" ht="14.25" customHeight="1">
      <c r="H671" s="19"/>
    </row>
    <row r="672" ht="14.25" customHeight="1">
      <c r="H672" s="19"/>
    </row>
    <row r="673" ht="14.25" customHeight="1">
      <c r="H673" s="19"/>
    </row>
    <row r="674" ht="14.25" customHeight="1">
      <c r="H674" s="19"/>
    </row>
    <row r="675" ht="14.25" customHeight="1">
      <c r="H675" s="19"/>
    </row>
    <row r="676" ht="14.25" customHeight="1">
      <c r="H676" s="19"/>
    </row>
    <row r="677" ht="14.25" customHeight="1">
      <c r="H677" s="19"/>
    </row>
    <row r="678" ht="14.25" customHeight="1">
      <c r="H678" s="19"/>
    </row>
    <row r="679" ht="14.25" customHeight="1">
      <c r="H679" s="19"/>
    </row>
    <row r="680" ht="14.25" customHeight="1">
      <c r="H680" s="19"/>
    </row>
    <row r="681" ht="14.25" customHeight="1">
      <c r="H681" s="19"/>
    </row>
    <row r="682" ht="14.25" customHeight="1">
      <c r="H682" s="19"/>
    </row>
    <row r="683" ht="14.25" customHeight="1">
      <c r="H683" s="19"/>
    </row>
    <row r="684" ht="14.25" customHeight="1">
      <c r="H684" s="19"/>
    </row>
    <row r="685" ht="14.25" customHeight="1">
      <c r="H685" s="19"/>
    </row>
    <row r="686" ht="14.25" customHeight="1">
      <c r="H686" s="19"/>
    </row>
    <row r="687" ht="14.25" customHeight="1">
      <c r="H687" s="19"/>
    </row>
    <row r="688" ht="14.25" customHeight="1">
      <c r="H688" s="19"/>
    </row>
    <row r="689" ht="14.25" customHeight="1">
      <c r="H689" s="19"/>
    </row>
    <row r="690" ht="14.25" customHeight="1">
      <c r="H690" s="19"/>
    </row>
    <row r="691" ht="14.25" customHeight="1">
      <c r="H691" s="19"/>
    </row>
    <row r="692" ht="14.25" customHeight="1">
      <c r="H692" s="19"/>
    </row>
    <row r="693" ht="14.25" customHeight="1">
      <c r="H693" s="19"/>
    </row>
    <row r="694" ht="14.25" customHeight="1">
      <c r="H694" s="19"/>
    </row>
    <row r="695" ht="14.25" customHeight="1">
      <c r="H695" s="19"/>
    </row>
    <row r="696" ht="14.25" customHeight="1">
      <c r="H696" s="19"/>
    </row>
    <row r="697" ht="14.25" customHeight="1">
      <c r="H697" s="19"/>
    </row>
    <row r="698" ht="14.25" customHeight="1">
      <c r="H698" s="19"/>
    </row>
    <row r="699" ht="14.25" customHeight="1">
      <c r="H699" s="19"/>
    </row>
    <row r="700" ht="14.25" customHeight="1">
      <c r="H700" s="19"/>
    </row>
    <row r="701" ht="14.25" customHeight="1">
      <c r="H701" s="19"/>
    </row>
    <row r="702" ht="14.25" customHeight="1">
      <c r="H702" s="19"/>
    </row>
    <row r="703" ht="14.25" customHeight="1">
      <c r="H703" s="19"/>
    </row>
    <row r="704" ht="14.25" customHeight="1">
      <c r="H704" s="19"/>
    </row>
    <row r="705" ht="14.25" customHeight="1">
      <c r="H705" s="19"/>
    </row>
    <row r="706" ht="14.25" customHeight="1">
      <c r="H706" s="19"/>
    </row>
    <row r="707" ht="14.25" customHeight="1">
      <c r="H707" s="19"/>
    </row>
    <row r="708" ht="14.25" customHeight="1">
      <c r="H708" s="19"/>
    </row>
    <row r="709" ht="14.25" customHeight="1">
      <c r="H709" s="19"/>
    </row>
    <row r="710" ht="14.25" customHeight="1">
      <c r="H710" s="19"/>
    </row>
    <row r="711" ht="14.25" customHeight="1">
      <c r="H711" s="19"/>
    </row>
    <row r="712" ht="14.25" customHeight="1">
      <c r="H712" s="19"/>
    </row>
    <row r="713" ht="14.25" customHeight="1">
      <c r="H713" s="19"/>
    </row>
    <row r="714" ht="14.25" customHeight="1">
      <c r="H714" s="19"/>
    </row>
    <row r="715" ht="14.25" customHeight="1">
      <c r="H715" s="19"/>
    </row>
    <row r="716" ht="14.25" customHeight="1">
      <c r="H716" s="19"/>
    </row>
    <row r="717" ht="14.25" customHeight="1">
      <c r="H717" s="19"/>
    </row>
    <row r="718" ht="14.25" customHeight="1">
      <c r="H718" s="19"/>
    </row>
    <row r="719" ht="14.25" customHeight="1">
      <c r="H719" s="19"/>
    </row>
    <row r="720" ht="14.25" customHeight="1">
      <c r="H720" s="19"/>
    </row>
    <row r="721" ht="14.25" customHeight="1">
      <c r="H721" s="19"/>
    </row>
    <row r="722" ht="14.25" customHeight="1">
      <c r="H722" s="19"/>
    </row>
    <row r="723" ht="14.25" customHeight="1">
      <c r="H723" s="19"/>
    </row>
    <row r="724" ht="14.25" customHeight="1">
      <c r="H724" s="19"/>
    </row>
    <row r="725" ht="14.25" customHeight="1">
      <c r="H725" s="19"/>
    </row>
    <row r="726" ht="14.25" customHeight="1">
      <c r="H726" s="19"/>
    </row>
    <row r="727" ht="14.25" customHeight="1">
      <c r="H727" s="19"/>
    </row>
    <row r="728" ht="14.25" customHeight="1">
      <c r="H728" s="19"/>
    </row>
    <row r="729" ht="14.25" customHeight="1">
      <c r="H729" s="19"/>
    </row>
    <row r="730" ht="14.25" customHeight="1">
      <c r="H730" s="19"/>
    </row>
    <row r="731" ht="14.25" customHeight="1">
      <c r="H731" s="19"/>
    </row>
    <row r="732" ht="14.25" customHeight="1">
      <c r="H732" s="19"/>
    </row>
    <row r="733" ht="14.25" customHeight="1">
      <c r="H733" s="19"/>
    </row>
    <row r="734" ht="14.25" customHeight="1">
      <c r="H734" s="19"/>
    </row>
    <row r="735" ht="14.25" customHeight="1">
      <c r="H735" s="19"/>
    </row>
    <row r="736" ht="14.25" customHeight="1">
      <c r="H736" s="19"/>
    </row>
    <row r="737" ht="14.25" customHeight="1">
      <c r="H737" s="19"/>
    </row>
    <row r="738" ht="14.25" customHeight="1">
      <c r="H738" s="19"/>
    </row>
    <row r="739" ht="14.25" customHeight="1">
      <c r="H739" s="19"/>
    </row>
    <row r="740" ht="14.25" customHeight="1">
      <c r="H740" s="19"/>
    </row>
    <row r="741" ht="14.25" customHeight="1">
      <c r="H741" s="19"/>
    </row>
    <row r="742" ht="14.25" customHeight="1">
      <c r="H742" s="19"/>
    </row>
    <row r="743" ht="14.25" customHeight="1">
      <c r="H743" s="19"/>
    </row>
    <row r="744" ht="14.25" customHeight="1">
      <c r="H744" s="19"/>
    </row>
    <row r="745" ht="14.25" customHeight="1">
      <c r="H745" s="19"/>
    </row>
    <row r="746" ht="14.25" customHeight="1">
      <c r="H746" s="19"/>
    </row>
    <row r="747" ht="14.25" customHeight="1">
      <c r="H747" s="19"/>
    </row>
    <row r="748" ht="14.25" customHeight="1">
      <c r="H748" s="19"/>
    </row>
    <row r="749" ht="14.25" customHeight="1">
      <c r="H749" s="19"/>
    </row>
    <row r="750" ht="14.25" customHeight="1">
      <c r="H750" s="19"/>
    </row>
    <row r="751" ht="14.25" customHeight="1">
      <c r="H751" s="19"/>
    </row>
    <row r="752" ht="14.25" customHeight="1">
      <c r="H752" s="19"/>
    </row>
    <row r="753" ht="14.25" customHeight="1">
      <c r="H753" s="19"/>
    </row>
    <row r="754" ht="14.25" customHeight="1">
      <c r="H754" s="19"/>
    </row>
    <row r="755" ht="14.25" customHeight="1">
      <c r="H755" s="19"/>
    </row>
    <row r="756" ht="14.25" customHeight="1">
      <c r="H756" s="19"/>
    </row>
    <row r="757" ht="14.25" customHeight="1">
      <c r="H757" s="19"/>
    </row>
    <row r="758" ht="14.25" customHeight="1">
      <c r="H758" s="19"/>
    </row>
    <row r="759" ht="14.25" customHeight="1">
      <c r="H759" s="19"/>
    </row>
    <row r="760" ht="14.25" customHeight="1">
      <c r="H760" s="19"/>
    </row>
    <row r="761" ht="14.25" customHeight="1">
      <c r="H761" s="19"/>
    </row>
    <row r="762" ht="14.25" customHeight="1">
      <c r="H762" s="19"/>
    </row>
    <row r="763" ht="14.25" customHeight="1">
      <c r="H763" s="19"/>
    </row>
    <row r="764" ht="14.25" customHeight="1">
      <c r="H764" s="19"/>
    </row>
    <row r="765" ht="14.25" customHeight="1">
      <c r="H765" s="19"/>
    </row>
    <row r="766" ht="14.25" customHeight="1">
      <c r="H766" s="19"/>
    </row>
    <row r="767" ht="14.25" customHeight="1">
      <c r="H767" s="19"/>
    </row>
    <row r="768" ht="14.25" customHeight="1">
      <c r="H768" s="19"/>
    </row>
    <row r="769" ht="14.25" customHeight="1">
      <c r="H769" s="19"/>
    </row>
    <row r="770" ht="14.25" customHeight="1">
      <c r="H770" s="19"/>
    </row>
    <row r="771" ht="14.25" customHeight="1">
      <c r="H771" s="19"/>
    </row>
    <row r="772" ht="14.25" customHeight="1">
      <c r="H772" s="19"/>
    </row>
    <row r="773" ht="14.25" customHeight="1">
      <c r="H773" s="19"/>
    </row>
    <row r="774" ht="14.25" customHeight="1">
      <c r="H774" s="19"/>
    </row>
    <row r="775" ht="14.25" customHeight="1">
      <c r="H775" s="19"/>
    </row>
    <row r="776" ht="14.25" customHeight="1">
      <c r="H776" s="19"/>
    </row>
    <row r="777" ht="14.25" customHeight="1">
      <c r="H777" s="19"/>
    </row>
    <row r="778" ht="14.25" customHeight="1">
      <c r="H778" s="19"/>
    </row>
    <row r="779" ht="14.25" customHeight="1">
      <c r="H779" s="19"/>
    </row>
    <row r="780" ht="14.25" customHeight="1">
      <c r="H780" s="19"/>
    </row>
    <row r="781" ht="14.25" customHeight="1">
      <c r="H781" s="19"/>
    </row>
    <row r="782" ht="14.25" customHeight="1">
      <c r="H782" s="19"/>
    </row>
    <row r="783" ht="14.25" customHeight="1">
      <c r="H783" s="19"/>
    </row>
    <row r="784" ht="14.25" customHeight="1">
      <c r="H784" s="19"/>
    </row>
    <row r="785" ht="14.25" customHeight="1">
      <c r="H785" s="19"/>
    </row>
    <row r="786" ht="14.25" customHeight="1">
      <c r="H786" s="19"/>
    </row>
    <row r="787" ht="14.25" customHeight="1">
      <c r="H787" s="19"/>
    </row>
    <row r="788" ht="14.25" customHeight="1">
      <c r="H788" s="19"/>
    </row>
    <row r="789" ht="14.25" customHeight="1">
      <c r="H789" s="19"/>
    </row>
    <row r="790" ht="14.25" customHeight="1">
      <c r="H790" s="19"/>
    </row>
    <row r="791" ht="14.25" customHeight="1">
      <c r="H791" s="19"/>
    </row>
    <row r="792" ht="14.25" customHeight="1">
      <c r="H792" s="19"/>
    </row>
    <row r="793" ht="14.25" customHeight="1">
      <c r="H793" s="19"/>
    </row>
    <row r="794" ht="14.25" customHeight="1">
      <c r="H794" s="19"/>
    </row>
    <row r="795" ht="14.25" customHeight="1">
      <c r="H795" s="19"/>
    </row>
    <row r="796" ht="14.25" customHeight="1">
      <c r="H796" s="19"/>
    </row>
    <row r="797" ht="14.25" customHeight="1">
      <c r="H797" s="19"/>
    </row>
    <row r="798" ht="14.25" customHeight="1">
      <c r="H798" s="19"/>
    </row>
    <row r="799" ht="14.25" customHeight="1">
      <c r="H799" s="19"/>
    </row>
    <row r="800" ht="14.25" customHeight="1">
      <c r="H800" s="19"/>
    </row>
    <row r="801" ht="14.25" customHeight="1">
      <c r="H801" s="19"/>
    </row>
    <row r="802" ht="14.25" customHeight="1">
      <c r="H802" s="19"/>
    </row>
    <row r="803" ht="14.25" customHeight="1">
      <c r="H803" s="19"/>
    </row>
    <row r="804" ht="14.25" customHeight="1">
      <c r="H804" s="19"/>
    </row>
    <row r="805" ht="14.25" customHeight="1">
      <c r="H805" s="19"/>
    </row>
    <row r="806" ht="14.25" customHeight="1">
      <c r="H806" s="19"/>
    </row>
    <row r="807" ht="14.25" customHeight="1">
      <c r="H807" s="19"/>
    </row>
    <row r="808" ht="14.25" customHeight="1">
      <c r="H808" s="19"/>
    </row>
    <row r="809" ht="14.25" customHeight="1">
      <c r="H809" s="19"/>
    </row>
    <row r="810" ht="14.25" customHeight="1">
      <c r="H810" s="19"/>
    </row>
    <row r="811" ht="14.25" customHeight="1">
      <c r="H811" s="19"/>
    </row>
    <row r="812" ht="14.25" customHeight="1">
      <c r="H812" s="19"/>
    </row>
    <row r="813" ht="14.25" customHeight="1">
      <c r="H813" s="19"/>
    </row>
    <row r="814" ht="14.25" customHeight="1">
      <c r="H814" s="19"/>
    </row>
    <row r="815" ht="14.25" customHeight="1">
      <c r="H815" s="19"/>
    </row>
    <row r="816" ht="14.25" customHeight="1">
      <c r="H816" s="19"/>
    </row>
    <row r="817" ht="14.25" customHeight="1">
      <c r="H817" s="19"/>
    </row>
    <row r="818" ht="14.25" customHeight="1">
      <c r="H818" s="19"/>
    </row>
    <row r="819" ht="14.25" customHeight="1">
      <c r="H819" s="19"/>
    </row>
    <row r="820" ht="14.25" customHeight="1">
      <c r="H820" s="19"/>
    </row>
    <row r="821" ht="14.25" customHeight="1">
      <c r="H821" s="19"/>
    </row>
    <row r="822" ht="14.25" customHeight="1">
      <c r="H822" s="19"/>
    </row>
    <row r="823" ht="14.25" customHeight="1">
      <c r="H823" s="19"/>
    </row>
    <row r="824" ht="14.25" customHeight="1">
      <c r="H824" s="19"/>
    </row>
    <row r="825" ht="14.25" customHeight="1">
      <c r="H825" s="19"/>
    </row>
    <row r="826" ht="14.25" customHeight="1">
      <c r="H826" s="19"/>
    </row>
    <row r="827" ht="14.25" customHeight="1">
      <c r="H827" s="19"/>
    </row>
    <row r="828" ht="14.25" customHeight="1">
      <c r="H828" s="19"/>
    </row>
    <row r="829" ht="14.25" customHeight="1">
      <c r="H829" s="19"/>
    </row>
    <row r="830" ht="14.25" customHeight="1">
      <c r="H830" s="19"/>
    </row>
    <row r="831" ht="14.25" customHeight="1">
      <c r="H831" s="19"/>
    </row>
    <row r="832" ht="14.25" customHeight="1">
      <c r="H832" s="19"/>
    </row>
    <row r="833" ht="14.25" customHeight="1">
      <c r="H833" s="19"/>
    </row>
    <row r="834" ht="14.25" customHeight="1">
      <c r="H834" s="19"/>
    </row>
    <row r="835" ht="14.25" customHeight="1">
      <c r="H835" s="19"/>
    </row>
    <row r="836" ht="14.25" customHeight="1">
      <c r="H836" s="19"/>
    </row>
    <row r="837" ht="14.25" customHeight="1">
      <c r="H837" s="19"/>
    </row>
    <row r="838" ht="14.25" customHeight="1">
      <c r="H838" s="19"/>
    </row>
    <row r="839" ht="14.25" customHeight="1">
      <c r="H839" s="19"/>
    </row>
    <row r="840" ht="14.25" customHeight="1">
      <c r="H840" s="19"/>
    </row>
    <row r="841" ht="14.25" customHeight="1">
      <c r="H841" s="19"/>
    </row>
    <row r="842" ht="14.25" customHeight="1">
      <c r="H842" s="19"/>
    </row>
    <row r="843" ht="14.25" customHeight="1">
      <c r="H843" s="19"/>
    </row>
    <row r="844" ht="14.25" customHeight="1">
      <c r="H844" s="19"/>
    </row>
    <row r="845" ht="14.25" customHeight="1">
      <c r="H845" s="19"/>
    </row>
    <row r="846" ht="14.25" customHeight="1">
      <c r="H846" s="19"/>
    </row>
    <row r="847" ht="14.25" customHeight="1">
      <c r="H847" s="19"/>
    </row>
    <row r="848" ht="14.25" customHeight="1">
      <c r="H848" s="19"/>
    </row>
    <row r="849" ht="14.25" customHeight="1">
      <c r="H849" s="19"/>
    </row>
    <row r="850" ht="14.25" customHeight="1">
      <c r="H850" s="19"/>
    </row>
    <row r="851" ht="14.25" customHeight="1">
      <c r="H851" s="19"/>
    </row>
    <row r="852" ht="14.25" customHeight="1">
      <c r="H852" s="19"/>
    </row>
    <row r="853" ht="14.25" customHeight="1">
      <c r="H853" s="19"/>
    </row>
    <row r="854" ht="14.25" customHeight="1">
      <c r="H854" s="19"/>
    </row>
    <row r="855" ht="14.25" customHeight="1">
      <c r="H855" s="19"/>
    </row>
    <row r="856" ht="14.25" customHeight="1">
      <c r="H856" s="19"/>
    </row>
    <row r="857" ht="14.25" customHeight="1">
      <c r="H857" s="19"/>
    </row>
    <row r="858" ht="14.25" customHeight="1">
      <c r="H858" s="19"/>
    </row>
    <row r="859" ht="14.25" customHeight="1">
      <c r="H859" s="19"/>
    </row>
    <row r="860" ht="14.25" customHeight="1">
      <c r="H860" s="19"/>
    </row>
    <row r="861" ht="14.25" customHeight="1">
      <c r="H861" s="19"/>
    </row>
    <row r="862" ht="14.25" customHeight="1">
      <c r="H862" s="19"/>
    </row>
    <row r="863" ht="14.25" customHeight="1">
      <c r="H863" s="19"/>
    </row>
    <row r="864" ht="14.25" customHeight="1">
      <c r="H864" s="19"/>
    </row>
    <row r="865" ht="14.25" customHeight="1">
      <c r="H865" s="19"/>
    </row>
    <row r="866" ht="14.25" customHeight="1">
      <c r="H866" s="19"/>
    </row>
    <row r="867" ht="14.25" customHeight="1">
      <c r="H867" s="19"/>
    </row>
    <row r="868" ht="14.25" customHeight="1">
      <c r="H868" s="19"/>
    </row>
    <row r="869" ht="14.25" customHeight="1">
      <c r="H869" s="19"/>
    </row>
    <row r="870" ht="14.25" customHeight="1">
      <c r="H870" s="19"/>
    </row>
    <row r="871" ht="14.25" customHeight="1">
      <c r="H871" s="19"/>
    </row>
    <row r="872" ht="14.25" customHeight="1">
      <c r="H872" s="19"/>
    </row>
    <row r="873" ht="14.25" customHeight="1">
      <c r="H873" s="19"/>
    </row>
    <row r="874" ht="14.25" customHeight="1">
      <c r="H874" s="19"/>
    </row>
    <row r="875" ht="14.25" customHeight="1">
      <c r="H875" s="19"/>
    </row>
    <row r="876" ht="14.25" customHeight="1">
      <c r="H876" s="19"/>
    </row>
    <row r="877" ht="14.25" customHeight="1">
      <c r="H877" s="19"/>
    </row>
    <row r="878" ht="14.25" customHeight="1">
      <c r="H878" s="19"/>
    </row>
    <row r="879" ht="14.25" customHeight="1">
      <c r="H879" s="19"/>
    </row>
    <row r="880" ht="14.25" customHeight="1">
      <c r="H880" s="19"/>
    </row>
    <row r="881" ht="14.25" customHeight="1">
      <c r="H881" s="19"/>
    </row>
    <row r="882" ht="14.25" customHeight="1">
      <c r="H882" s="19"/>
    </row>
    <row r="883" ht="14.25" customHeight="1">
      <c r="H883" s="19"/>
    </row>
    <row r="884" ht="14.25" customHeight="1">
      <c r="H884" s="19"/>
    </row>
    <row r="885" ht="14.25" customHeight="1">
      <c r="H885" s="19"/>
    </row>
    <row r="886" ht="14.25" customHeight="1">
      <c r="H886" s="19"/>
    </row>
    <row r="887" ht="14.25" customHeight="1">
      <c r="H887" s="19"/>
    </row>
    <row r="888" ht="14.25" customHeight="1">
      <c r="H888" s="19"/>
    </row>
    <row r="889" ht="14.25" customHeight="1">
      <c r="H889" s="19"/>
    </row>
    <row r="890" ht="14.25" customHeight="1">
      <c r="H890" s="19"/>
    </row>
    <row r="891" ht="14.25" customHeight="1">
      <c r="H891" s="19"/>
    </row>
    <row r="892" ht="14.25" customHeight="1">
      <c r="H892" s="19"/>
    </row>
    <row r="893" ht="14.25" customHeight="1">
      <c r="H893" s="19"/>
    </row>
    <row r="894" ht="14.25" customHeight="1">
      <c r="H894" s="19"/>
    </row>
    <row r="895" ht="14.25" customHeight="1">
      <c r="H895" s="19"/>
    </row>
    <row r="896" ht="14.25" customHeight="1">
      <c r="H896" s="19"/>
    </row>
    <row r="897" ht="14.25" customHeight="1">
      <c r="H897" s="19"/>
    </row>
    <row r="898" ht="14.25" customHeight="1">
      <c r="H898" s="19"/>
    </row>
    <row r="899" ht="14.25" customHeight="1">
      <c r="H899" s="19"/>
    </row>
    <row r="900" ht="14.25" customHeight="1">
      <c r="H900" s="19"/>
    </row>
    <row r="901" ht="14.25" customHeight="1">
      <c r="H901" s="19"/>
    </row>
    <row r="902" ht="14.25" customHeight="1">
      <c r="H902" s="19"/>
    </row>
    <row r="903" ht="14.25" customHeight="1">
      <c r="H903" s="19"/>
    </row>
    <row r="904" ht="14.25" customHeight="1">
      <c r="H904" s="19"/>
    </row>
    <row r="905" ht="14.25" customHeight="1">
      <c r="H905" s="19"/>
    </row>
    <row r="906" ht="14.25" customHeight="1">
      <c r="H906" s="19"/>
    </row>
    <row r="907" ht="14.25" customHeight="1">
      <c r="H907" s="19"/>
    </row>
    <row r="908" ht="14.25" customHeight="1">
      <c r="H908" s="19"/>
    </row>
    <row r="909" ht="14.25" customHeight="1">
      <c r="H909" s="19"/>
    </row>
    <row r="910" ht="14.25" customHeight="1">
      <c r="H910" s="19"/>
    </row>
    <row r="911" ht="14.25" customHeight="1">
      <c r="H911" s="19"/>
    </row>
    <row r="912" ht="14.25" customHeight="1">
      <c r="H912" s="19"/>
    </row>
    <row r="913" ht="14.25" customHeight="1">
      <c r="H913" s="19"/>
    </row>
    <row r="914" ht="14.25" customHeight="1">
      <c r="H914" s="19"/>
    </row>
    <row r="915" ht="14.25" customHeight="1">
      <c r="H915" s="19"/>
    </row>
    <row r="916" ht="14.25" customHeight="1">
      <c r="H916" s="19"/>
    </row>
    <row r="917" ht="14.25" customHeight="1">
      <c r="H917" s="19"/>
    </row>
    <row r="918" ht="14.25" customHeight="1">
      <c r="H918" s="19"/>
    </row>
    <row r="919" ht="14.25" customHeight="1">
      <c r="H919" s="19"/>
    </row>
    <row r="920" ht="14.25" customHeight="1">
      <c r="H920" s="19"/>
    </row>
    <row r="921" ht="14.25" customHeight="1">
      <c r="H921" s="19"/>
    </row>
    <row r="922" ht="14.25" customHeight="1">
      <c r="H922" s="19"/>
    </row>
    <row r="923" ht="14.25" customHeight="1">
      <c r="H923" s="19"/>
    </row>
    <row r="924" ht="14.25" customHeight="1">
      <c r="H924" s="19"/>
    </row>
    <row r="925" ht="14.25" customHeight="1">
      <c r="H925" s="19"/>
    </row>
    <row r="926" ht="14.25" customHeight="1">
      <c r="H926" s="19"/>
    </row>
    <row r="927" ht="14.25" customHeight="1">
      <c r="H927" s="19"/>
    </row>
    <row r="928" ht="14.25" customHeight="1">
      <c r="H928" s="19"/>
    </row>
    <row r="929" ht="14.25" customHeight="1">
      <c r="H929" s="19"/>
    </row>
    <row r="930" ht="14.25" customHeight="1">
      <c r="H930" s="19"/>
    </row>
    <row r="931" ht="14.25" customHeight="1">
      <c r="H931" s="19"/>
    </row>
    <row r="932" ht="14.25" customHeight="1">
      <c r="H932" s="19"/>
    </row>
    <row r="933" ht="14.25" customHeight="1">
      <c r="H933" s="19"/>
    </row>
    <row r="934" ht="14.25" customHeight="1">
      <c r="H934" s="19"/>
    </row>
    <row r="935" ht="14.25" customHeight="1">
      <c r="H935" s="19"/>
    </row>
    <row r="936" ht="14.25" customHeight="1">
      <c r="H936" s="19"/>
    </row>
    <row r="937" ht="14.25" customHeight="1">
      <c r="H937" s="19"/>
    </row>
    <row r="938" ht="14.25" customHeight="1">
      <c r="H938" s="19"/>
    </row>
    <row r="939" ht="14.25" customHeight="1">
      <c r="H939" s="19"/>
    </row>
    <row r="940" ht="14.25" customHeight="1">
      <c r="H940" s="19"/>
    </row>
    <row r="941" ht="14.25" customHeight="1">
      <c r="H941" s="19"/>
    </row>
    <row r="942" ht="14.25" customHeight="1">
      <c r="H942" s="19"/>
    </row>
    <row r="943" ht="14.25" customHeight="1">
      <c r="H943" s="19"/>
    </row>
    <row r="944" ht="14.25" customHeight="1">
      <c r="H944" s="19"/>
    </row>
    <row r="945" ht="14.25" customHeight="1">
      <c r="H945" s="19"/>
    </row>
    <row r="946" ht="14.25" customHeight="1">
      <c r="H946" s="19"/>
    </row>
    <row r="947" ht="14.25" customHeight="1">
      <c r="H947" s="19"/>
    </row>
    <row r="948" ht="14.25" customHeight="1">
      <c r="H948" s="19"/>
    </row>
    <row r="949" ht="14.25" customHeight="1">
      <c r="H949" s="19"/>
    </row>
    <row r="950" ht="14.25" customHeight="1">
      <c r="H950" s="19"/>
    </row>
    <row r="951" ht="14.25" customHeight="1">
      <c r="H951" s="19"/>
    </row>
    <row r="952" ht="14.25" customHeight="1">
      <c r="H952" s="19"/>
    </row>
    <row r="953" ht="14.25" customHeight="1">
      <c r="H953" s="19"/>
    </row>
    <row r="954" ht="14.25" customHeight="1">
      <c r="H954" s="19"/>
    </row>
    <row r="955" ht="14.25" customHeight="1">
      <c r="H955" s="19"/>
    </row>
    <row r="956" ht="14.25" customHeight="1">
      <c r="H956" s="19"/>
    </row>
    <row r="957" ht="14.25" customHeight="1">
      <c r="H957" s="19"/>
    </row>
    <row r="958" ht="14.25" customHeight="1">
      <c r="H958" s="19"/>
    </row>
    <row r="959" ht="14.25" customHeight="1">
      <c r="H959" s="19"/>
    </row>
    <row r="960" ht="14.25" customHeight="1">
      <c r="H960" s="19"/>
    </row>
    <row r="961" ht="14.25" customHeight="1">
      <c r="H961" s="19"/>
    </row>
    <row r="962" ht="14.25" customHeight="1">
      <c r="H962" s="19"/>
    </row>
    <row r="963" ht="14.25" customHeight="1">
      <c r="H963" s="19"/>
    </row>
    <row r="964" ht="14.25" customHeight="1">
      <c r="H964" s="19"/>
    </row>
    <row r="965" ht="14.25" customHeight="1">
      <c r="H965" s="19"/>
    </row>
    <row r="966" ht="14.25" customHeight="1">
      <c r="H966" s="19"/>
    </row>
    <row r="967" ht="14.25" customHeight="1">
      <c r="H967" s="19"/>
    </row>
    <row r="968" ht="14.25" customHeight="1">
      <c r="H968" s="19"/>
    </row>
    <row r="969" ht="14.25" customHeight="1">
      <c r="H969" s="19"/>
    </row>
    <row r="970" ht="14.25" customHeight="1">
      <c r="H970" s="19"/>
    </row>
    <row r="971" ht="14.25" customHeight="1">
      <c r="H971" s="19"/>
    </row>
    <row r="972" ht="14.25" customHeight="1">
      <c r="H972" s="19"/>
    </row>
    <row r="973" ht="14.25" customHeight="1">
      <c r="H973" s="19"/>
    </row>
    <row r="974" ht="14.25" customHeight="1">
      <c r="H974" s="19"/>
    </row>
    <row r="975" ht="14.25" customHeight="1">
      <c r="H975" s="19"/>
    </row>
    <row r="976" ht="14.25" customHeight="1">
      <c r="H976" s="19"/>
    </row>
    <row r="977" ht="14.25" customHeight="1">
      <c r="H977" s="19"/>
    </row>
    <row r="978" ht="14.25" customHeight="1">
      <c r="H978" s="19"/>
    </row>
    <row r="979" ht="14.25" customHeight="1">
      <c r="H979" s="19"/>
    </row>
    <row r="980" ht="14.25" customHeight="1">
      <c r="H980" s="19"/>
    </row>
    <row r="981" ht="14.25" customHeight="1">
      <c r="H981" s="19"/>
    </row>
    <row r="982" ht="14.25" customHeight="1">
      <c r="H982" s="19"/>
    </row>
    <row r="983" ht="14.25" customHeight="1">
      <c r="H983" s="19"/>
    </row>
    <row r="984" ht="14.25" customHeight="1">
      <c r="H984" s="19"/>
    </row>
    <row r="985" ht="14.25" customHeight="1">
      <c r="H985" s="19"/>
    </row>
    <row r="986" ht="14.25" customHeight="1">
      <c r="H986" s="19"/>
    </row>
    <row r="987" ht="14.25" customHeight="1">
      <c r="H987" s="19"/>
    </row>
    <row r="988" ht="14.25" customHeight="1">
      <c r="H988" s="19"/>
    </row>
    <row r="989" ht="14.25" customHeight="1">
      <c r="H989" s="19"/>
    </row>
    <row r="990" ht="14.25" customHeight="1">
      <c r="H990" s="19"/>
    </row>
    <row r="991" ht="14.25" customHeight="1">
      <c r="H991" s="19"/>
    </row>
    <row r="992" ht="14.25" customHeight="1">
      <c r="H992" s="19"/>
    </row>
    <row r="993" ht="14.25" customHeight="1">
      <c r="H993" s="19"/>
    </row>
    <row r="994" ht="14.25" customHeight="1">
      <c r="H994" s="19"/>
    </row>
    <row r="995" ht="14.25" customHeight="1">
      <c r="H995" s="19"/>
    </row>
    <row r="996" ht="14.25" customHeight="1">
      <c r="H996" s="19"/>
    </row>
    <row r="997" ht="14.25" customHeight="1">
      <c r="H997" s="19"/>
    </row>
    <row r="998" ht="14.25" customHeight="1">
      <c r="H998" s="19"/>
    </row>
    <row r="999" ht="14.25" customHeight="1">
      <c r="H999" s="19"/>
    </row>
  </sheetData>
  <mergeCells count="2">
    <mergeCell ref="A76:F76"/>
    <mergeCell ref="A77:F77"/>
  </mergeCells>
  <printOptions/>
  <pageMargins bottom="0.75" footer="0.0" header="0.0" left="0.7" right="0.7" top="0.75"/>
  <pageSetup paperSize="9" scale="7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26.29"/>
    <col customWidth="1" min="3" max="3" width="69.0"/>
    <col customWidth="1" min="4" max="4" width="11.86"/>
    <col customWidth="1" hidden="1" min="5" max="5" width="17.0"/>
    <col customWidth="1" min="6" max="6" width="7.86"/>
    <col customWidth="1" min="7" max="7" width="12.86"/>
    <col customWidth="1" min="8" max="9" width="5.57"/>
    <col customWidth="1" min="10" max="10" width="8.71"/>
    <col customWidth="1" min="11" max="11" width="19.86"/>
    <col customWidth="1" hidden="1" min="12" max="12" width="12.86"/>
    <col customWidth="1" min="13" max="13" width="12.86"/>
    <col customWidth="1" min="14" max="14" width="24.29"/>
    <col customWidth="1" min="15" max="15" width="11.0"/>
    <col customWidth="1" min="16" max="16" width="39.0"/>
    <col customWidth="1" min="17" max="19" width="8.71"/>
    <col customWidth="1" min="20" max="20" width="29.86"/>
    <col customWidth="1" min="21" max="32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98</v>
      </c>
      <c r="F1" s="1" t="s">
        <v>99</v>
      </c>
      <c r="G1" s="1" t="s">
        <v>100</v>
      </c>
      <c r="H1" s="1"/>
      <c r="I1" s="1" t="s">
        <v>4</v>
      </c>
      <c r="J1" s="1" t="s">
        <v>5</v>
      </c>
      <c r="K1" s="1" t="s">
        <v>6</v>
      </c>
      <c r="L1" s="2" t="s">
        <v>7</v>
      </c>
      <c r="M1" s="1" t="s">
        <v>8</v>
      </c>
      <c r="N1" s="1" t="s">
        <v>9</v>
      </c>
      <c r="O1" s="1" t="s">
        <v>10</v>
      </c>
      <c r="P1" s="3"/>
      <c r="Q1" s="3"/>
      <c r="R1" s="3"/>
      <c r="S1" s="3"/>
      <c r="T1" s="4" t="s">
        <v>11</v>
      </c>
      <c r="U1" s="4" t="s">
        <v>12</v>
      </c>
      <c r="V1" s="4" t="s">
        <v>13</v>
      </c>
      <c r="W1" s="1"/>
      <c r="X1" s="1" t="s">
        <v>14</v>
      </c>
      <c r="Y1" s="3"/>
      <c r="Z1" s="3"/>
      <c r="AA1" s="3"/>
      <c r="AB1" s="3"/>
      <c r="AC1" s="3"/>
      <c r="AD1" s="3"/>
      <c r="AE1" s="3"/>
      <c r="AF1" s="3"/>
    </row>
    <row r="2" ht="14.25" customHeight="1">
      <c r="A2" s="5">
        <v>1.0</v>
      </c>
      <c r="B2" s="5" t="s">
        <v>15</v>
      </c>
      <c r="C2" s="6" t="s">
        <v>16</v>
      </c>
      <c r="D2" s="5" t="s">
        <v>17</v>
      </c>
      <c r="E2" s="6" t="s">
        <v>101</v>
      </c>
      <c r="F2" s="6" t="s">
        <v>102</v>
      </c>
      <c r="G2" s="6"/>
      <c r="H2" s="6"/>
      <c r="I2" s="6">
        <v>56.0</v>
      </c>
      <c r="J2" s="6" t="s">
        <v>18</v>
      </c>
      <c r="K2" s="6">
        <v>10.0</v>
      </c>
      <c r="L2" s="7">
        <f t="shared" ref="L2:L75" si="2">K2/1440</f>
        <v>0.006944444444</v>
      </c>
      <c r="M2" s="6">
        <v>1.0</v>
      </c>
      <c r="N2" s="5">
        <f>sum(K2:K5)</f>
        <v>100</v>
      </c>
      <c r="O2" s="8">
        <f>N2/(60*24)</f>
        <v>0.06944444444</v>
      </c>
      <c r="P2" s="9" t="s">
        <v>19</v>
      </c>
      <c r="T2" s="10" t="str">
        <f>B2</f>
        <v>Disposisi PR</v>
      </c>
      <c r="U2" s="10">
        <f t="shared" ref="U2:V2" si="1">N2</f>
        <v>100</v>
      </c>
      <c r="V2" s="11">
        <f t="shared" si="1"/>
        <v>0.06944444444</v>
      </c>
      <c r="W2" s="12"/>
      <c r="X2" s="12">
        <f t="shared" ref="X2:X10" si="4">V2/$V$12</f>
        <v>0.00201511335</v>
      </c>
    </row>
    <row r="3" ht="14.25" customHeight="1">
      <c r="A3" s="6">
        <v>2.0</v>
      </c>
      <c r="C3" s="6" t="s">
        <v>20</v>
      </c>
      <c r="D3" s="6" t="s">
        <v>17</v>
      </c>
      <c r="E3" s="6" t="s">
        <v>101</v>
      </c>
      <c r="F3" s="6" t="s">
        <v>102</v>
      </c>
      <c r="G3" s="6"/>
      <c r="H3" s="6"/>
      <c r="I3" s="6">
        <v>56.0</v>
      </c>
      <c r="J3" s="6" t="s">
        <v>18</v>
      </c>
      <c r="K3" s="6">
        <v>20.0</v>
      </c>
      <c r="L3" s="7">
        <f t="shared" si="2"/>
        <v>0.01388888889</v>
      </c>
      <c r="M3" s="6">
        <v>1.0</v>
      </c>
      <c r="O3" s="8"/>
      <c r="P3" s="13" t="s">
        <v>21</v>
      </c>
      <c r="T3" s="10" t="str">
        <f>B6</f>
        <v>Pembuatan Proposal Tender</v>
      </c>
      <c r="U3" s="10">
        <f t="shared" ref="U3:V3" si="3">N6</f>
        <v>40</v>
      </c>
      <c r="V3" s="11">
        <f t="shared" si="3"/>
        <v>0.02777777778</v>
      </c>
      <c r="W3" s="12"/>
      <c r="X3" s="12">
        <f t="shared" si="4"/>
        <v>0.0008060453401</v>
      </c>
    </row>
    <row r="4" ht="14.25" customHeight="1">
      <c r="A4" s="5">
        <v>3.0</v>
      </c>
      <c r="C4" s="6" t="s">
        <v>22</v>
      </c>
      <c r="D4" s="5" t="s">
        <v>17</v>
      </c>
      <c r="E4" s="6" t="s">
        <v>101</v>
      </c>
      <c r="F4" s="6" t="s">
        <v>102</v>
      </c>
      <c r="G4" s="6"/>
      <c r="H4" s="6"/>
      <c r="I4" s="6">
        <v>56.0</v>
      </c>
      <c r="J4" s="6" t="s">
        <v>18</v>
      </c>
      <c r="K4" s="6">
        <v>10.0</v>
      </c>
      <c r="L4" s="7">
        <f t="shared" si="2"/>
        <v>0.006944444444</v>
      </c>
      <c r="M4" s="6">
        <v>1.0</v>
      </c>
      <c r="O4" s="8"/>
      <c r="T4" s="10" t="str">
        <f>B11</f>
        <v>Pembuatan DUR &amp; Approval</v>
      </c>
      <c r="U4" s="10">
        <f t="shared" ref="U4:V4" si="5">N11</f>
        <v>8960</v>
      </c>
      <c r="V4" s="11">
        <f t="shared" si="5"/>
        <v>6.222222222</v>
      </c>
      <c r="W4" s="12"/>
      <c r="X4" s="12">
        <f t="shared" si="4"/>
        <v>0.1805541562</v>
      </c>
    </row>
    <row r="5" ht="14.25" customHeight="1">
      <c r="A5" s="5">
        <v>4.0</v>
      </c>
      <c r="C5" s="15" t="s">
        <v>23</v>
      </c>
      <c r="D5" s="5" t="s">
        <v>24</v>
      </c>
      <c r="E5" s="6"/>
      <c r="F5" s="6" t="s">
        <v>103</v>
      </c>
      <c r="G5" s="6"/>
      <c r="H5" s="6"/>
      <c r="I5" s="6">
        <v>56.0</v>
      </c>
      <c r="J5" s="6" t="s">
        <v>18</v>
      </c>
      <c r="K5" s="6">
        <v>60.0</v>
      </c>
      <c r="L5" s="7">
        <f t="shared" si="2"/>
        <v>0.04166666667</v>
      </c>
      <c r="M5" s="6">
        <v>1.0</v>
      </c>
      <c r="O5" s="8"/>
      <c r="T5" s="10" t="str">
        <f>B19</f>
        <v>Aanwijzing</v>
      </c>
      <c r="U5" s="10">
        <f t="shared" ref="U5:V5" si="6">N19</f>
        <v>4370</v>
      </c>
      <c r="V5" s="11">
        <f t="shared" si="6"/>
        <v>3.034722222</v>
      </c>
      <c r="W5" s="12"/>
      <c r="X5" s="12">
        <f t="shared" si="4"/>
        <v>0.0880604534</v>
      </c>
    </row>
    <row r="6" ht="14.25" customHeight="1">
      <c r="A6" s="6">
        <v>5.0</v>
      </c>
      <c r="B6" s="5" t="s">
        <v>25</v>
      </c>
      <c r="C6" s="5" t="s">
        <v>26</v>
      </c>
      <c r="D6" s="5" t="s">
        <v>24</v>
      </c>
      <c r="E6" s="6" t="s">
        <v>101</v>
      </c>
      <c r="F6" s="6" t="s">
        <v>102</v>
      </c>
      <c r="G6" s="6"/>
      <c r="H6" s="6"/>
      <c r="I6" s="6">
        <v>56.0</v>
      </c>
      <c r="J6" s="6" t="s">
        <v>18</v>
      </c>
      <c r="K6" s="6">
        <v>5.0</v>
      </c>
      <c r="L6" s="7">
        <f t="shared" si="2"/>
        <v>0.003472222222</v>
      </c>
      <c r="M6" s="6">
        <v>1.0</v>
      </c>
      <c r="N6" s="5">
        <f>sum(K6:K10)</f>
        <v>40</v>
      </c>
      <c r="O6" s="8">
        <f>N6/(60*24)</f>
        <v>0.02777777778</v>
      </c>
      <c r="T6" s="10" t="str">
        <f>B23</f>
        <v>Penawaran Rekanan</v>
      </c>
      <c r="U6" s="10">
        <f t="shared" ref="U6:V6" si="7">N23</f>
        <v>10125</v>
      </c>
      <c r="V6" s="11">
        <f t="shared" si="7"/>
        <v>7.03125</v>
      </c>
      <c r="W6" s="12"/>
      <c r="X6" s="12">
        <f t="shared" si="4"/>
        <v>0.2040302267</v>
      </c>
    </row>
    <row r="7" ht="14.25" customHeight="1">
      <c r="A7" s="5">
        <v>6.0</v>
      </c>
      <c r="C7" s="5" t="s">
        <v>27</v>
      </c>
      <c r="D7" s="5" t="s">
        <v>24</v>
      </c>
      <c r="E7" s="6" t="s">
        <v>101</v>
      </c>
      <c r="F7" s="6" t="s">
        <v>102</v>
      </c>
      <c r="G7" s="6"/>
      <c r="H7" s="6"/>
      <c r="I7" s="6">
        <v>56.0</v>
      </c>
      <c r="J7" s="6" t="s">
        <v>18</v>
      </c>
      <c r="K7" s="6">
        <v>10.0</v>
      </c>
      <c r="L7" s="7">
        <f t="shared" si="2"/>
        <v>0.006944444444</v>
      </c>
      <c r="M7" s="6">
        <v>1.0</v>
      </c>
      <c r="O7" s="8"/>
      <c r="T7" s="10" t="str">
        <f>B27</f>
        <v>Evaluasi Teknis</v>
      </c>
      <c r="U7" s="10">
        <f t="shared" ref="U7:V7" si="8">N27</f>
        <v>6585</v>
      </c>
      <c r="V7" s="11">
        <f t="shared" si="8"/>
        <v>4.572916667</v>
      </c>
      <c r="W7" s="12"/>
      <c r="X7" s="12">
        <f t="shared" si="4"/>
        <v>0.1326952141</v>
      </c>
    </row>
    <row r="8" ht="14.25" customHeight="1">
      <c r="A8" s="5">
        <v>7.0</v>
      </c>
      <c r="C8" s="5" t="s">
        <v>28</v>
      </c>
      <c r="D8" s="5" t="s">
        <v>24</v>
      </c>
      <c r="E8" s="6" t="s">
        <v>101</v>
      </c>
      <c r="F8" s="6" t="s">
        <v>102</v>
      </c>
      <c r="G8" s="6"/>
      <c r="H8" s="6"/>
      <c r="I8" s="6">
        <v>56.0</v>
      </c>
      <c r="J8" s="6" t="s">
        <v>18</v>
      </c>
      <c r="K8" s="6">
        <v>10.0</v>
      </c>
      <c r="L8" s="7">
        <f t="shared" si="2"/>
        <v>0.006944444444</v>
      </c>
      <c r="M8" s="6">
        <v>1.0</v>
      </c>
      <c r="O8" s="8"/>
      <c r="T8" s="10" t="str">
        <f>B53</f>
        <v>Negosiasi</v>
      </c>
      <c r="U8" s="10">
        <f t="shared" ref="U8:V8" si="9">N53</f>
        <v>1560</v>
      </c>
      <c r="V8" s="11">
        <f t="shared" si="9"/>
        <v>1.083333333</v>
      </c>
      <c r="W8" s="12"/>
      <c r="X8" s="12">
        <f t="shared" si="4"/>
        <v>0.03143576826</v>
      </c>
    </row>
    <row r="9" ht="14.25" customHeight="1">
      <c r="A9" s="6">
        <v>8.0</v>
      </c>
      <c r="C9" s="5" t="s">
        <v>29</v>
      </c>
      <c r="D9" s="5" t="s">
        <v>24</v>
      </c>
      <c r="E9" s="6" t="s">
        <v>101</v>
      </c>
      <c r="F9" s="6" t="s">
        <v>102</v>
      </c>
      <c r="G9" s="6"/>
      <c r="H9" s="6"/>
      <c r="I9" s="6">
        <v>56.0</v>
      </c>
      <c r="J9" s="6" t="s">
        <v>18</v>
      </c>
      <c r="K9" s="6">
        <v>5.0</v>
      </c>
      <c r="L9" s="7">
        <f t="shared" si="2"/>
        <v>0.003472222222</v>
      </c>
      <c r="M9" s="6">
        <v>1.0</v>
      </c>
      <c r="O9" s="8"/>
      <c r="T9" s="10" t="str">
        <f>B62</f>
        <v>Usulan Pemenang</v>
      </c>
      <c r="U9" s="10">
        <f t="shared" ref="U9:V9" si="10">N62</f>
        <v>8940</v>
      </c>
      <c r="V9" s="11">
        <f t="shared" si="10"/>
        <v>6.208333333</v>
      </c>
      <c r="W9" s="12"/>
      <c r="X9" s="12">
        <f t="shared" si="4"/>
        <v>0.1801511335</v>
      </c>
    </row>
    <row r="10" ht="14.25" customHeight="1">
      <c r="A10" s="5">
        <v>9.0</v>
      </c>
      <c r="C10" s="5" t="s">
        <v>30</v>
      </c>
      <c r="D10" s="5" t="s">
        <v>24</v>
      </c>
      <c r="E10" s="6" t="s">
        <v>101</v>
      </c>
      <c r="F10" s="6" t="s">
        <v>102</v>
      </c>
      <c r="G10" s="6"/>
      <c r="H10" s="6"/>
      <c r="I10" s="6">
        <v>56.0</v>
      </c>
      <c r="J10" s="6" t="s">
        <v>18</v>
      </c>
      <c r="K10" s="6">
        <v>10.0</v>
      </c>
      <c r="L10" s="7">
        <f t="shared" si="2"/>
        <v>0.006944444444</v>
      </c>
      <c r="M10" s="6">
        <v>1.0</v>
      </c>
      <c r="O10" s="8"/>
      <c r="T10" s="10" t="str">
        <f>B68</f>
        <v>Purchase Order (PO)</v>
      </c>
      <c r="U10" s="10">
        <f t="shared" ref="U10:V10" si="11">N68</f>
        <v>8940</v>
      </c>
      <c r="V10" s="11">
        <f t="shared" si="11"/>
        <v>6.208333333</v>
      </c>
      <c r="W10" s="12"/>
      <c r="X10" s="12">
        <f t="shared" si="4"/>
        <v>0.1801511335</v>
      </c>
    </row>
    <row r="11" ht="14.25" customHeight="1">
      <c r="A11" s="5">
        <v>10.0</v>
      </c>
      <c r="B11" s="5" t="s">
        <v>31</v>
      </c>
      <c r="C11" s="5" t="s">
        <v>32</v>
      </c>
      <c r="D11" s="5" t="s">
        <v>24</v>
      </c>
      <c r="E11" s="6" t="s">
        <v>101</v>
      </c>
      <c r="F11" s="6" t="s">
        <v>102</v>
      </c>
      <c r="G11" s="6"/>
      <c r="H11" s="6"/>
      <c r="I11" s="6">
        <v>56.0</v>
      </c>
      <c r="J11" s="6" t="s">
        <v>18</v>
      </c>
      <c r="K11" s="6">
        <v>20.0</v>
      </c>
      <c r="L11" s="7">
        <f t="shared" si="2"/>
        <v>0.01388888889</v>
      </c>
      <c r="M11" s="6">
        <v>1.0</v>
      </c>
      <c r="N11" s="5">
        <f>sum(K11:K18)</f>
        <v>8960</v>
      </c>
      <c r="O11" s="8">
        <f>N11/(60*24)</f>
        <v>6.222222222</v>
      </c>
      <c r="T11" s="10" t="str">
        <f>B75</f>
        <v>Kirim PO</v>
      </c>
      <c r="U11" s="10">
        <f t="shared" ref="U11:V11" si="12">N75</f>
        <v>5</v>
      </c>
      <c r="V11" s="11">
        <f t="shared" si="12"/>
        <v>0.003472222222</v>
      </c>
      <c r="W11" s="12"/>
      <c r="X11" s="12"/>
    </row>
    <row r="12" ht="14.25" customHeight="1">
      <c r="A12" s="6">
        <v>11.0</v>
      </c>
      <c r="C12" s="15" t="s">
        <v>33</v>
      </c>
      <c r="D12" s="5" t="s">
        <v>24</v>
      </c>
      <c r="E12" s="6"/>
      <c r="F12" s="6" t="s">
        <v>103</v>
      </c>
      <c r="G12" s="6"/>
      <c r="H12" s="6"/>
      <c r="I12" s="6">
        <v>56.0</v>
      </c>
      <c r="J12" s="6" t="s">
        <v>18</v>
      </c>
      <c r="K12" s="6">
        <v>5.0</v>
      </c>
      <c r="L12" s="7">
        <f t="shared" si="2"/>
        <v>0.003472222222</v>
      </c>
      <c r="M12" s="6">
        <v>1.0</v>
      </c>
      <c r="O12" s="8"/>
      <c r="T12" s="14" t="s">
        <v>34</v>
      </c>
      <c r="U12" s="10">
        <f t="shared" ref="U12:V12" si="13">sum(U2:U11)</f>
        <v>49625</v>
      </c>
      <c r="V12" s="11">
        <f t="shared" si="13"/>
        <v>34.46180556</v>
      </c>
    </row>
    <row r="13" ht="14.25" customHeight="1">
      <c r="A13" s="5">
        <v>12.0</v>
      </c>
      <c r="C13" s="15" t="s">
        <v>35</v>
      </c>
      <c r="D13" s="5" t="s">
        <v>17</v>
      </c>
      <c r="E13" s="6"/>
      <c r="F13" s="6" t="s">
        <v>103</v>
      </c>
      <c r="G13" s="6"/>
      <c r="H13" s="6"/>
      <c r="I13" s="6">
        <v>56.0</v>
      </c>
      <c r="J13" s="6" t="s">
        <v>18</v>
      </c>
      <c r="K13" s="6">
        <v>5.0</v>
      </c>
      <c r="L13" s="7">
        <f t="shared" si="2"/>
        <v>0.003472222222</v>
      </c>
      <c r="M13" s="6">
        <v>1.0</v>
      </c>
      <c r="O13" s="8"/>
    </row>
    <row r="14" ht="14.25" customHeight="1">
      <c r="A14" s="5">
        <v>13.0</v>
      </c>
      <c r="C14" s="15" t="s">
        <v>36</v>
      </c>
      <c r="D14" s="5" t="s">
        <v>17</v>
      </c>
      <c r="E14" s="6"/>
      <c r="F14" s="6" t="s">
        <v>103</v>
      </c>
      <c r="G14" s="6"/>
      <c r="H14" s="6"/>
      <c r="I14" s="6">
        <v>56.0</v>
      </c>
      <c r="J14" s="6" t="s">
        <v>18</v>
      </c>
      <c r="K14" s="6">
        <v>10.0</v>
      </c>
      <c r="L14" s="7">
        <f t="shared" si="2"/>
        <v>0.006944444444</v>
      </c>
      <c r="M14" s="6">
        <v>1.0</v>
      </c>
      <c r="O14" s="8"/>
    </row>
    <row r="15" ht="14.25" customHeight="1">
      <c r="A15" s="6">
        <v>14.0</v>
      </c>
      <c r="C15" s="5" t="s">
        <v>37</v>
      </c>
      <c r="D15" s="5" t="s">
        <v>38</v>
      </c>
      <c r="E15" s="6" t="s">
        <v>101</v>
      </c>
      <c r="F15" s="6" t="s">
        <v>102</v>
      </c>
      <c r="G15" s="6"/>
      <c r="H15" s="6"/>
      <c r="I15" s="6">
        <v>56.0</v>
      </c>
      <c r="J15" s="6" t="s">
        <v>18</v>
      </c>
      <c r="K15" s="6">
        <v>40.0</v>
      </c>
      <c r="L15" s="7">
        <f t="shared" si="2"/>
        <v>0.02777777778</v>
      </c>
      <c r="M15" s="6">
        <v>1.0</v>
      </c>
      <c r="O15" s="8"/>
    </row>
    <row r="16" ht="14.25" customHeight="1">
      <c r="A16" s="5">
        <v>15.0</v>
      </c>
      <c r="C16" s="5" t="s">
        <v>39</v>
      </c>
      <c r="D16" s="5" t="s">
        <v>38</v>
      </c>
      <c r="E16" s="6" t="s">
        <v>101</v>
      </c>
      <c r="F16" s="6" t="s">
        <v>102</v>
      </c>
      <c r="G16" s="6"/>
      <c r="H16" s="6"/>
      <c r="I16" s="6">
        <v>56.0</v>
      </c>
      <c r="J16" s="6" t="s">
        <v>18</v>
      </c>
      <c r="K16" s="6">
        <v>180.0</v>
      </c>
      <c r="L16" s="7">
        <f t="shared" si="2"/>
        <v>0.125</v>
      </c>
      <c r="M16" s="6">
        <v>1.0</v>
      </c>
      <c r="O16" s="8"/>
    </row>
    <row r="17" ht="14.25" customHeight="1">
      <c r="A17" s="5">
        <v>16.0</v>
      </c>
      <c r="C17" s="5" t="s">
        <v>40</v>
      </c>
      <c r="D17" s="5" t="s">
        <v>38</v>
      </c>
      <c r="E17" s="6" t="s">
        <v>101</v>
      </c>
      <c r="F17" s="6" t="s">
        <v>102</v>
      </c>
      <c r="G17" s="6"/>
      <c r="H17" s="6"/>
      <c r="I17" s="6">
        <v>56.0</v>
      </c>
      <c r="J17" s="6" t="s">
        <v>18</v>
      </c>
      <c r="K17" s="6">
        <v>1500.0</v>
      </c>
      <c r="L17" s="7">
        <f t="shared" si="2"/>
        <v>1.041666667</v>
      </c>
      <c r="M17" s="6">
        <v>1.0</v>
      </c>
      <c r="O17" s="8"/>
    </row>
    <row r="18" ht="14.25" customHeight="1">
      <c r="A18" s="6">
        <v>17.0</v>
      </c>
      <c r="C18" s="5" t="s">
        <v>41</v>
      </c>
      <c r="D18" s="5" t="s">
        <v>38</v>
      </c>
      <c r="E18" s="6" t="s">
        <v>101</v>
      </c>
      <c r="F18" s="6" t="s">
        <v>102</v>
      </c>
      <c r="G18" s="6"/>
      <c r="H18" s="6"/>
      <c r="I18" s="6">
        <v>56.0</v>
      </c>
      <c r="J18" s="6" t="s">
        <v>18</v>
      </c>
      <c r="K18" s="6">
        <v>7200.0</v>
      </c>
      <c r="L18" s="7">
        <f t="shared" si="2"/>
        <v>5</v>
      </c>
      <c r="M18" s="6">
        <v>1.0</v>
      </c>
      <c r="O18" s="8"/>
    </row>
    <row r="19" ht="14.25" customHeight="1">
      <c r="A19" s="5">
        <v>18.0</v>
      </c>
      <c r="B19" s="5" t="s">
        <v>42</v>
      </c>
      <c r="C19" s="5" t="s">
        <v>43</v>
      </c>
      <c r="D19" s="5" t="s">
        <v>17</v>
      </c>
      <c r="E19" s="6" t="s">
        <v>101</v>
      </c>
      <c r="F19" s="6" t="s">
        <v>102</v>
      </c>
      <c r="G19" s="6"/>
      <c r="H19" s="6"/>
      <c r="I19" s="6">
        <v>56.0</v>
      </c>
      <c r="J19" s="6" t="s">
        <v>18</v>
      </c>
      <c r="K19" s="6">
        <v>10.0</v>
      </c>
      <c r="L19" s="7">
        <f t="shared" si="2"/>
        <v>0.006944444444</v>
      </c>
      <c r="M19" s="6">
        <v>1.0</v>
      </c>
      <c r="N19" s="5">
        <f>sum(K19:K22)</f>
        <v>4370</v>
      </c>
      <c r="O19" s="8">
        <f>N19/(60*24)</f>
        <v>3.034722222</v>
      </c>
    </row>
    <row r="20" ht="14.25" customHeight="1">
      <c r="A20" s="5">
        <v>19.0</v>
      </c>
      <c r="C20" s="5" t="s">
        <v>44</v>
      </c>
      <c r="D20" s="5" t="s">
        <v>45</v>
      </c>
      <c r="E20" s="5" t="s">
        <v>45</v>
      </c>
      <c r="F20" s="6" t="s">
        <v>102</v>
      </c>
      <c r="G20" s="6"/>
      <c r="H20" s="6"/>
      <c r="I20" s="6">
        <v>56.0</v>
      </c>
      <c r="J20" s="6" t="s">
        <v>18</v>
      </c>
      <c r="K20" s="6">
        <v>4320.0</v>
      </c>
      <c r="L20" s="7">
        <f t="shared" si="2"/>
        <v>3</v>
      </c>
      <c r="M20" s="6">
        <v>1.0</v>
      </c>
      <c r="O20" s="8"/>
    </row>
    <row r="21" ht="14.25" customHeight="1">
      <c r="A21" s="6">
        <v>20.0</v>
      </c>
      <c r="C21" s="6" t="s">
        <v>46</v>
      </c>
      <c r="D21" s="6" t="s">
        <v>47</v>
      </c>
      <c r="E21" s="6" t="s">
        <v>47</v>
      </c>
      <c r="F21" s="6" t="s">
        <v>102</v>
      </c>
      <c r="G21" s="6"/>
      <c r="H21" s="6"/>
      <c r="I21" s="6">
        <v>56.0</v>
      </c>
      <c r="J21" s="6" t="s">
        <v>18</v>
      </c>
      <c r="K21" s="6">
        <v>30.0</v>
      </c>
      <c r="L21" s="7">
        <f t="shared" si="2"/>
        <v>0.02083333333</v>
      </c>
      <c r="M21" s="6">
        <v>1.0</v>
      </c>
      <c r="O21" s="8"/>
    </row>
    <row r="22" ht="14.25" customHeight="1">
      <c r="A22" s="5">
        <v>21.0</v>
      </c>
      <c r="C22" s="5" t="s">
        <v>48</v>
      </c>
      <c r="D22" s="6" t="s">
        <v>49</v>
      </c>
      <c r="E22" s="6" t="s">
        <v>49</v>
      </c>
      <c r="F22" s="6" t="s">
        <v>102</v>
      </c>
      <c r="G22" s="6"/>
      <c r="H22" s="6"/>
      <c r="I22" s="6">
        <v>56.0</v>
      </c>
      <c r="J22" s="6" t="s">
        <v>18</v>
      </c>
      <c r="K22" s="6">
        <v>10.0</v>
      </c>
      <c r="L22" s="7">
        <f t="shared" si="2"/>
        <v>0.006944444444</v>
      </c>
      <c r="M22" s="6">
        <v>1.0</v>
      </c>
      <c r="O22" s="8"/>
    </row>
    <row r="23" ht="14.25" customHeight="1">
      <c r="A23" s="5">
        <v>22.0</v>
      </c>
      <c r="B23" s="21" t="s">
        <v>50</v>
      </c>
      <c r="C23" s="5" t="s">
        <v>51</v>
      </c>
      <c r="D23" s="5" t="s">
        <v>24</v>
      </c>
      <c r="E23" s="6"/>
      <c r="F23" s="6" t="s">
        <v>102</v>
      </c>
      <c r="G23" s="6"/>
      <c r="H23" s="6"/>
      <c r="I23" s="6">
        <v>56.0</v>
      </c>
      <c r="J23" s="6" t="s">
        <v>18</v>
      </c>
      <c r="K23" s="6">
        <v>10080.0</v>
      </c>
      <c r="L23" s="7">
        <f t="shared" si="2"/>
        <v>7</v>
      </c>
      <c r="M23" s="6">
        <v>1.0</v>
      </c>
      <c r="N23" s="5">
        <f>sum(K23:K26)</f>
        <v>10125</v>
      </c>
      <c r="O23" s="8">
        <f>N23/(60*24)</f>
        <v>7.03125</v>
      </c>
    </row>
    <row r="24" ht="14.25" customHeight="1">
      <c r="A24" s="6">
        <v>23.0</v>
      </c>
      <c r="C24" s="5" t="s">
        <v>52</v>
      </c>
      <c r="D24" s="5" t="s">
        <v>24</v>
      </c>
      <c r="E24" s="6"/>
      <c r="F24" s="6" t="s">
        <v>102</v>
      </c>
      <c r="G24" s="6"/>
      <c r="H24" s="6"/>
      <c r="I24" s="6">
        <v>56.0</v>
      </c>
      <c r="J24" s="6" t="s">
        <v>18</v>
      </c>
      <c r="K24" s="6">
        <v>10.0</v>
      </c>
      <c r="L24" s="7">
        <f t="shared" si="2"/>
        <v>0.006944444444</v>
      </c>
      <c r="M24" s="6">
        <v>1.0</v>
      </c>
      <c r="O24" s="8"/>
    </row>
    <row r="25" ht="14.25" customHeight="1">
      <c r="A25" s="5">
        <v>24.0</v>
      </c>
      <c r="C25" s="15" t="s">
        <v>53</v>
      </c>
      <c r="D25" s="5" t="s">
        <v>24</v>
      </c>
      <c r="E25" s="6"/>
      <c r="F25" s="6" t="s">
        <v>103</v>
      </c>
      <c r="G25" s="6"/>
      <c r="H25" s="6"/>
      <c r="I25" s="6">
        <v>56.0</v>
      </c>
      <c r="J25" s="6" t="s">
        <v>18</v>
      </c>
      <c r="K25" s="6">
        <v>15.0</v>
      </c>
      <c r="L25" s="7">
        <f t="shared" si="2"/>
        <v>0.01041666667</v>
      </c>
      <c r="M25" s="6">
        <v>1.0</v>
      </c>
      <c r="O25" s="8"/>
    </row>
    <row r="26" ht="14.25" customHeight="1">
      <c r="A26" s="5">
        <v>25.0</v>
      </c>
      <c r="C26" s="15" t="s">
        <v>54</v>
      </c>
      <c r="D26" s="5" t="s">
        <v>17</v>
      </c>
      <c r="E26" s="6"/>
      <c r="F26" s="6" t="s">
        <v>103</v>
      </c>
      <c r="G26" s="6"/>
      <c r="H26" s="6"/>
      <c r="I26" s="6">
        <v>56.0</v>
      </c>
      <c r="J26" s="6" t="s">
        <v>18</v>
      </c>
      <c r="K26" s="6">
        <v>20.0</v>
      </c>
      <c r="L26" s="7">
        <f t="shared" si="2"/>
        <v>0.01388888889</v>
      </c>
      <c r="M26" s="6">
        <v>1.0</v>
      </c>
      <c r="O26" s="8"/>
    </row>
    <row r="27" ht="14.25" customHeight="1">
      <c r="A27" s="6">
        <v>26.0</v>
      </c>
      <c r="B27" s="22" t="s">
        <v>55</v>
      </c>
      <c r="C27" s="21" t="s">
        <v>56</v>
      </c>
      <c r="D27" s="5" t="s">
        <v>17</v>
      </c>
      <c r="E27" s="6"/>
      <c r="F27" s="6" t="s">
        <v>102</v>
      </c>
      <c r="G27" s="6"/>
      <c r="H27" s="6"/>
      <c r="I27" s="6">
        <v>56.0</v>
      </c>
      <c r="J27" s="6" t="s">
        <v>18</v>
      </c>
      <c r="K27" s="6">
        <v>20.0</v>
      </c>
      <c r="L27" s="7">
        <f t="shared" si="2"/>
        <v>0.01388888889</v>
      </c>
      <c r="M27" s="6">
        <v>1.0</v>
      </c>
      <c r="N27" s="5">
        <f>sum(K27:K52)</f>
        <v>6585</v>
      </c>
      <c r="O27" s="8">
        <f>N27/(60*24)</f>
        <v>4.572916667</v>
      </c>
    </row>
    <row r="28" ht="14.25" customHeight="1">
      <c r="A28" s="5">
        <v>27.0</v>
      </c>
      <c r="B28" s="21"/>
      <c r="C28" s="21" t="s">
        <v>57</v>
      </c>
      <c r="D28" s="5" t="s">
        <v>17</v>
      </c>
      <c r="E28" s="6"/>
      <c r="F28" s="6" t="s">
        <v>102</v>
      </c>
      <c r="G28" s="6"/>
      <c r="H28" s="6"/>
      <c r="I28" s="6">
        <v>56.0</v>
      </c>
      <c r="J28" s="6" t="s">
        <v>18</v>
      </c>
      <c r="K28" s="6">
        <v>10.0</v>
      </c>
      <c r="L28" s="7">
        <f t="shared" si="2"/>
        <v>0.006944444444</v>
      </c>
      <c r="M28" s="6">
        <v>1.0</v>
      </c>
      <c r="O28" s="8"/>
    </row>
    <row r="29" ht="14.25" customHeight="1">
      <c r="A29" s="5">
        <v>28.0</v>
      </c>
      <c r="B29" s="21"/>
      <c r="C29" s="22" t="s">
        <v>58</v>
      </c>
      <c r="D29" s="5" t="s">
        <v>17</v>
      </c>
      <c r="E29" s="6"/>
      <c r="F29" s="6" t="s">
        <v>102</v>
      </c>
      <c r="G29" s="6"/>
      <c r="H29" s="6"/>
      <c r="I29" s="6">
        <v>56.0</v>
      </c>
      <c r="J29" s="6" t="s">
        <v>18</v>
      </c>
      <c r="K29" s="6">
        <v>120.0</v>
      </c>
      <c r="L29" s="7">
        <f t="shared" si="2"/>
        <v>0.08333333333</v>
      </c>
      <c r="M29" s="6">
        <v>1.0</v>
      </c>
      <c r="O29" s="8"/>
    </row>
    <row r="30" ht="14.25" customHeight="1">
      <c r="A30" s="6">
        <v>29.0</v>
      </c>
      <c r="B30" s="21"/>
      <c r="C30" s="15" t="s">
        <v>59</v>
      </c>
      <c r="D30" s="5" t="s">
        <v>17</v>
      </c>
      <c r="E30" s="6"/>
      <c r="F30" s="6" t="s">
        <v>103</v>
      </c>
      <c r="G30" s="6"/>
      <c r="H30" s="6"/>
      <c r="I30" s="6">
        <v>56.0</v>
      </c>
      <c r="J30" s="6" t="s">
        <v>18</v>
      </c>
      <c r="K30" s="6">
        <v>10.0</v>
      </c>
      <c r="L30" s="7">
        <f t="shared" si="2"/>
        <v>0.006944444444</v>
      </c>
      <c r="M30" s="6">
        <v>1.0</v>
      </c>
      <c r="O30" s="8"/>
    </row>
    <row r="31" ht="14.25" customHeight="1">
      <c r="A31" s="5">
        <v>30.0</v>
      </c>
      <c r="B31" s="21"/>
      <c r="C31" s="15" t="s">
        <v>60</v>
      </c>
      <c r="D31" s="5" t="s">
        <v>17</v>
      </c>
      <c r="E31" s="6"/>
      <c r="F31" s="6" t="s">
        <v>103</v>
      </c>
      <c r="G31" s="6"/>
      <c r="H31" s="6"/>
      <c r="I31" s="6">
        <v>56.0</v>
      </c>
      <c r="J31" s="6" t="s">
        <v>18</v>
      </c>
      <c r="K31" s="6">
        <v>20.0</v>
      </c>
      <c r="L31" s="7">
        <f t="shared" si="2"/>
        <v>0.01388888889</v>
      </c>
      <c r="M31" s="6">
        <v>1.0</v>
      </c>
      <c r="O31" s="8"/>
    </row>
    <row r="32" ht="14.25" customHeight="1">
      <c r="A32" s="5">
        <v>31.0</v>
      </c>
      <c r="B32" s="21"/>
      <c r="C32" s="15" t="s">
        <v>61</v>
      </c>
      <c r="D32" s="5" t="s">
        <v>17</v>
      </c>
      <c r="E32" s="6"/>
      <c r="F32" s="6" t="s">
        <v>103</v>
      </c>
      <c r="G32" s="6"/>
      <c r="H32" s="6"/>
      <c r="I32" s="6">
        <v>56.0</v>
      </c>
      <c r="J32" s="6" t="s">
        <v>18</v>
      </c>
      <c r="K32" s="6">
        <v>20.0</v>
      </c>
      <c r="L32" s="7">
        <f t="shared" si="2"/>
        <v>0.01388888889</v>
      </c>
      <c r="M32" s="6">
        <v>1.0</v>
      </c>
      <c r="O32" s="8"/>
    </row>
    <row r="33" ht="14.25" customHeight="1">
      <c r="A33" s="6">
        <v>32.0</v>
      </c>
      <c r="B33" s="21"/>
      <c r="C33" s="15" t="s">
        <v>62</v>
      </c>
      <c r="D33" s="5" t="s">
        <v>17</v>
      </c>
      <c r="E33" s="6"/>
      <c r="F33" s="6" t="s">
        <v>103</v>
      </c>
      <c r="G33" s="6"/>
      <c r="H33" s="6"/>
      <c r="I33" s="6">
        <v>56.0</v>
      </c>
      <c r="J33" s="6" t="s">
        <v>18</v>
      </c>
      <c r="K33" s="6">
        <v>10.0</v>
      </c>
      <c r="L33" s="7">
        <f t="shared" si="2"/>
        <v>0.006944444444</v>
      </c>
      <c r="M33" s="6">
        <v>1.0</v>
      </c>
      <c r="O33" s="8"/>
    </row>
    <row r="34" ht="14.25" customHeight="1">
      <c r="A34" s="5">
        <v>33.0</v>
      </c>
      <c r="B34" s="21"/>
      <c r="C34" s="22" t="s">
        <v>63</v>
      </c>
      <c r="D34" s="5" t="s">
        <v>17</v>
      </c>
      <c r="E34" s="6"/>
      <c r="F34" s="6" t="s">
        <v>102</v>
      </c>
      <c r="G34" s="6"/>
      <c r="H34" s="6"/>
      <c r="I34" s="6">
        <v>56.0</v>
      </c>
      <c r="J34" s="6" t="s">
        <v>18</v>
      </c>
      <c r="K34" s="6">
        <v>60.0</v>
      </c>
      <c r="L34" s="7">
        <f t="shared" si="2"/>
        <v>0.04166666667</v>
      </c>
      <c r="M34" s="6">
        <v>1.0</v>
      </c>
      <c r="O34" s="8"/>
    </row>
    <row r="35" ht="14.25" customHeight="1">
      <c r="A35" s="5">
        <v>34.0</v>
      </c>
      <c r="B35" s="21"/>
      <c r="C35" s="15" t="s">
        <v>64</v>
      </c>
      <c r="D35" s="5" t="s">
        <v>17</v>
      </c>
      <c r="E35" s="6"/>
      <c r="F35" s="6" t="s">
        <v>103</v>
      </c>
      <c r="G35" s="6"/>
      <c r="H35" s="6"/>
      <c r="I35" s="6">
        <v>56.0</v>
      </c>
      <c r="J35" s="6" t="s">
        <v>18</v>
      </c>
      <c r="K35" s="6">
        <v>10.0</v>
      </c>
      <c r="L35" s="7">
        <f t="shared" si="2"/>
        <v>0.006944444444</v>
      </c>
      <c r="M35" s="6">
        <v>1.0</v>
      </c>
      <c r="O35" s="8"/>
    </row>
    <row r="36" ht="14.25" customHeight="1">
      <c r="A36" s="6">
        <v>35.0</v>
      </c>
      <c r="B36" s="21"/>
      <c r="C36" s="15" t="s">
        <v>65</v>
      </c>
      <c r="D36" s="5" t="s">
        <v>17</v>
      </c>
      <c r="E36" s="6"/>
      <c r="F36" s="6" t="s">
        <v>103</v>
      </c>
      <c r="G36" s="6"/>
      <c r="H36" s="6"/>
      <c r="I36" s="6">
        <v>56.0</v>
      </c>
      <c r="J36" s="6" t="s">
        <v>18</v>
      </c>
      <c r="K36" s="6">
        <v>120.0</v>
      </c>
      <c r="L36" s="7">
        <f t="shared" si="2"/>
        <v>0.08333333333</v>
      </c>
      <c r="M36" s="6">
        <v>1.0</v>
      </c>
      <c r="O36" s="8"/>
    </row>
    <row r="37" ht="14.25" customHeight="1">
      <c r="A37" s="5">
        <v>36.0</v>
      </c>
      <c r="B37" s="21"/>
      <c r="C37" s="21" t="s">
        <v>66</v>
      </c>
      <c r="D37" s="5" t="s">
        <v>17</v>
      </c>
      <c r="E37" s="6"/>
      <c r="F37" s="6" t="s">
        <v>102</v>
      </c>
      <c r="G37" s="6"/>
      <c r="H37" s="6"/>
      <c r="I37" s="6">
        <v>56.0</v>
      </c>
      <c r="J37" s="6" t="s">
        <v>18</v>
      </c>
      <c r="K37" s="6">
        <v>10.0</v>
      </c>
      <c r="L37" s="7">
        <f t="shared" si="2"/>
        <v>0.006944444444</v>
      </c>
      <c r="M37" s="6">
        <v>1.0</v>
      </c>
      <c r="O37" s="8"/>
    </row>
    <row r="38" ht="14.25" customHeight="1">
      <c r="A38" s="5">
        <v>37.0</v>
      </c>
      <c r="B38" s="21"/>
      <c r="C38" s="21" t="s">
        <v>67</v>
      </c>
      <c r="D38" s="5" t="s">
        <v>17</v>
      </c>
      <c r="E38" s="6"/>
      <c r="F38" s="6" t="s">
        <v>102</v>
      </c>
      <c r="G38" s="6"/>
      <c r="H38" s="6"/>
      <c r="I38" s="6">
        <v>56.0</v>
      </c>
      <c r="J38" s="6" t="s">
        <v>18</v>
      </c>
      <c r="K38" s="6">
        <v>10.0</v>
      </c>
      <c r="L38" s="7">
        <f t="shared" si="2"/>
        <v>0.006944444444</v>
      </c>
      <c r="M38" s="6">
        <v>1.0</v>
      </c>
      <c r="O38" s="8"/>
    </row>
    <row r="39" ht="14.25" customHeight="1">
      <c r="A39" s="6">
        <v>38.0</v>
      </c>
      <c r="B39" s="21"/>
      <c r="C39" s="21" t="s">
        <v>68</v>
      </c>
      <c r="D39" s="5" t="s">
        <v>17</v>
      </c>
      <c r="E39" s="6"/>
      <c r="F39" s="6" t="s">
        <v>102</v>
      </c>
      <c r="G39" s="6"/>
      <c r="H39" s="6"/>
      <c r="I39" s="6">
        <v>56.0</v>
      </c>
      <c r="J39" s="6" t="s">
        <v>18</v>
      </c>
      <c r="K39" s="6">
        <v>10.0</v>
      </c>
      <c r="L39" s="7">
        <f t="shared" si="2"/>
        <v>0.006944444444</v>
      </c>
      <c r="M39" s="6">
        <v>1.0</v>
      </c>
      <c r="O39" s="8"/>
    </row>
    <row r="40" ht="14.25" customHeight="1">
      <c r="A40" s="5">
        <v>39.0</v>
      </c>
      <c r="B40" s="21"/>
      <c r="C40" s="21" t="s">
        <v>69</v>
      </c>
      <c r="D40" s="5" t="s">
        <v>17</v>
      </c>
      <c r="E40" s="6"/>
      <c r="F40" s="6" t="s">
        <v>102</v>
      </c>
      <c r="G40" s="6"/>
      <c r="H40" s="6"/>
      <c r="I40" s="6">
        <v>56.0</v>
      </c>
      <c r="J40" s="6" t="s">
        <v>18</v>
      </c>
      <c r="K40" s="6">
        <v>5760.0</v>
      </c>
      <c r="L40" s="7">
        <f t="shared" si="2"/>
        <v>4</v>
      </c>
      <c r="M40" s="6">
        <v>1.0</v>
      </c>
      <c r="O40" s="8"/>
    </row>
    <row r="41" ht="14.25" customHeight="1">
      <c r="A41" s="5">
        <v>40.0</v>
      </c>
      <c r="B41" s="21"/>
      <c r="C41" s="22" t="s">
        <v>70</v>
      </c>
      <c r="D41" s="5" t="s">
        <v>17</v>
      </c>
      <c r="E41" s="6"/>
      <c r="F41" s="6" t="s">
        <v>102</v>
      </c>
      <c r="G41" s="6"/>
      <c r="H41" s="6"/>
      <c r="I41" s="6">
        <v>56.0</v>
      </c>
      <c r="J41" s="6" t="s">
        <v>18</v>
      </c>
      <c r="K41" s="6">
        <v>10.0</v>
      </c>
      <c r="L41" s="7">
        <f t="shared" si="2"/>
        <v>0.006944444444</v>
      </c>
      <c r="M41" s="6">
        <v>1.0</v>
      </c>
      <c r="O41" s="8"/>
    </row>
    <row r="42" ht="14.25" customHeight="1">
      <c r="A42" s="6">
        <v>41.0</v>
      </c>
      <c r="B42" s="21"/>
      <c r="C42" s="15" t="s">
        <v>71</v>
      </c>
      <c r="D42" s="5" t="s">
        <v>17</v>
      </c>
      <c r="E42" s="6"/>
      <c r="F42" s="6" t="s">
        <v>103</v>
      </c>
      <c r="G42" s="6"/>
      <c r="H42" s="6"/>
      <c r="I42" s="6">
        <v>56.0</v>
      </c>
      <c r="J42" s="6" t="s">
        <v>18</v>
      </c>
      <c r="K42" s="6">
        <v>10.0</v>
      </c>
      <c r="L42" s="7">
        <f t="shared" si="2"/>
        <v>0.006944444444</v>
      </c>
      <c r="M42" s="6">
        <v>1.0</v>
      </c>
      <c r="O42" s="8"/>
    </row>
    <row r="43" ht="14.25" customHeight="1">
      <c r="A43" s="5">
        <v>42.0</v>
      </c>
      <c r="B43" s="21"/>
      <c r="C43" s="15" t="s">
        <v>72</v>
      </c>
      <c r="D43" s="5" t="s">
        <v>17</v>
      </c>
      <c r="E43" s="6"/>
      <c r="F43" s="6" t="s">
        <v>103</v>
      </c>
      <c r="G43" s="6"/>
      <c r="H43" s="6"/>
      <c r="I43" s="6">
        <v>56.0</v>
      </c>
      <c r="J43" s="6" t="s">
        <v>18</v>
      </c>
      <c r="K43" s="6">
        <v>120.0</v>
      </c>
      <c r="L43" s="7">
        <f t="shared" si="2"/>
        <v>0.08333333333</v>
      </c>
      <c r="M43" s="6">
        <v>1.0</v>
      </c>
      <c r="O43" s="8"/>
    </row>
    <row r="44" ht="14.25" customHeight="1">
      <c r="A44" s="5">
        <v>43.0</v>
      </c>
      <c r="B44" s="21"/>
      <c r="C44" s="15" t="s">
        <v>73</v>
      </c>
      <c r="D44" s="5" t="s">
        <v>17</v>
      </c>
      <c r="E44" s="6"/>
      <c r="F44" s="6" t="s">
        <v>103</v>
      </c>
      <c r="G44" s="6"/>
      <c r="H44" s="6"/>
      <c r="I44" s="6">
        <v>56.0</v>
      </c>
      <c r="J44" s="6" t="s">
        <v>18</v>
      </c>
      <c r="K44" s="6">
        <v>5.0</v>
      </c>
      <c r="L44" s="7">
        <f t="shared" si="2"/>
        <v>0.003472222222</v>
      </c>
      <c r="M44" s="6">
        <v>1.0</v>
      </c>
      <c r="O44" s="8"/>
    </row>
    <row r="45" ht="14.25" customHeight="1">
      <c r="A45" s="6">
        <v>44.0</v>
      </c>
      <c r="B45" s="21"/>
      <c r="C45" s="15" t="s">
        <v>60</v>
      </c>
      <c r="D45" s="5" t="s">
        <v>17</v>
      </c>
      <c r="E45" s="6"/>
      <c r="F45" s="6" t="s">
        <v>103</v>
      </c>
      <c r="G45" s="6"/>
      <c r="H45" s="6"/>
      <c r="I45" s="6">
        <v>56.0</v>
      </c>
      <c r="J45" s="6" t="s">
        <v>18</v>
      </c>
      <c r="K45" s="6">
        <v>20.0</v>
      </c>
      <c r="L45" s="7">
        <f t="shared" si="2"/>
        <v>0.01388888889</v>
      </c>
      <c r="M45" s="6">
        <v>1.0</v>
      </c>
      <c r="O45" s="8"/>
    </row>
    <row r="46" ht="14.25" customHeight="1">
      <c r="A46" s="5">
        <v>45.0</v>
      </c>
      <c r="B46" s="21"/>
      <c r="C46" s="15" t="s">
        <v>61</v>
      </c>
      <c r="D46" s="5" t="s">
        <v>17</v>
      </c>
      <c r="E46" s="6"/>
      <c r="F46" s="6" t="s">
        <v>103</v>
      </c>
      <c r="G46" s="6"/>
      <c r="H46" s="6"/>
      <c r="I46" s="6">
        <v>56.0</v>
      </c>
      <c r="J46" s="6" t="s">
        <v>18</v>
      </c>
      <c r="K46" s="6">
        <v>10.0</v>
      </c>
      <c r="L46" s="7">
        <f t="shared" si="2"/>
        <v>0.006944444444</v>
      </c>
      <c r="M46" s="6">
        <v>1.0</v>
      </c>
      <c r="O46" s="8"/>
    </row>
    <row r="47" ht="14.25" customHeight="1">
      <c r="A47" s="5">
        <v>46.0</v>
      </c>
      <c r="B47" s="21"/>
      <c r="C47" s="22" t="s">
        <v>74</v>
      </c>
      <c r="D47" s="5" t="s">
        <v>17</v>
      </c>
      <c r="E47" s="6"/>
      <c r="F47" s="6" t="s">
        <v>102</v>
      </c>
      <c r="G47" s="6"/>
      <c r="H47" s="6"/>
      <c r="I47" s="6">
        <v>56.0</v>
      </c>
      <c r="J47" s="6" t="s">
        <v>18</v>
      </c>
      <c r="K47" s="6">
        <v>30.0</v>
      </c>
      <c r="L47" s="7">
        <f t="shared" si="2"/>
        <v>0.02083333333</v>
      </c>
      <c r="M47" s="6">
        <v>1.0</v>
      </c>
      <c r="O47" s="8"/>
    </row>
    <row r="48" ht="14.25" customHeight="1">
      <c r="A48" s="6">
        <v>47.0</v>
      </c>
      <c r="B48" s="21"/>
      <c r="C48" s="15" t="s">
        <v>64</v>
      </c>
      <c r="D48" s="5" t="s">
        <v>17</v>
      </c>
      <c r="E48" s="6"/>
      <c r="F48" s="6" t="s">
        <v>103</v>
      </c>
      <c r="G48" s="6"/>
      <c r="H48" s="6"/>
      <c r="I48" s="6">
        <v>56.0</v>
      </c>
      <c r="J48" s="6" t="s">
        <v>18</v>
      </c>
      <c r="K48" s="6">
        <v>30.0</v>
      </c>
      <c r="L48" s="7">
        <f t="shared" si="2"/>
        <v>0.02083333333</v>
      </c>
      <c r="M48" s="6">
        <v>1.0</v>
      </c>
      <c r="O48" s="8"/>
    </row>
    <row r="49" ht="14.25" customHeight="1">
      <c r="A49" s="5">
        <v>48.0</v>
      </c>
      <c r="B49" s="21"/>
      <c r="C49" s="15" t="s">
        <v>65</v>
      </c>
      <c r="D49" s="5" t="s">
        <v>17</v>
      </c>
      <c r="E49" s="6"/>
      <c r="F49" s="6" t="s">
        <v>103</v>
      </c>
      <c r="G49" s="6"/>
      <c r="H49" s="6"/>
      <c r="I49" s="6">
        <v>56.0</v>
      </c>
      <c r="J49" s="6" t="s">
        <v>18</v>
      </c>
      <c r="K49" s="6">
        <v>120.0</v>
      </c>
      <c r="L49" s="7">
        <f t="shared" si="2"/>
        <v>0.08333333333</v>
      </c>
      <c r="M49" s="6">
        <v>1.0</v>
      </c>
      <c r="O49" s="8"/>
    </row>
    <row r="50" ht="14.25" customHeight="1">
      <c r="A50" s="5">
        <v>49.0</v>
      </c>
      <c r="B50" s="21"/>
      <c r="C50" s="21" t="s">
        <v>75</v>
      </c>
      <c r="D50" s="5" t="s">
        <v>17</v>
      </c>
      <c r="E50" s="6"/>
      <c r="F50" s="6" t="s">
        <v>102</v>
      </c>
      <c r="G50" s="6"/>
      <c r="H50" s="6"/>
      <c r="I50" s="6">
        <v>56.0</v>
      </c>
      <c r="J50" s="6" t="s">
        <v>18</v>
      </c>
      <c r="K50" s="6">
        <v>10.0</v>
      </c>
      <c r="L50" s="7">
        <f t="shared" si="2"/>
        <v>0.006944444444</v>
      </c>
      <c r="M50" s="6">
        <v>1.0</v>
      </c>
      <c r="O50" s="8"/>
    </row>
    <row r="51" ht="14.25" customHeight="1">
      <c r="A51" s="6">
        <v>50.0</v>
      </c>
      <c r="B51" s="21"/>
      <c r="C51" s="21" t="s">
        <v>76</v>
      </c>
      <c r="D51" s="5" t="s">
        <v>17</v>
      </c>
      <c r="E51" s="6"/>
      <c r="F51" s="6" t="s">
        <v>102</v>
      </c>
      <c r="G51" s="6"/>
      <c r="H51" s="6"/>
      <c r="I51" s="6">
        <v>56.0</v>
      </c>
      <c r="J51" s="6" t="s">
        <v>18</v>
      </c>
      <c r="K51" s="6">
        <v>20.0</v>
      </c>
      <c r="L51" s="7">
        <f t="shared" si="2"/>
        <v>0.01388888889</v>
      </c>
      <c r="M51" s="6">
        <v>1.0</v>
      </c>
      <c r="O51" s="8"/>
    </row>
    <row r="52" ht="14.25" customHeight="1">
      <c r="A52" s="5">
        <v>51.0</v>
      </c>
      <c r="B52" s="21"/>
      <c r="C52" s="21" t="s">
        <v>22</v>
      </c>
      <c r="D52" s="5" t="s">
        <v>17</v>
      </c>
      <c r="E52" s="6"/>
      <c r="F52" s="6" t="s">
        <v>102</v>
      </c>
      <c r="G52" s="6"/>
      <c r="H52" s="6"/>
      <c r="I52" s="6">
        <v>56.0</v>
      </c>
      <c r="J52" s="6" t="s">
        <v>18</v>
      </c>
      <c r="K52" s="6">
        <v>10.0</v>
      </c>
      <c r="L52" s="7">
        <f t="shared" si="2"/>
        <v>0.006944444444</v>
      </c>
      <c r="M52" s="6">
        <v>1.0</v>
      </c>
      <c r="O52" s="8"/>
    </row>
    <row r="53" ht="14.25" customHeight="1">
      <c r="A53" s="5">
        <v>52.0</v>
      </c>
      <c r="B53" s="6" t="s">
        <v>77</v>
      </c>
      <c r="C53" s="5" t="s">
        <v>78</v>
      </c>
      <c r="D53" s="5" t="s">
        <v>24</v>
      </c>
      <c r="E53" s="6"/>
      <c r="F53" s="6" t="s">
        <v>102</v>
      </c>
      <c r="G53" s="6"/>
      <c r="H53" s="6"/>
      <c r="I53" s="6">
        <v>56.0</v>
      </c>
      <c r="J53" s="6" t="s">
        <v>18</v>
      </c>
      <c r="K53" s="6">
        <v>30.0</v>
      </c>
      <c r="L53" s="7">
        <f t="shared" si="2"/>
        <v>0.02083333333</v>
      </c>
      <c r="M53" s="6">
        <v>1.0</v>
      </c>
      <c r="N53" s="5">
        <f>sum(K53:K61)</f>
        <v>1560</v>
      </c>
      <c r="O53" s="8">
        <f>N53/(60*24)</f>
        <v>1.083333333</v>
      </c>
    </row>
    <row r="54" ht="14.25" customHeight="1">
      <c r="A54" s="6">
        <v>53.0</v>
      </c>
      <c r="C54" s="15" t="s">
        <v>78</v>
      </c>
      <c r="D54" s="5" t="s">
        <v>17</v>
      </c>
      <c r="E54" s="6"/>
      <c r="F54" s="6" t="s">
        <v>103</v>
      </c>
      <c r="G54" s="6"/>
      <c r="H54" s="6"/>
      <c r="I54" s="6">
        <v>56.0</v>
      </c>
      <c r="J54" s="6" t="s">
        <v>18</v>
      </c>
      <c r="K54" s="6">
        <v>30.0</v>
      </c>
      <c r="L54" s="7">
        <f t="shared" si="2"/>
        <v>0.02083333333</v>
      </c>
      <c r="M54" s="6">
        <v>1.0</v>
      </c>
      <c r="O54" s="8"/>
    </row>
    <row r="55" ht="14.25" customHeight="1">
      <c r="A55" s="5">
        <v>54.0</v>
      </c>
      <c r="C55" s="5" t="s">
        <v>79</v>
      </c>
      <c r="D55" s="5" t="s">
        <v>17</v>
      </c>
      <c r="E55" s="6"/>
      <c r="F55" s="6" t="s">
        <v>102</v>
      </c>
      <c r="G55" s="6"/>
      <c r="H55" s="6"/>
      <c r="I55" s="6">
        <v>56.0</v>
      </c>
      <c r="J55" s="6" t="s">
        <v>18</v>
      </c>
      <c r="K55" s="6">
        <v>10.0</v>
      </c>
      <c r="L55" s="7">
        <f t="shared" si="2"/>
        <v>0.006944444444</v>
      </c>
      <c r="M55" s="6">
        <v>1.0</v>
      </c>
      <c r="O55" s="8"/>
    </row>
    <row r="56" ht="14.25" customHeight="1">
      <c r="A56" s="5">
        <v>55.0</v>
      </c>
      <c r="C56" s="5" t="s">
        <v>80</v>
      </c>
      <c r="D56" s="5" t="s">
        <v>17</v>
      </c>
      <c r="E56" s="6"/>
      <c r="F56" s="6" t="s">
        <v>102</v>
      </c>
      <c r="G56" s="6"/>
      <c r="H56" s="6"/>
      <c r="I56" s="6">
        <v>56.0</v>
      </c>
      <c r="J56" s="6" t="s">
        <v>18</v>
      </c>
      <c r="K56" s="6">
        <v>10.0</v>
      </c>
      <c r="L56" s="7">
        <f t="shared" si="2"/>
        <v>0.006944444444</v>
      </c>
      <c r="M56" s="6">
        <v>1.0</v>
      </c>
      <c r="O56" s="8"/>
    </row>
    <row r="57" ht="14.25" customHeight="1">
      <c r="A57" s="6">
        <v>56.0</v>
      </c>
      <c r="C57" s="5" t="s">
        <v>81</v>
      </c>
      <c r="D57" s="5" t="s">
        <v>24</v>
      </c>
      <c r="E57" s="6"/>
      <c r="F57" s="6" t="s">
        <v>102</v>
      </c>
      <c r="G57" s="6"/>
      <c r="H57" s="6"/>
      <c r="I57" s="6">
        <v>56.0</v>
      </c>
      <c r="J57" s="6" t="s">
        <v>18</v>
      </c>
      <c r="K57" s="6">
        <v>10.0</v>
      </c>
      <c r="L57" s="7">
        <f t="shared" si="2"/>
        <v>0.006944444444</v>
      </c>
      <c r="M57" s="6">
        <v>1.0</v>
      </c>
      <c r="O57" s="8"/>
    </row>
    <row r="58" ht="14.25" customHeight="1">
      <c r="A58" s="5">
        <v>57.0</v>
      </c>
      <c r="C58" s="5" t="s">
        <v>82</v>
      </c>
      <c r="D58" s="5" t="s">
        <v>24</v>
      </c>
      <c r="E58" s="6"/>
      <c r="F58" s="6" t="s">
        <v>102</v>
      </c>
      <c r="G58" s="6"/>
      <c r="H58" s="6"/>
      <c r="I58" s="6">
        <v>56.0</v>
      </c>
      <c r="J58" s="6" t="s">
        <v>18</v>
      </c>
      <c r="K58" s="6">
        <v>1440.0</v>
      </c>
      <c r="L58" s="7">
        <f t="shared" si="2"/>
        <v>1</v>
      </c>
      <c r="M58" s="6">
        <v>1.0</v>
      </c>
      <c r="O58" s="8"/>
    </row>
    <row r="59" ht="14.25" customHeight="1">
      <c r="A59" s="5">
        <v>58.0</v>
      </c>
      <c r="C59" s="15" t="s">
        <v>83</v>
      </c>
      <c r="D59" s="5" t="s">
        <v>24</v>
      </c>
      <c r="E59" s="6"/>
      <c r="F59" s="6" t="s">
        <v>103</v>
      </c>
      <c r="G59" s="6"/>
      <c r="H59" s="6"/>
      <c r="I59" s="6">
        <v>56.0</v>
      </c>
      <c r="J59" s="6" t="s">
        <v>18</v>
      </c>
      <c r="K59" s="6">
        <v>10.0</v>
      </c>
      <c r="L59" s="7">
        <f t="shared" si="2"/>
        <v>0.006944444444</v>
      </c>
      <c r="M59" s="6">
        <v>1.0</v>
      </c>
      <c r="O59" s="8"/>
    </row>
    <row r="60" ht="14.25" customHeight="1">
      <c r="A60" s="6">
        <v>59.0</v>
      </c>
      <c r="C60" s="15" t="s">
        <v>84</v>
      </c>
      <c r="D60" s="5" t="s">
        <v>17</v>
      </c>
      <c r="E60" s="6"/>
      <c r="F60" s="6" t="s">
        <v>103</v>
      </c>
      <c r="G60" s="6"/>
      <c r="H60" s="6"/>
      <c r="I60" s="6">
        <v>56.0</v>
      </c>
      <c r="J60" s="6" t="s">
        <v>18</v>
      </c>
      <c r="K60" s="6">
        <v>10.0</v>
      </c>
      <c r="L60" s="7">
        <f t="shared" si="2"/>
        <v>0.006944444444</v>
      </c>
      <c r="M60" s="6">
        <v>1.0</v>
      </c>
      <c r="O60" s="8"/>
    </row>
    <row r="61" ht="14.25" customHeight="1">
      <c r="A61" s="5">
        <v>60.0</v>
      </c>
      <c r="C61" s="5" t="s">
        <v>85</v>
      </c>
      <c r="D61" s="5" t="s">
        <v>17</v>
      </c>
      <c r="E61" s="6"/>
      <c r="F61" s="6" t="s">
        <v>102</v>
      </c>
      <c r="G61" s="6"/>
      <c r="H61" s="6"/>
      <c r="I61" s="6">
        <v>56.0</v>
      </c>
      <c r="J61" s="6" t="s">
        <v>18</v>
      </c>
      <c r="K61" s="6">
        <v>10.0</v>
      </c>
      <c r="L61" s="7">
        <f t="shared" si="2"/>
        <v>0.006944444444</v>
      </c>
      <c r="M61" s="6">
        <v>1.0</v>
      </c>
      <c r="O61" s="8"/>
    </row>
    <row r="62" ht="14.25" customHeight="1">
      <c r="A62" s="5">
        <v>61.0</v>
      </c>
      <c r="B62" s="6" t="s">
        <v>86</v>
      </c>
      <c r="C62" s="5" t="s">
        <v>87</v>
      </c>
      <c r="D62" s="5" t="s">
        <v>24</v>
      </c>
      <c r="E62" s="6"/>
      <c r="F62" s="6" t="s">
        <v>102</v>
      </c>
      <c r="G62" s="6"/>
      <c r="H62" s="6"/>
      <c r="I62" s="6">
        <v>56.0</v>
      </c>
      <c r="J62" s="6" t="s">
        <v>18</v>
      </c>
      <c r="K62" s="6">
        <v>10.0</v>
      </c>
      <c r="L62" s="7">
        <f t="shared" si="2"/>
        <v>0.006944444444</v>
      </c>
      <c r="M62" s="6">
        <v>1.0</v>
      </c>
      <c r="N62" s="5">
        <f>sum(K62:K67)</f>
        <v>8940</v>
      </c>
      <c r="O62" s="8">
        <f>N62/(60*24)</f>
        <v>6.208333333</v>
      </c>
    </row>
    <row r="63" ht="14.25" customHeight="1">
      <c r="A63" s="6">
        <v>62.0</v>
      </c>
      <c r="C63" s="15" t="s">
        <v>87</v>
      </c>
      <c r="D63" s="5" t="s">
        <v>17</v>
      </c>
      <c r="E63" s="6"/>
      <c r="F63" s="6" t="s">
        <v>103</v>
      </c>
      <c r="G63" s="6"/>
      <c r="H63" s="6"/>
      <c r="I63" s="6">
        <v>56.0</v>
      </c>
      <c r="J63" s="6" t="s">
        <v>18</v>
      </c>
      <c r="K63" s="6">
        <v>10.0</v>
      </c>
      <c r="L63" s="7">
        <f t="shared" si="2"/>
        <v>0.006944444444</v>
      </c>
      <c r="M63" s="6">
        <v>1.0</v>
      </c>
      <c r="O63" s="8"/>
    </row>
    <row r="64" ht="14.25" customHeight="1">
      <c r="A64" s="5">
        <v>63.0</v>
      </c>
      <c r="C64" s="5" t="s">
        <v>37</v>
      </c>
      <c r="D64" s="5" t="s">
        <v>38</v>
      </c>
      <c r="E64" s="6"/>
      <c r="F64" s="6" t="s">
        <v>102</v>
      </c>
      <c r="G64" s="6"/>
      <c r="H64" s="6"/>
      <c r="I64" s="6">
        <v>56.0</v>
      </c>
      <c r="J64" s="6" t="s">
        <v>18</v>
      </c>
      <c r="K64" s="6">
        <v>40.0</v>
      </c>
      <c r="L64" s="7">
        <f t="shared" si="2"/>
        <v>0.02777777778</v>
      </c>
      <c r="M64" s="6">
        <v>1.0</v>
      </c>
      <c r="O64" s="8"/>
    </row>
    <row r="65" ht="14.25" customHeight="1">
      <c r="A65" s="5">
        <v>64.0</v>
      </c>
      <c r="C65" s="5" t="s">
        <v>39</v>
      </c>
      <c r="D65" s="5" t="s">
        <v>38</v>
      </c>
      <c r="E65" s="6"/>
      <c r="F65" s="6" t="s">
        <v>102</v>
      </c>
      <c r="G65" s="6"/>
      <c r="H65" s="6"/>
      <c r="I65" s="6">
        <v>56.0</v>
      </c>
      <c r="J65" s="6" t="s">
        <v>18</v>
      </c>
      <c r="K65" s="6">
        <v>180.0</v>
      </c>
      <c r="L65" s="7">
        <f t="shared" si="2"/>
        <v>0.125</v>
      </c>
      <c r="M65" s="6">
        <v>1.0</v>
      </c>
      <c r="O65" s="8"/>
    </row>
    <row r="66" ht="14.25" customHeight="1">
      <c r="A66" s="6">
        <v>65.0</v>
      </c>
      <c r="C66" s="5" t="s">
        <v>40</v>
      </c>
      <c r="D66" s="5" t="s">
        <v>38</v>
      </c>
      <c r="E66" s="6"/>
      <c r="F66" s="6" t="s">
        <v>102</v>
      </c>
      <c r="G66" s="6"/>
      <c r="H66" s="6"/>
      <c r="I66" s="6">
        <v>56.0</v>
      </c>
      <c r="J66" s="6" t="s">
        <v>18</v>
      </c>
      <c r="K66" s="6">
        <v>1500.0</v>
      </c>
      <c r="L66" s="7">
        <f t="shared" si="2"/>
        <v>1.041666667</v>
      </c>
      <c r="M66" s="6">
        <v>1.0</v>
      </c>
      <c r="O66" s="8"/>
    </row>
    <row r="67" ht="14.25" customHeight="1">
      <c r="A67" s="5">
        <v>66.0</v>
      </c>
      <c r="C67" s="5" t="s">
        <v>41</v>
      </c>
      <c r="D67" s="5" t="s">
        <v>38</v>
      </c>
      <c r="E67" s="6"/>
      <c r="F67" s="6" t="s">
        <v>102</v>
      </c>
      <c r="G67" s="6"/>
      <c r="H67" s="6"/>
      <c r="I67" s="6">
        <v>56.0</v>
      </c>
      <c r="J67" s="6" t="s">
        <v>18</v>
      </c>
      <c r="K67" s="6">
        <v>7200.0</v>
      </c>
      <c r="L67" s="7">
        <f t="shared" si="2"/>
        <v>5</v>
      </c>
      <c r="M67" s="6">
        <v>1.0</v>
      </c>
      <c r="O67" s="8"/>
    </row>
    <row r="68" ht="14.25" customHeight="1">
      <c r="A68" s="5">
        <v>67.0</v>
      </c>
      <c r="B68" s="6" t="s">
        <v>88</v>
      </c>
      <c r="C68" s="5" t="s">
        <v>89</v>
      </c>
      <c r="D68" s="5" t="s">
        <v>90</v>
      </c>
      <c r="E68" s="6"/>
      <c r="F68" s="6" t="s">
        <v>102</v>
      </c>
      <c r="G68" s="6"/>
      <c r="H68" s="6"/>
      <c r="I68" s="6">
        <v>56.0</v>
      </c>
      <c r="J68" s="6" t="s">
        <v>91</v>
      </c>
      <c r="K68" s="6">
        <v>10.0</v>
      </c>
      <c r="L68" s="7">
        <f t="shared" si="2"/>
        <v>0.006944444444</v>
      </c>
      <c r="M68" s="6">
        <v>1.0</v>
      </c>
      <c r="N68" s="5">
        <f>sum(K68:K74)</f>
        <v>8940</v>
      </c>
      <c r="O68" s="8">
        <f>N68/(60*24)</f>
        <v>6.208333333</v>
      </c>
    </row>
    <row r="69" ht="14.25" customHeight="1">
      <c r="A69" s="6">
        <v>68.0</v>
      </c>
      <c r="C69" s="15" t="s">
        <v>92</v>
      </c>
      <c r="D69" s="5" t="s">
        <v>90</v>
      </c>
      <c r="E69" s="6"/>
      <c r="F69" s="6" t="s">
        <v>103</v>
      </c>
      <c r="G69" s="6"/>
      <c r="H69" s="6"/>
      <c r="I69" s="6">
        <v>56.0</v>
      </c>
      <c r="J69" s="6" t="s">
        <v>91</v>
      </c>
      <c r="K69" s="6">
        <v>5.0</v>
      </c>
      <c r="L69" s="7">
        <f t="shared" si="2"/>
        <v>0.003472222222</v>
      </c>
      <c r="M69" s="6">
        <v>1.0</v>
      </c>
      <c r="O69" s="8"/>
    </row>
    <row r="70" ht="14.25" customHeight="1">
      <c r="A70" s="5">
        <v>69.0</v>
      </c>
      <c r="C70" s="15" t="s">
        <v>93</v>
      </c>
      <c r="D70" s="5" t="s">
        <v>17</v>
      </c>
      <c r="E70" s="6"/>
      <c r="F70" s="6" t="s">
        <v>103</v>
      </c>
      <c r="G70" s="6"/>
      <c r="H70" s="6"/>
      <c r="I70" s="6">
        <v>56.0</v>
      </c>
      <c r="J70" s="6" t="s">
        <v>91</v>
      </c>
      <c r="K70" s="6">
        <v>5.0</v>
      </c>
      <c r="L70" s="7">
        <f t="shared" si="2"/>
        <v>0.003472222222</v>
      </c>
      <c r="M70" s="6">
        <v>1.0</v>
      </c>
      <c r="O70" s="8"/>
    </row>
    <row r="71" ht="14.25" customHeight="1">
      <c r="A71" s="5">
        <v>70.0</v>
      </c>
      <c r="C71" s="5" t="s">
        <v>37</v>
      </c>
      <c r="D71" s="5" t="s">
        <v>17</v>
      </c>
      <c r="E71" s="6"/>
      <c r="F71" s="6" t="s">
        <v>102</v>
      </c>
      <c r="G71" s="6"/>
      <c r="H71" s="6"/>
      <c r="I71" s="6">
        <v>56.0</v>
      </c>
      <c r="J71" s="6" t="s">
        <v>91</v>
      </c>
      <c r="K71" s="6">
        <v>40.0</v>
      </c>
      <c r="L71" s="7">
        <f t="shared" si="2"/>
        <v>0.02777777778</v>
      </c>
      <c r="M71" s="6">
        <v>1.0</v>
      </c>
      <c r="O71" s="8"/>
    </row>
    <row r="72" ht="14.25" customHeight="1">
      <c r="A72" s="6">
        <v>71.0</v>
      </c>
      <c r="C72" s="5" t="s">
        <v>39</v>
      </c>
      <c r="D72" s="5" t="s">
        <v>17</v>
      </c>
      <c r="E72" s="6"/>
      <c r="F72" s="6" t="s">
        <v>102</v>
      </c>
      <c r="G72" s="6"/>
      <c r="H72" s="6"/>
      <c r="I72" s="6">
        <v>56.0</v>
      </c>
      <c r="J72" s="6" t="s">
        <v>91</v>
      </c>
      <c r="K72" s="6">
        <v>180.0</v>
      </c>
      <c r="L72" s="7">
        <f t="shared" si="2"/>
        <v>0.125</v>
      </c>
      <c r="M72" s="6">
        <v>1.0</v>
      </c>
      <c r="O72" s="8"/>
    </row>
    <row r="73" ht="14.25" customHeight="1">
      <c r="A73" s="5">
        <v>72.0</v>
      </c>
      <c r="C73" s="5" t="s">
        <v>40</v>
      </c>
      <c r="D73" s="5" t="s">
        <v>17</v>
      </c>
      <c r="E73" s="6"/>
      <c r="F73" s="6" t="s">
        <v>102</v>
      </c>
      <c r="G73" s="6"/>
      <c r="H73" s="6"/>
      <c r="I73" s="6">
        <v>56.0</v>
      </c>
      <c r="J73" s="6" t="s">
        <v>91</v>
      </c>
      <c r="K73" s="6">
        <v>1500.0</v>
      </c>
      <c r="L73" s="7">
        <f t="shared" si="2"/>
        <v>1.041666667</v>
      </c>
      <c r="M73" s="6">
        <v>1.0</v>
      </c>
      <c r="O73" s="8"/>
    </row>
    <row r="74" ht="14.25" customHeight="1">
      <c r="A74" s="5">
        <v>73.0</v>
      </c>
      <c r="C74" s="5" t="s">
        <v>41</v>
      </c>
      <c r="D74" s="5" t="s">
        <v>17</v>
      </c>
      <c r="E74" s="6"/>
      <c r="F74" s="6" t="s">
        <v>102</v>
      </c>
      <c r="G74" s="6"/>
      <c r="H74" s="6"/>
      <c r="I74" s="6">
        <v>56.0</v>
      </c>
      <c r="J74" s="6" t="s">
        <v>91</v>
      </c>
      <c r="K74" s="6">
        <v>7200.0</v>
      </c>
      <c r="L74" s="7">
        <f t="shared" si="2"/>
        <v>5</v>
      </c>
      <c r="M74" s="6">
        <v>1.0</v>
      </c>
      <c r="O74" s="8"/>
    </row>
    <row r="75" ht="14.25" customHeight="1">
      <c r="A75" s="6">
        <v>74.0</v>
      </c>
      <c r="B75" s="6" t="s">
        <v>94</v>
      </c>
      <c r="C75" s="5" t="s">
        <v>95</v>
      </c>
      <c r="D75" s="5" t="s">
        <v>17</v>
      </c>
      <c r="E75" s="6"/>
      <c r="F75" s="6" t="s">
        <v>102</v>
      </c>
      <c r="G75" s="6"/>
      <c r="H75" s="6"/>
      <c r="I75" s="6">
        <v>56.0</v>
      </c>
      <c r="J75" s="6" t="s">
        <v>91</v>
      </c>
      <c r="K75" s="6">
        <v>5.0</v>
      </c>
      <c r="L75" s="7">
        <f t="shared" si="2"/>
        <v>0.003472222222</v>
      </c>
      <c r="M75" s="6">
        <v>1.0</v>
      </c>
      <c r="N75" s="5">
        <f>sum(K75)</f>
        <v>5</v>
      </c>
      <c r="O75" s="8">
        <f t="shared" ref="O75:O77" si="14">N75/(60*24)</f>
        <v>0.003472222222</v>
      </c>
    </row>
    <row r="76" ht="14.25" customHeight="1">
      <c r="A76" s="17" t="s">
        <v>96</v>
      </c>
      <c r="K76" s="18">
        <f>sum(K2:K75)</f>
        <v>49625</v>
      </c>
      <c r="L76" s="19"/>
      <c r="N76" s="18">
        <f>sum(N2:N75)</f>
        <v>49625</v>
      </c>
      <c r="O76" s="5">
        <f t="shared" si="14"/>
        <v>34.46180556</v>
      </c>
    </row>
    <row r="77" ht="14.25" customHeight="1">
      <c r="A77" s="17" t="s">
        <v>97</v>
      </c>
      <c r="K77" s="20">
        <f>K76/1440</f>
        <v>34.46180556</v>
      </c>
      <c r="L77" s="19"/>
      <c r="N77" s="20">
        <f>N76/1440</f>
        <v>34.46180556</v>
      </c>
      <c r="O77" s="5">
        <f t="shared" si="14"/>
        <v>0.02393180941</v>
      </c>
    </row>
    <row r="78" ht="14.25" customHeight="1">
      <c r="L78" s="19"/>
    </row>
    <row r="79" ht="14.25" customHeight="1">
      <c r="J79" s="6" t="s">
        <v>102</v>
      </c>
      <c r="K79" s="5">
        <f>K76-K80</f>
        <v>48935</v>
      </c>
      <c r="L79" s="19"/>
      <c r="M79" s="5">
        <f t="shared" ref="M79:M80" si="15">K79/1440</f>
        <v>33.98263889</v>
      </c>
    </row>
    <row r="80" ht="14.25" customHeight="1">
      <c r="J80" s="6" t="s">
        <v>103</v>
      </c>
      <c r="K80" s="5">
        <f>K5+K12+K13+K14+K25+K26+K30+K31+K32+K33+K35+K36+K42+K43+K44+K45+K46+K48+K49+K54+K59+K60+K63+K69+K70</f>
        <v>690</v>
      </c>
      <c r="L80" s="19"/>
      <c r="M80" s="5">
        <f t="shared" si="15"/>
        <v>0.4791666667</v>
      </c>
    </row>
    <row r="81" ht="14.25" customHeight="1">
      <c r="L81" s="19"/>
    </row>
    <row r="82" ht="14.25" customHeight="1">
      <c r="J82" s="6" t="s">
        <v>104</v>
      </c>
      <c r="K82" s="5">
        <f>M79/K77*100</f>
        <v>98.60957179</v>
      </c>
      <c r="L82" s="19"/>
    </row>
    <row r="83" ht="14.25" customHeight="1">
      <c r="L83" s="19"/>
    </row>
    <row r="84" ht="14.25" customHeight="1">
      <c r="L84" s="19"/>
    </row>
    <row r="85" ht="14.25" customHeight="1">
      <c r="L85" s="19"/>
    </row>
    <row r="86" ht="14.25" customHeight="1">
      <c r="L86" s="19"/>
    </row>
    <row r="87" ht="14.25" customHeight="1">
      <c r="L87" s="19"/>
    </row>
    <row r="88" ht="14.25" customHeight="1">
      <c r="L88" s="19"/>
    </row>
    <row r="89" ht="14.25" customHeight="1">
      <c r="L89" s="19"/>
    </row>
    <row r="90" ht="14.25" customHeight="1">
      <c r="L90" s="19"/>
    </row>
    <row r="91" ht="14.25" customHeight="1">
      <c r="L91" s="19"/>
    </row>
    <row r="92" ht="14.25" customHeight="1">
      <c r="L92" s="19"/>
    </row>
    <row r="93" ht="14.25" customHeight="1">
      <c r="L93" s="19"/>
    </row>
    <row r="94" ht="14.25" customHeight="1">
      <c r="L94" s="19"/>
    </row>
    <row r="95" ht="14.25" customHeight="1">
      <c r="L95" s="19"/>
    </row>
    <row r="96" ht="14.25" customHeight="1">
      <c r="L96" s="19"/>
    </row>
    <row r="97" ht="14.25" customHeight="1">
      <c r="L97" s="19"/>
    </row>
    <row r="98" ht="14.25" customHeight="1">
      <c r="L98" s="19"/>
    </row>
    <row r="99" ht="14.25" customHeight="1">
      <c r="L99" s="19"/>
    </row>
    <row r="100" ht="14.25" customHeight="1">
      <c r="L100" s="19"/>
    </row>
    <row r="101" ht="14.25" customHeight="1">
      <c r="L101" s="19"/>
    </row>
    <row r="102" ht="14.25" customHeight="1">
      <c r="L102" s="19"/>
    </row>
    <row r="103" ht="14.25" customHeight="1">
      <c r="L103" s="19"/>
    </row>
    <row r="104" ht="14.25" customHeight="1">
      <c r="L104" s="19"/>
    </row>
    <row r="105" ht="14.25" customHeight="1">
      <c r="L105" s="19"/>
    </row>
    <row r="106" ht="14.25" customHeight="1">
      <c r="L106" s="19"/>
    </row>
    <row r="107" ht="14.25" customHeight="1">
      <c r="L107" s="19"/>
    </row>
    <row r="108" ht="14.25" customHeight="1">
      <c r="L108" s="19"/>
    </row>
    <row r="109" ht="14.25" customHeight="1">
      <c r="L109" s="19"/>
    </row>
    <row r="110" ht="14.25" customHeight="1">
      <c r="L110" s="19"/>
    </row>
    <row r="111" ht="14.25" customHeight="1">
      <c r="L111" s="19"/>
    </row>
    <row r="112" ht="14.25" customHeight="1">
      <c r="L112" s="19"/>
    </row>
    <row r="113" ht="14.25" customHeight="1">
      <c r="L113" s="19"/>
    </row>
    <row r="114" ht="14.25" customHeight="1">
      <c r="L114" s="19"/>
    </row>
    <row r="115" ht="14.25" customHeight="1">
      <c r="L115" s="19"/>
    </row>
    <row r="116" ht="14.25" customHeight="1">
      <c r="L116" s="19"/>
    </row>
    <row r="117" ht="14.25" customHeight="1">
      <c r="L117" s="19"/>
    </row>
    <row r="118" ht="14.25" customHeight="1">
      <c r="L118" s="19"/>
    </row>
    <row r="119" ht="14.25" customHeight="1">
      <c r="L119" s="19"/>
    </row>
    <row r="120" ht="14.25" customHeight="1">
      <c r="L120" s="19"/>
    </row>
    <row r="121" ht="14.25" customHeight="1">
      <c r="L121" s="19"/>
    </row>
    <row r="122" ht="14.25" customHeight="1">
      <c r="L122" s="19"/>
    </row>
    <row r="123" ht="14.25" customHeight="1">
      <c r="L123" s="19"/>
    </row>
    <row r="124" ht="14.25" customHeight="1">
      <c r="L124" s="19"/>
    </row>
    <row r="125" ht="14.25" customHeight="1">
      <c r="L125" s="19"/>
    </row>
    <row r="126" ht="14.25" customHeight="1">
      <c r="L126" s="19"/>
    </row>
    <row r="127" ht="14.25" customHeight="1">
      <c r="L127" s="19"/>
    </row>
    <row r="128" ht="14.25" customHeight="1">
      <c r="L128" s="19"/>
    </row>
    <row r="129" ht="14.25" customHeight="1">
      <c r="L129" s="19"/>
    </row>
    <row r="130" ht="14.25" customHeight="1">
      <c r="L130" s="19"/>
    </row>
    <row r="131" ht="14.25" customHeight="1">
      <c r="L131" s="19"/>
    </row>
    <row r="132" ht="14.25" customHeight="1">
      <c r="L132" s="19"/>
    </row>
    <row r="133" ht="14.25" customHeight="1">
      <c r="L133" s="19"/>
    </row>
    <row r="134" ht="14.25" customHeight="1">
      <c r="L134" s="19"/>
    </row>
    <row r="135" ht="14.25" customHeight="1">
      <c r="L135" s="19"/>
    </row>
    <row r="136" ht="14.25" customHeight="1">
      <c r="L136" s="19"/>
    </row>
    <row r="137" ht="14.25" customHeight="1">
      <c r="L137" s="19"/>
    </row>
    <row r="138" ht="14.25" customHeight="1">
      <c r="L138" s="19"/>
    </row>
    <row r="139" ht="14.25" customHeight="1">
      <c r="L139" s="19"/>
    </row>
    <row r="140" ht="14.25" customHeight="1">
      <c r="L140" s="19"/>
    </row>
    <row r="141" ht="14.25" customHeight="1">
      <c r="L141" s="19"/>
    </row>
    <row r="142" ht="14.25" customHeight="1">
      <c r="L142" s="19"/>
    </row>
    <row r="143" ht="14.25" customHeight="1">
      <c r="L143" s="19"/>
    </row>
    <row r="144" ht="14.25" customHeight="1">
      <c r="L144" s="19"/>
    </row>
    <row r="145" ht="14.25" customHeight="1">
      <c r="L145" s="19"/>
    </row>
    <row r="146" ht="14.25" customHeight="1">
      <c r="L146" s="19"/>
    </row>
    <row r="147" ht="14.25" customHeight="1">
      <c r="L147" s="19"/>
    </row>
    <row r="148" ht="14.25" customHeight="1">
      <c r="L148" s="19"/>
    </row>
    <row r="149" ht="14.25" customHeight="1">
      <c r="L149" s="19"/>
    </row>
    <row r="150" ht="14.25" customHeight="1">
      <c r="L150" s="19"/>
    </row>
    <row r="151" ht="14.25" customHeight="1">
      <c r="L151" s="19"/>
    </row>
    <row r="152" ht="14.25" customHeight="1">
      <c r="L152" s="19"/>
    </row>
    <row r="153" ht="14.25" customHeight="1">
      <c r="L153" s="19"/>
    </row>
    <row r="154" ht="14.25" customHeight="1">
      <c r="L154" s="19"/>
    </row>
    <row r="155" ht="14.25" customHeight="1">
      <c r="L155" s="19"/>
    </row>
    <row r="156" ht="14.25" customHeight="1">
      <c r="L156" s="19"/>
    </row>
    <row r="157" ht="14.25" customHeight="1">
      <c r="L157" s="19"/>
    </row>
    <row r="158" ht="14.25" customHeight="1">
      <c r="L158" s="19"/>
    </row>
    <row r="159" ht="14.25" customHeight="1">
      <c r="L159" s="19"/>
    </row>
    <row r="160" ht="14.25" customHeight="1">
      <c r="L160" s="19"/>
    </row>
    <row r="161" ht="14.25" customHeight="1">
      <c r="L161" s="19"/>
    </row>
    <row r="162" ht="14.25" customHeight="1">
      <c r="L162" s="19"/>
    </row>
    <row r="163" ht="14.25" customHeight="1">
      <c r="L163" s="19"/>
    </row>
    <row r="164" ht="14.25" customHeight="1">
      <c r="L164" s="19"/>
    </row>
    <row r="165" ht="14.25" customHeight="1">
      <c r="L165" s="19"/>
    </row>
    <row r="166" ht="14.25" customHeight="1">
      <c r="L166" s="19"/>
    </row>
    <row r="167" ht="14.25" customHeight="1">
      <c r="L167" s="19"/>
    </row>
    <row r="168" ht="14.25" customHeight="1">
      <c r="L168" s="19"/>
    </row>
    <row r="169" ht="14.25" customHeight="1">
      <c r="L169" s="19"/>
    </row>
    <row r="170" ht="14.25" customHeight="1">
      <c r="L170" s="19"/>
    </row>
    <row r="171" ht="14.25" customHeight="1">
      <c r="L171" s="19"/>
    </row>
    <row r="172" ht="14.25" customHeight="1">
      <c r="L172" s="19"/>
    </row>
    <row r="173" ht="14.25" customHeight="1">
      <c r="L173" s="19"/>
    </row>
    <row r="174" ht="14.25" customHeight="1">
      <c r="L174" s="19"/>
    </row>
    <row r="175" ht="14.25" customHeight="1">
      <c r="L175" s="19"/>
    </row>
    <row r="176" ht="14.25" customHeight="1">
      <c r="L176" s="19"/>
    </row>
    <row r="177" ht="14.25" customHeight="1">
      <c r="L177" s="19"/>
    </row>
    <row r="178" ht="14.25" customHeight="1">
      <c r="L178" s="19"/>
    </row>
    <row r="179" ht="14.25" customHeight="1">
      <c r="L179" s="19"/>
    </row>
    <row r="180" ht="14.25" customHeight="1">
      <c r="L180" s="19"/>
    </row>
    <row r="181" ht="14.25" customHeight="1">
      <c r="L181" s="19"/>
    </row>
    <row r="182" ht="14.25" customHeight="1">
      <c r="L182" s="19"/>
    </row>
    <row r="183" ht="14.25" customHeight="1">
      <c r="L183" s="19"/>
    </row>
    <row r="184" ht="14.25" customHeight="1">
      <c r="L184" s="19"/>
    </row>
    <row r="185" ht="14.25" customHeight="1">
      <c r="L185" s="19"/>
    </row>
    <row r="186" ht="14.25" customHeight="1">
      <c r="L186" s="19"/>
    </row>
    <row r="187" ht="14.25" customHeight="1">
      <c r="L187" s="19"/>
    </row>
    <row r="188" ht="14.25" customHeight="1">
      <c r="L188" s="19"/>
    </row>
    <row r="189" ht="14.25" customHeight="1">
      <c r="L189" s="19"/>
    </row>
    <row r="190" ht="14.25" customHeight="1">
      <c r="L190" s="19"/>
    </row>
    <row r="191" ht="14.25" customHeight="1">
      <c r="L191" s="19"/>
    </row>
    <row r="192" ht="14.25" customHeight="1">
      <c r="L192" s="19"/>
    </row>
    <row r="193" ht="14.25" customHeight="1">
      <c r="L193" s="19"/>
    </row>
    <row r="194" ht="14.25" customHeight="1">
      <c r="L194" s="19"/>
    </row>
    <row r="195" ht="14.25" customHeight="1">
      <c r="L195" s="19"/>
    </row>
    <row r="196" ht="14.25" customHeight="1">
      <c r="L196" s="19"/>
    </row>
    <row r="197" ht="14.25" customHeight="1">
      <c r="L197" s="19"/>
    </row>
    <row r="198" ht="14.25" customHeight="1">
      <c r="L198" s="19"/>
    </row>
    <row r="199" ht="14.25" customHeight="1">
      <c r="L199" s="19"/>
    </row>
    <row r="200" ht="14.25" customHeight="1">
      <c r="L200" s="19"/>
    </row>
    <row r="201" ht="14.25" customHeight="1">
      <c r="L201" s="19"/>
    </row>
    <row r="202" ht="14.25" customHeight="1">
      <c r="L202" s="19"/>
    </row>
    <row r="203" ht="14.25" customHeight="1">
      <c r="L203" s="19"/>
    </row>
    <row r="204" ht="14.25" customHeight="1">
      <c r="L204" s="19"/>
    </row>
    <row r="205" ht="14.25" customHeight="1">
      <c r="L205" s="19"/>
    </row>
    <row r="206" ht="14.25" customHeight="1">
      <c r="L206" s="19"/>
    </row>
    <row r="207" ht="14.25" customHeight="1">
      <c r="L207" s="19"/>
    </row>
    <row r="208" ht="14.25" customHeight="1">
      <c r="L208" s="19"/>
    </row>
    <row r="209" ht="14.25" customHeight="1">
      <c r="L209" s="19"/>
    </row>
    <row r="210" ht="14.25" customHeight="1">
      <c r="L210" s="19"/>
    </row>
    <row r="211" ht="14.25" customHeight="1">
      <c r="L211" s="19"/>
    </row>
    <row r="212" ht="14.25" customHeight="1">
      <c r="L212" s="19"/>
    </row>
    <row r="213" ht="14.25" customHeight="1">
      <c r="L213" s="19"/>
    </row>
    <row r="214" ht="14.25" customHeight="1">
      <c r="L214" s="19"/>
    </row>
    <row r="215" ht="14.25" customHeight="1">
      <c r="L215" s="19"/>
    </row>
    <row r="216" ht="14.25" customHeight="1">
      <c r="L216" s="19"/>
    </row>
    <row r="217" ht="14.25" customHeight="1">
      <c r="L217" s="19"/>
    </row>
    <row r="218" ht="14.25" customHeight="1">
      <c r="L218" s="19"/>
    </row>
    <row r="219" ht="14.25" customHeight="1">
      <c r="L219" s="19"/>
    </row>
    <row r="220" ht="14.25" customHeight="1">
      <c r="L220" s="19"/>
    </row>
    <row r="221" ht="14.25" customHeight="1">
      <c r="L221" s="19"/>
    </row>
    <row r="222" ht="14.25" customHeight="1">
      <c r="L222" s="19"/>
    </row>
    <row r="223" ht="14.25" customHeight="1">
      <c r="L223" s="19"/>
    </row>
    <row r="224" ht="14.25" customHeight="1">
      <c r="L224" s="19"/>
    </row>
    <row r="225" ht="14.25" customHeight="1">
      <c r="L225" s="19"/>
    </row>
    <row r="226" ht="14.25" customHeight="1">
      <c r="L226" s="19"/>
    </row>
    <row r="227" ht="14.25" customHeight="1">
      <c r="L227" s="19"/>
    </row>
    <row r="228" ht="14.25" customHeight="1">
      <c r="L228" s="19"/>
    </row>
    <row r="229" ht="14.25" customHeight="1">
      <c r="L229" s="19"/>
    </row>
    <row r="230" ht="14.25" customHeight="1">
      <c r="L230" s="19"/>
    </row>
    <row r="231" ht="14.25" customHeight="1">
      <c r="L231" s="19"/>
    </row>
    <row r="232" ht="14.25" customHeight="1">
      <c r="L232" s="19"/>
    </row>
    <row r="233" ht="14.25" customHeight="1">
      <c r="L233" s="19"/>
    </row>
    <row r="234" ht="14.25" customHeight="1">
      <c r="L234" s="19"/>
    </row>
    <row r="235" ht="14.25" customHeight="1">
      <c r="L235" s="19"/>
    </row>
    <row r="236" ht="14.25" customHeight="1">
      <c r="L236" s="19"/>
    </row>
    <row r="237" ht="14.25" customHeight="1">
      <c r="L237" s="19"/>
    </row>
    <row r="238" ht="14.25" customHeight="1">
      <c r="L238" s="19"/>
    </row>
    <row r="239" ht="14.25" customHeight="1">
      <c r="L239" s="19"/>
    </row>
    <row r="240" ht="14.25" customHeight="1">
      <c r="L240" s="19"/>
    </row>
    <row r="241" ht="14.25" customHeight="1">
      <c r="L241" s="19"/>
    </row>
    <row r="242" ht="14.25" customHeight="1">
      <c r="L242" s="19"/>
    </row>
    <row r="243" ht="14.25" customHeight="1">
      <c r="L243" s="19"/>
    </row>
    <row r="244" ht="14.25" customHeight="1">
      <c r="L244" s="19"/>
    </row>
    <row r="245" ht="14.25" customHeight="1">
      <c r="L245" s="19"/>
    </row>
    <row r="246" ht="14.25" customHeight="1">
      <c r="L246" s="19"/>
    </row>
    <row r="247" ht="14.25" customHeight="1">
      <c r="L247" s="19"/>
    </row>
    <row r="248" ht="14.25" customHeight="1">
      <c r="L248" s="19"/>
    </row>
    <row r="249" ht="14.25" customHeight="1">
      <c r="L249" s="19"/>
    </row>
    <row r="250" ht="14.25" customHeight="1">
      <c r="L250" s="19"/>
    </row>
    <row r="251" ht="14.25" customHeight="1">
      <c r="L251" s="19"/>
    </row>
    <row r="252" ht="14.25" customHeight="1">
      <c r="L252" s="19"/>
    </row>
    <row r="253" ht="14.25" customHeight="1">
      <c r="L253" s="19"/>
    </row>
    <row r="254" ht="14.25" customHeight="1">
      <c r="L254" s="19"/>
    </row>
    <row r="255" ht="14.25" customHeight="1">
      <c r="L255" s="19"/>
    </row>
    <row r="256" ht="14.25" customHeight="1">
      <c r="L256" s="19"/>
    </row>
    <row r="257" ht="14.25" customHeight="1">
      <c r="L257" s="19"/>
    </row>
    <row r="258" ht="14.25" customHeight="1">
      <c r="L258" s="19"/>
    </row>
    <row r="259" ht="14.25" customHeight="1">
      <c r="L259" s="19"/>
    </row>
    <row r="260" ht="14.25" customHeight="1">
      <c r="L260" s="19"/>
    </row>
    <row r="261" ht="14.25" customHeight="1">
      <c r="L261" s="19"/>
    </row>
    <row r="262" ht="14.25" customHeight="1">
      <c r="L262" s="19"/>
    </row>
    <row r="263" ht="14.25" customHeight="1">
      <c r="L263" s="19"/>
    </row>
    <row r="264" ht="14.25" customHeight="1">
      <c r="L264" s="19"/>
    </row>
    <row r="265" ht="14.25" customHeight="1">
      <c r="L265" s="19"/>
    </row>
    <row r="266" ht="14.25" customHeight="1">
      <c r="L266" s="19"/>
    </row>
    <row r="267" ht="14.25" customHeight="1">
      <c r="L267" s="19"/>
    </row>
    <row r="268" ht="14.25" customHeight="1">
      <c r="L268" s="19"/>
    </row>
    <row r="269" ht="14.25" customHeight="1">
      <c r="L269" s="19"/>
    </row>
    <row r="270" ht="14.25" customHeight="1">
      <c r="L270" s="19"/>
    </row>
    <row r="271" ht="14.25" customHeight="1">
      <c r="L271" s="19"/>
    </row>
    <row r="272" ht="14.25" customHeight="1">
      <c r="L272" s="19"/>
    </row>
    <row r="273" ht="14.25" customHeight="1">
      <c r="L273" s="19"/>
    </row>
    <row r="274" ht="14.25" customHeight="1">
      <c r="L274" s="19"/>
    </row>
    <row r="275" ht="14.25" customHeight="1">
      <c r="L275" s="19"/>
    </row>
    <row r="276" ht="14.25" customHeight="1">
      <c r="L276" s="19"/>
    </row>
    <row r="277" ht="14.25" customHeight="1">
      <c r="L277" s="19"/>
    </row>
    <row r="278" ht="14.25" customHeight="1">
      <c r="L278" s="19"/>
    </row>
    <row r="279" ht="14.25" customHeight="1">
      <c r="L279" s="19"/>
    </row>
    <row r="280" ht="14.25" customHeight="1">
      <c r="L280" s="19"/>
    </row>
    <row r="281" ht="14.25" customHeight="1">
      <c r="L281" s="19"/>
    </row>
    <row r="282" ht="14.25" customHeight="1">
      <c r="L282" s="19"/>
    </row>
    <row r="283" ht="14.25" customHeight="1">
      <c r="L283" s="19"/>
    </row>
    <row r="284" ht="14.25" customHeight="1">
      <c r="L284" s="19"/>
    </row>
    <row r="285" ht="14.25" customHeight="1">
      <c r="L285" s="19"/>
    </row>
    <row r="286" ht="14.25" customHeight="1">
      <c r="L286" s="19"/>
    </row>
    <row r="287" ht="14.25" customHeight="1">
      <c r="L287" s="19"/>
    </row>
    <row r="288" ht="14.25" customHeight="1">
      <c r="L288" s="19"/>
    </row>
    <row r="289" ht="14.25" customHeight="1">
      <c r="L289" s="19"/>
    </row>
    <row r="290" ht="14.25" customHeight="1">
      <c r="L290" s="19"/>
    </row>
    <row r="291" ht="14.25" customHeight="1">
      <c r="L291" s="19"/>
    </row>
    <row r="292" ht="14.25" customHeight="1">
      <c r="L292" s="19"/>
    </row>
    <row r="293" ht="14.25" customHeight="1">
      <c r="L293" s="19"/>
    </row>
    <row r="294" ht="14.25" customHeight="1">
      <c r="L294" s="19"/>
    </row>
    <row r="295" ht="14.25" customHeight="1">
      <c r="L295" s="19"/>
    </row>
    <row r="296" ht="14.25" customHeight="1">
      <c r="L296" s="19"/>
    </row>
    <row r="297" ht="14.25" customHeight="1">
      <c r="L297" s="19"/>
    </row>
    <row r="298" ht="14.25" customHeight="1">
      <c r="L298" s="19"/>
    </row>
    <row r="299" ht="14.25" customHeight="1">
      <c r="L299" s="19"/>
    </row>
    <row r="300" ht="14.25" customHeight="1">
      <c r="L300" s="19"/>
    </row>
    <row r="301" ht="14.25" customHeight="1">
      <c r="L301" s="19"/>
    </row>
    <row r="302" ht="14.25" customHeight="1">
      <c r="L302" s="19"/>
    </row>
    <row r="303" ht="14.25" customHeight="1">
      <c r="L303" s="19"/>
    </row>
    <row r="304" ht="14.25" customHeight="1">
      <c r="L304" s="19"/>
    </row>
    <row r="305" ht="14.25" customHeight="1">
      <c r="L305" s="19"/>
    </row>
    <row r="306" ht="14.25" customHeight="1">
      <c r="L306" s="19"/>
    </row>
    <row r="307" ht="14.25" customHeight="1">
      <c r="L307" s="19"/>
    </row>
    <row r="308" ht="14.25" customHeight="1">
      <c r="L308" s="19"/>
    </row>
    <row r="309" ht="14.25" customHeight="1">
      <c r="L309" s="19"/>
    </row>
    <row r="310" ht="14.25" customHeight="1">
      <c r="L310" s="19"/>
    </row>
    <row r="311" ht="14.25" customHeight="1">
      <c r="L311" s="19"/>
    </row>
    <row r="312" ht="14.25" customHeight="1">
      <c r="L312" s="19"/>
    </row>
    <row r="313" ht="14.25" customHeight="1">
      <c r="L313" s="19"/>
    </row>
    <row r="314" ht="14.25" customHeight="1">
      <c r="L314" s="19"/>
    </row>
    <row r="315" ht="14.25" customHeight="1">
      <c r="L315" s="19"/>
    </row>
    <row r="316" ht="14.25" customHeight="1">
      <c r="L316" s="19"/>
    </row>
    <row r="317" ht="14.25" customHeight="1">
      <c r="L317" s="19"/>
    </row>
    <row r="318" ht="14.25" customHeight="1">
      <c r="L318" s="19"/>
    </row>
    <row r="319" ht="14.25" customHeight="1">
      <c r="L319" s="19"/>
    </row>
    <row r="320" ht="14.25" customHeight="1">
      <c r="L320" s="19"/>
    </row>
    <row r="321" ht="14.25" customHeight="1">
      <c r="L321" s="19"/>
    </row>
    <row r="322" ht="14.25" customHeight="1">
      <c r="L322" s="19"/>
    </row>
    <row r="323" ht="14.25" customHeight="1">
      <c r="L323" s="19"/>
    </row>
    <row r="324" ht="14.25" customHeight="1">
      <c r="L324" s="19"/>
    </row>
    <row r="325" ht="14.25" customHeight="1">
      <c r="L325" s="19"/>
    </row>
    <row r="326" ht="14.25" customHeight="1">
      <c r="L326" s="19"/>
    </row>
    <row r="327" ht="14.25" customHeight="1">
      <c r="L327" s="19"/>
    </row>
    <row r="328" ht="14.25" customHeight="1">
      <c r="L328" s="19"/>
    </row>
    <row r="329" ht="14.25" customHeight="1">
      <c r="L329" s="19"/>
    </row>
    <row r="330" ht="14.25" customHeight="1">
      <c r="L330" s="19"/>
    </row>
    <row r="331" ht="14.25" customHeight="1">
      <c r="L331" s="19"/>
    </row>
    <row r="332" ht="14.25" customHeight="1">
      <c r="L332" s="19"/>
    </row>
    <row r="333" ht="14.25" customHeight="1">
      <c r="L333" s="19"/>
    </row>
    <row r="334" ht="14.25" customHeight="1">
      <c r="L334" s="19"/>
    </row>
    <row r="335" ht="14.25" customHeight="1">
      <c r="L335" s="19"/>
    </row>
    <row r="336" ht="14.25" customHeight="1">
      <c r="L336" s="19"/>
    </row>
    <row r="337" ht="14.25" customHeight="1">
      <c r="L337" s="19"/>
    </row>
    <row r="338" ht="14.25" customHeight="1">
      <c r="L338" s="19"/>
    </row>
    <row r="339" ht="14.25" customHeight="1">
      <c r="L339" s="19"/>
    </row>
    <row r="340" ht="14.25" customHeight="1">
      <c r="L340" s="19"/>
    </row>
    <row r="341" ht="14.25" customHeight="1">
      <c r="L341" s="19"/>
    </row>
    <row r="342" ht="14.25" customHeight="1">
      <c r="L342" s="19"/>
    </row>
    <row r="343" ht="14.25" customHeight="1">
      <c r="L343" s="19"/>
    </row>
    <row r="344" ht="14.25" customHeight="1">
      <c r="L344" s="19"/>
    </row>
    <row r="345" ht="14.25" customHeight="1">
      <c r="L345" s="19"/>
    </row>
    <row r="346" ht="14.25" customHeight="1">
      <c r="L346" s="19"/>
    </row>
    <row r="347" ht="14.25" customHeight="1">
      <c r="L347" s="19"/>
    </row>
    <row r="348" ht="14.25" customHeight="1">
      <c r="L348" s="19"/>
    </row>
    <row r="349" ht="14.25" customHeight="1">
      <c r="L349" s="19"/>
    </row>
    <row r="350" ht="14.25" customHeight="1">
      <c r="L350" s="19"/>
    </row>
    <row r="351" ht="14.25" customHeight="1">
      <c r="L351" s="19"/>
    </row>
    <row r="352" ht="14.25" customHeight="1">
      <c r="L352" s="19"/>
    </row>
    <row r="353" ht="14.25" customHeight="1">
      <c r="L353" s="19"/>
    </row>
    <row r="354" ht="14.25" customHeight="1">
      <c r="L354" s="19"/>
    </row>
    <row r="355" ht="14.25" customHeight="1">
      <c r="L355" s="19"/>
    </row>
    <row r="356" ht="14.25" customHeight="1">
      <c r="L356" s="19"/>
    </row>
    <row r="357" ht="14.25" customHeight="1">
      <c r="L357" s="19"/>
    </row>
    <row r="358" ht="14.25" customHeight="1">
      <c r="L358" s="19"/>
    </row>
    <row r="359" ht="14.25" customHeight="1">
      <c r="L359" s="19"/>
    </row>
    <row r="360" ht="14.25" customHeight="1">
      <c r="L360" s="19"/>
    </row>
    <row r="361" ht="14.25" customHeight="1">
      <c r="L361" s="19"/>
    </row>
    <row r="362" ht="14.25" customHeight="1">
      <c r="L362" s="19"/>
    </row>
    <row r="363" ht="14.25" customHeight="1">
      <c r="L363" s="19"/>
    </row>
    <row r="364" ht="14.25" customHeight="1">
      <c r="L364" s="19"/>
    </row>
    <row r="365" ht="14.25" customHeight="1">
      <c r="L365" s="19"/>
    </row>
    <row r="366" ht="14.25" customHeight="1">
      <c r="L366" s="19"/>
    </row>
    <row r="367" ht="14.25" customHeight="1">
      <c r="L367" s="19"/>
    </row>
    <row r="368" ht="14.25" customHeight="1">
      <c r="L368" s="19"/>
    </row>
    <row r="369" ht="14.25" customHeight="1">
      <c r="L369" s="19"/>
    </row>
    <row r="370" ht="14.25" customHeight="1">
      <c r="L370" s="19"/>
    </row>
    <row r="371" ht="14.25" customHeight="1">
      <c r="L371" s="19"/>
    </row>
    <row r="372" ht="14.25" customHeight="1">
      <c r="L372" s="19"/>
    </row>
    <row r="373" ht="14.25" customHeight="1">
      <c r="L373" s="19"/>
    </row>
    <row r="374" ht="14.25" customHeight="1">
      <c r="L374" s="19"/>
    </row>
    <row r="375" ht="14.25" customHeight="1">
      <c r="L375" s="19"/>
    </row>
    <row r="376" ht="14.25" customHeight="1">
      <c r="L376" s="19"/>
    </row>
    <row r="377" ht="14.25" customHeight="1">
      <c r="L377" s="19"/>
    </row>
    <row r="378" ht="14.25" customHeight="1">
      <c r="L378" s="19"/>
    </row>
    <row r="379" ht="14.25" customHeight="1">
      <c r="L379" s="19"/>
    </row>
    <row r="380" ht="14.25" customHeight="1">
      <c r="L380" s="19"/>
    </row>
    <row r="381" ht="14.25" customHeight="1">
      <c r="L381" s="19"/>
    </row>
    <row r="382" ht="14.25" customHeight="1">
      <c r="L382" s="19"/>
    </row>
    <row r="383" ht="14.25" customHeight="1">
      <c r="L383" s="19"/>
    </row>
    <row r="384" ht="14.25" customHeight="1">
      <c r="L384" s="19"/>
    </row>
    <row r="385" ht="14.25" customHeight="1">
      <c r="L385" s="19"/>
    </row>
    <row r="386" ht="14.25" customHeight="1">
      <c r="L386" s="19"/>
    </row>
    <row r="387" ht="14.25" customHeight="1">
      <c r="L387" s="19"/>
    </row>
    <row r="388" ht="14.25" customHeight="1">
      <c r="L388" s="19"/>
    </row>
    <row r="389" ht="14.25" customHeight="1">
      <c r="L389" s="19"/>
    </row>
    <row r="390" ht="14.25" customHeight="1">
      <c r="L390" s="19"/>
    </row>
    <row r="391" ht="14.25" customHeight="1">
      <c r="L391" s="19"/>
    </row>
    <row r="392" ht="14.25" customHeight="1">
      <c r="L392" s="19"/>
    </row>
    <row r="393" ht="14.25" customHeight="1">
      <c r="L393" s="19"/>
    </row>
    <row r="394" ht="14.25" customHeight="1">
      <c r="L394" s="19"/>
    </row>
    <row r="395" ht="14.25" customHeight="1">
      <c r="L395" s="19"/>
    </row>
    <row r="396" ht="14.25" customHeight="1">
      <c r="L396" s="19"/>
    </row>
    <row r="397" ht="14.25" customHeight="1">
      <c r="L397" s="19"/>
    </row>
    <row r="398" ht="14.25" customHeight="1">
      <c r="L398" s="19"/>
    </row>
    <row r="399" ht="14.25" customHeight="1">
      <c r="L399" s="19"/>
    </row>
    <row r="400" ht="14.25" customHeight="1">
      <c r="L400" s="19"/>
    </row>
    <row r="401" ht="14.25" customHeight="1">
      <c r="L401" s="19"/>
    </row>
    <row r="402" ht="14.25" customHeight="1">
      <c r="L402" s="19"/>
    </row>
    <row r="403" ht="14.25" customHeight="1">
      <c r="L403" s="19"/>
    </row>
    <row r="404" ht="14.25" customHeight="1">
      <c r="L404" s="19"/>
    </row>
    <row r="405" ht="14.25" customHeight="1">
      <c r="L405" s="19"/>
    </row>
    <row r="406" ht="14.25" customHeight="1">
      <c r="L406" s="19"/>
    </row>
    <row r="407" ht="14.25" customHeight="1">
      <c r="L407" s="19"/>
    </row>
    <row r="408" ht="14.25" customHeight="1">
      <c r="L408" s="19"/>
    </row>
    <row r="409" ht="14.25" customHeight="1">
      <c r="L409" s="19"/>
    </row>
    <row r="410" ht="14.25" customHeight="1">
      <c r="L410" s="19"/>
    </row>
    <row r="411" ht="14.25" customHeight="1">
      <c r="L411" s="19"/>
    </row>
    <row r="412" ht="14.25" customHeight="1">
      <c r="L412" s="19"/>
    </row>
    <row r="413" ht="14.25" customHeight="1">
      <c r="L413" s="19"/>
    </row>
    <row r="414" ht="14.25" customHeight="1">
      <c r="L414" s="19"/>
    </row>
    <row r="415" ht="14.25" customHeight="1">
      <c r="L415" s="19"/>
    </row>
    <row r="416" ht="14.25" customHeight="1">
      <c r="L416" s="19"/>
    </row>
    <row r="417" ht="14.25" customHeight="1">
      <c r="L417" s="19"/>
    </row>
    <row r="418" ht="14.25" customHeight="1">
      <c r="L418" s="19"/>
    </row>
    <row r="419" ht="14.25" customHeight="1">
      <c r="L419" s="19"/>
    </row>
    <row r="420" ht="14.25" customHeight="1">
      <c r="L420" s="19"/>
    </row>
    <row r="421" ht="14.25" customHeight="1">
      <c r="L421" s="19"/>
    </row>
    <row r="422" ht="14.25" customHeight="1">
      <c r="L422" s="19"/>
    </row>
    <row r="423" ht="14.25" customHeight="1">
      <c r="L423" s="19"/>
    </row>
    <row r="424" ht="14.25" customHeight="1">
      <c r="L424" s="19"/>
    </row>
    <row r="425" ht="14.25" customHeight="1">
      <c r="L425" s="19"/>
    </row>
    <row r="426" ht="14.25" customHeight="1">
      <c r="L426" s="19"/>
    </row>
    <row r="427" ht="14.25" customHeight="1">
      <c r="L427" s="19"/>
    </row>
    <row r="428" ht="14.25" customHeight="1">
      <c r="L428" s="19"/>
    </row>
    <row r="429" ht="14.25" customHeight="1">
      <c r="L429" s="19"/>
    </row>
    <row r="430" ht="14.25" customHeight="1">
      <c r="L430" s="19"/>
    </row>
    <row r="431" ht="14.25" customHeight="1">
      <c r="L431" s="19"/>
    </row>
    <row r="432" ht="14.25" customHeight="1">
      <c r="L432" s="19"/>
    </row>
    <row r="433" ht="14.25" customHeight="1">
      <c r="L433" s="19"/>
    </row>
    <row r="434" ht="14.25" customHeight="1">
      <c r="L434" s="19"/>
    </row>
    <row r="435" ht="14.25" customHeight="1">
      <c r="L435" s="19"/>
    </row>
    <row r="436" ht="14.25" customHeight="1">
      <c r="L436" s="19"/>
    </row>
    <row r="437" ht="14.25" customHeight="1">
      <c r="L437" s="19"/>
    </row>
    <row r="438" ht="14.25" customHeight="1">
      <c r="L438" s="19"/>
    </row>
    <row r="439" ht="14.25" customHeight="1">
      <c r="L439" s="19"/>
    </row>
    <row r="440" ht="14.25" customHeight="1">
      <c r="L440" s="19"/>
    </row>
    <row r="441" ht="14.25" customHeight="1">
      <c r="L441" s="19"/>
    </row>
    <row r="442" ht="14.25" customHeight="1">
      <c r="L442" s="19"/>
    </row>
    <row r="443" ht="14.25" customHeight="1">
      <c r="L443" s="19"/>
    </row>
    <row r="444" ht="14.25" customHeight="1">
      <c r="L444" s="19"/>
    </row>
    <row r="445" ht="14.25" customHeight="1">
      <c r="L445" s="19"/>
    </row>
    <row r="446" ht="14.25" customHeight="1">
      <c r="L446" s="19"/>
    </row>
    <row r="447" ht="14.25" customHeight="1">
      <c r="L447" s="19"/>
    </row>
    <row r="448" ht="14.25" customHeight="1">
      <c r="L448" s="19"/>
    </row>
    <row r="449" ht="14.25" customHeight="1">
      <c r="L449" s="19"/>
    </row>
    <row r="450" ht="14.25" customHeight="1">
      <c r="L450" s="19"/>
    </row>
    <row r="451" ht="14.25" customHeight="1">
      <c r="L451" s="19"/>
    </row>
    <row r="452" ht="14.25" customHeight="1">
      <c r="L452" s="19"/>
    </row>
    <row r="453" ht="14.25" customHeight="1">
      <c r="L453" s="19"/>
    </row>
    <row r="454" ht="14.25" customHeight="1">
      <c r="L454" s="19"/>
    </row>
    <row r="455" ht="14.25" customHeight="1">
      <c r="L455" s="19"/>
    </row>
    <row r="456" ht="14.25" customHeight="1">
      <c r="L456" s="19"/>
    </row>
    <row r="457" ht="14.25" customHeight="1">
      <c r="L457" s="19"/>
    </row>
    <row r="458" ht="14.25" customHeight="1">
      <c r="L458" s="19"/>
    </row>
    <row r="459" ht="14.25" customHeight="1">
      <c r="L459" s="19"/>
    </row>
    <row r="460" ht="14.25" customHeight="1">
      <c r="L460" s="19"/>
    </row>
    <row r="461" ht="14.25" customHeight="1">
      <c r="L461" s="19"/>
    </row>
    <row r="462" ht="14.25" customHeight="1">
      <c r="L462" s="19"/>
    </row>
    <row r="463" ht="14.25" customHeight="1">
      <c r="L463" s="19"/>
    </row>
    <row r="464" ht="14.25" customHeight="1">
      <c r="L464" s="19"/>
    </row>
    <row r="465" ht="14.25" customHeight="1">
      <c r="L465" s="19"/>
    </row>
    <row r="466" ht="14.25" customHeight="1">
      <c r="L466" s="19"/>
    </row>
    <row r="467" ht="14.25" customHeight="1">
      <c r="L467" s="19"/>
    </row>
    <row r="468" ht="14.25" customHeight="1">
      <c r="L468" s="19"/>
    </row>
    <row r="469" ht="14.25" customHeight="1">
      <c r="L469" s="19"/>
    </row>
    <row r="470" ht="14.25" customHeight="1">
      <c r="L470" s="19"/>
    </row>
    <row r="471" ht="14.25" customHeight="1">
      <c r="L471" s="19"/>
    </row>
    <row r="472" ht="14.25" customHeight="1">
      <c r="L472" s="19"/>
    </row>
    <row r="473" ht="14.25" customHeight="1">
      <c r="L473" s="19"/>
    </row>
    <row r="474" ht="14.25" customHeight="1">
      <c r="L474" s="19"/>
    </row>
    <row r="475" ht="14.25" customHeight="1">
      <c r="L475" s="19"/>
    </row>
    <row r="476" ht="14.25" customHeight="1">
      <c r="L476" s="19"/>
    </row>
    <row r="477" ht="14.25" customHeight="1">
      <c r="L477" s="19"/>
    </row>
    <row r="478" ht="14.25" customHeight="1">
      <c r="L478" s="19"/>
    </row>
    <row r="479" ht="14.25" customHeight="1">
      <c r="L479" s="19"/>
    </row>
    <row r="480" ht="14.25" customHeight="1">
      <c r="L480" s="19"/>
    </row>
    <row r="481" ht="14.25" customHeight="1">
      <c r="L481" s="19"/>
    </row>
    <row r="482" ht="14.25" customHeight="1">
      <c r="L482" s="19"/>
    </row>
    <row r="483" ht="14.25" customHeight="1">
      <c r="L483" s="19"/>
    </row>
    <row r="484" ht="14.25" customHeight="1">
      <c r="L484" s="19"/>
    </row>
    <row r="485" ht="14.25" customHeight="1">
      <c r="L485" s="19"/>
    </row>
    <row r="486" ht="14.25" customHeight="1">
      <c r="L486" s="19"/>
    </row>
    <row r="487" ht="14.25" customHeight="1">
      <c r="L487" s="19"/>
    </row>
    <row r="488" ht="14.25" customHeight="1">
      <c r="L488" s="19"/>
    </row>
    <row r="489" ht="14.25" customHeight="1">
      <c r="L489" s="19"/>
    </row>
    <row r="490" ht="14.25" customHeight="1">
      <c r="L490" s="19"/>
    </row>
    <row r="491" ht="14.25" customHeight="1">
      <c r="L491" s="19"/>
    </row>
    <row r="492" ht="14.25" customHeight="1">
      <c r="L492" s="19"/>
    </row>
    <row r="493" ht="14.25" customHeight="1">
      <c r="L493" s="19"/>
    </row>
    <row r="494" ht="14.25" customHeight="1">
      <c r="L494" s="19"/>
    </row>
    <row r="495" ht="14.25" customHeight="1">
      <c r="L495" s="19"/>
    </row>
    <row r="496" ht="14.25" customHeight="1">
      <c r="L496" s="19"/>
    </row>
    <row r="497" ht="14.25" customHeight="1">
      <c r="L497" s="19"/>
    </row>
    <row r="498" ht="14.25" customHeight="1">
      <c r="L498" s="19"/>
    </row>
    <row r="499" ht="14.25" customHeight="1">
      <c r="L499" s="19"/>
    </row>
    <row r="500" ht="14.25" customHeight="1">
      <c r="L500" s="19"/>
    </row>
    <row r="501" ht="14.25" customHeight="1">
      <c r="L501" s="19"/>
    </row>
    <row r="502" ht="14.25" customHeight="1">
      <c r="L502" s="19"/>
    </row>
    <row r="503" ht="14.25" customHeight="1">
      <c r="L503" s="19"/>
    </row>
    <row r="504" ht="14.25" customHeight="1">
      <c r="L504" s="19"/>
    </row>
    <row r="505" ht="14.25" customHeight="1">
      <c r="L505" s="19"/>
    </row>
    <row r="506" ht="14.25" customHeight="1">
      <c r="L506" s="19"/>
    </row>
    <row r="507" ht="14.25" customHeight="1">
      <c r="L507" s="19"/>
    </row>
    <row r="508" ht="14.25" customHeight="1">
      <c r="L508" s="19"/>
    </row>
    <row r="509" ht="14.25" customHeight="1">
      <c r="L509" s="19"/>
    </row>
    <row r="510" ht="14.25" customHeight="1">
      <c r="L510" s="19"/>
    </row>
    <row r="511" ht="14.25" customHeight="1">
      <c r="L511" s="19"/>
    </row>
    <row r="512" ht="14.25" customHeight="1">
      <c r="L512" s="19"/>
    </row>
    <row r="513" ht="14.25" customHeight="1">
      <c r="L513" s="19"/>
    </row>
    <row r="514" ht="14.25" customHeight="1">
      <c r="L514" s="19"/>
    </row>
    <row r="515" ht="14.25" customHeight="1">
      <c r="L515" s="19"/>
    </row>
    <row r="516" ht="14.25" customHeight="1">
      <c r="L516" s="19"/>
    </row>
    <row r="517" ht="14.25" customHeight="1">
      <c r="L517" s="19"/>
    </row>
    <row r="518" ht="14.25" customHeight="1">
      <c r="L518" s="19"/>
    </row>
    <row r="519" ht="14.25" customHeight="1">
      <c r="L519" s="19"/>
    </row>
    <row r="520" ht="14.25" customHeight="1">
      <c r="L520" s="19"/>
    </row>
    <row r="521" ht="14.25" customHeight="1">
      <c r="L521" s="19"/>
    </row>
    <row r="522" ht="14.25" customHeight="1">
      <c r="L522" s="19"/>
    </row>
    <row r="523" ht="14.25" customHeight="1">
      <c r="L523" s="19"/>
    </row>
    <row r="524" ht="14.25" customHeight="1">
      <c r="L524" s="19"/>
    </row>
    <row r="525" ht="14.25" customHeight="1">
      <c r="L525" s="19"/>
    </row>
    <row r="526" ht="14.25" customHeight="1">
      <c r="L526" s="19"/>
    </row>
    <row r="527" ht="14.25" customHeight="1">
      <c r="L527" s="19"/>
    </row>
    <row r="528" ht="14.25" customHeight="1">
      <c r="L528" s="19"/>
    </row>
    <row r="529" ht="14.25" customHeight="1">
      <c r="L529" s="19"/>
    </row>
    <row r="530" ht="14.25" customHeight="1">
      <c r="L530" s="19"/>
    </row>
    <row r="531" ht="14.25" customHeight="1">
      <c r="L531" s="19"/>
    </row>
    <row r="532" ht="14.25" customHeight="1">
      <c r="L532" s="19"/>
    </row>
    <row r="533" ht="14.25" customHeight="1">
      <c r="L533" s="19"/>
    </row>
    <row r="534" ht="14.25" customHeight="1">
      <c r="L534" s="19"/>
    </row>
    <row r="535" ht="14.25" customHeight="1">
      <c r="L535" s="19"/>
    </row>
    <row r="536" ht="14.25" customHeight="1">
      <c r="L536" s="19"/>
    </row>
    <row r="537" ht="14.25" customHeight="1">
      <c r="L537" s="19"/>
    </row>
    <row r="538" ht="14.25" customHeight="1">
      <c r="L538" s="19"/>
    </row>
    <row r="539" ht="14.25" customHeight="1">
      <c r="L539" s="19"/>
    </row>
    <row r="540" ht="14.25" customHeight="1">
      <c r="L540" s="19"/>
    </row>
    <row r="541" ht="14.25" customHeight="1">
      <c r="L541" s="19"/>
    </row>
    <row r="542" ht="14.25" customHeight="1">
      <c r="L542" s="19"/>
    </row>
    <row r="543" ht="14.25" customHeight="1">
      <c r="L543" s="19"/>
    </row>
    <row r="544" ht="14.25" customHeight="1">
      <c r="L544" s="19"/>
    </row>
    <row r="545" ht="14.25" customHeight="1">
      <c r="L545" s="19"/>
    </row>
    <row r="546" ht="14.25" customHeight="1">
      <c r="L546" s="19"/>
    </row>
    <row r="547" ht="14.25" customHeight="1">
      <c r="L547" s="19"/>
    </row>
    <row r="548" ht="14.25" customHeight="1">
      <c r="L548" s="19"/>
    </row>
    <row r="549" ht="14.25" customHeight="1">
      <c r="L549" s="19"/>
    </row>
    <row r="550" ht="14.25" customHeight="1">
      <c r="L550" s="19"/>
    </row>
    <row r="551" ht="14.25" customHeight="1">
      <c r="L551" s="19"/>
    </row>
    <row r="552" ht="14.25" customHeight="1">
      <c r="L552" s="19"/>
    </row>
    <row r="553" ht="14.25" customHeight="1">
      <c r="L553" s="19"/>
    </row>
    <row r="554" ht="14.25" customHeight="1">
      <c r="L554" s="19"/>
    </row>
    <row r="555" ht="14.25" customHeight="1">
      <c r="L555" s="19"/>
    </row>
    <row r="556" ht="14.25" customHeight="1">
      <c r="L556" s="19"/>
    </row>
    <row r="557" ht="14.25" customHeight="1">
      <c r="L557" s="19"/>
    </row>
    <row r="558" ht="14.25" customHeight="1">
      <c r="L558" s="19"/>
    </row>
    <row r="559" ht="14.25" customHeight="1">
      <c r="L559" s="19"/>
    </row>
    <row r="560" ht="14.25" customHeight="1">
      <c r="L560" s="19"/>
    </row>
    <row r="561" ht="14.25" customHeight="1">
      <c r="L561" s="19"/>
    </row>
    <row r="562" ht="14.25" customHeight="1">
      <c r="L562" s="19"/>
    </row>
    <row r="563" ht="14.25" customHeight="1">
      <c r="L563" s="19"/>
    </row>
    <row r="564" ht="14.25" customHeight="1">
      <c r="L564" s="19"/>
    </row>
    <row r="565" ht="14.25" customHeight="1">
      <c r="L565" s="19"/>
    </row>
    <row r="566" ht="14.25" customHeight="1">
      <c r="L566" s="19"/>
    </row>
    <row r="567" ht="14.25" customHeight="1">
      <c r="L567" s="19"/>
    </row>
    <row r="568" ht="14.25" customHeight="1">
      <c r="L568" s="19"/>
    </row>
    <row r="569" ht="14.25" customHeight="1">
      <c r="L569" s="19"/>
    </row>
    <row r="570" ht="14.25" customHeight="1">
      <c r="L570" s="19"/>
    </row>
    <row r="571" ht="14.25" customHeight="1">
      <c r="L571" s="19"/>
    </row>
    <row r="572" ht="14.25" customHeight="1">
      <c r="L572" s="19"/>
    </row>
    <row r="573" ht="14.25" customHeight="1">
      <c r="L573" s="19"/>
    </row>
    <row r="574" ht="14.25" customHeight="1">
      <c r="L574" s="19"/>
    </row>
    <row r="575" ht="14.25" customHeight="1">
      <c r="L575" s="19"/>
    </row>
    <row r="576" ht="14.25" customHeight="1">
      <c r="L576" s="19"/>
    </row>
    <row r="577" ht="14.25" customHeight="1">
      <c r="L577" s="19"/>
    </row>
    <row r="578" ht="14.25" customHeight="1">
      <c r="L578" s="19"/>
    </row>
    <row r="579" ht="14.25" customHeight="1">
      <c r="L579" s="19"/>
    </row>
    <row r="580" ht="14.25" customHeight="1">
      <c r="L580" s="19"/>
    </row>
    <row r="581" ht="14.25" customHeight="1">
      <c r="L581" s="19"/>
    </row>
    <row r="582" ht="14.25" customHeight="1">
      <c r="L582" s="19"/>
    </row>
    <row r="583" ht="14.25" customHeight="1">
      <c r="L583" s="19"/>
    </row>
    <row r="584" ht="14.25" customHeight="1">
      <c r="L584" s="19"/>
    </row>
    <row r="585" ht="14.25" customHeight="1">
      <c r="L585" s="19"/>
    </row>
    <row r="586" ht="14.25" customHeight="1">
      <c r="L586" s="19"/>
    </row>
    <row r="587" ht="14.25" customHeight="1">
      <c r="L587" s="19"/>
    </row>
    <row r="588" ht="14.25" customHeight="1">
      <c r="L588" s="19"/>
    </row>
    <row r="589" ht="14.25" customHeight="1">
      <c r="L589" s="19"/>
    </row>
    <row r="590" ht="14.25" customHeight="1">
      <c r="L590" s="19"/>
    </row>
    <row r="591" ht="14.25" customHeight="1">
      <c r="L591" s="19"/>
    </row>
    <row r="592" ht="14.25" customHeight="1">
      <c r="L592" s="19"/>
    </row>
    <row r="593" ht="14.25" customHeight="1">
      <c r="L593" s="19"/>
    </row>
    <row r="594" ht="14.25" customHeight="1">
      <c r="L594" s="19"/>
    </row>
    <row r="595" ht="14.25" customHeight="1">
      <c r="L595" s="19"/>
    </row>
    <row r="596" ht="14.25" customHeight="1">
      <c r="L596" s="19"/>
    </row>
    <row r="597" ht="14.25" customHeight="1">
      <c r="L597" s="19"/>
    </row>
    <row r="598" ht="14.25" customHeight="1">
      <c r="L598" s="19"/>
    </row>
    <row r="599" ht="14.25" customHeight="1">
      <c r="L599" s="19"/>
    </row>
    <row r="600" ht="14.25" customHeight="1">
      <c r="L600" s="19"/>
    </row>
    <row r="601" ht="14.25" customHeight="1">
      <c r="L601" s="19"/>
    </row>
    <row r="602" ht="14.25" customHeight="1">
      <c r="L602" s="19"/>
    </row>
    <row r="603" ht="14.25" customHeight="1">
      <c r="L603" s="19"/>
    </row>
    <row r="604" ht="14.25" customHeight="1">
      <c r="L604" s="19"/>
    </row>
    <row r="605" ht="14.25" customHeight="1">
      <c r="L605" s="19"/>
    </row>
    <row r="606" ht="14.25" customHeight="1">
      <c r="L606" s="19"/>
    </row>
    <row r="607" ht="14.25" customHeight="1">
      <c r="L607" s="19"/>
    </row>
    <row r="608" ht="14.25" customHeight="1">
      <c r="L608" s="19"/>
    </row>
    <row r="609" ht="14.25" customHeight="1">
      <c r="L609" s="19"/>
    </row>
    <row r="610" ht="14.25" customHeight="1">
      <c r="L610" s="19"/>
    </row>
    <row r="611" ht="14.25" customHeight="1">
      <c r="L611" s="19"/>
    </row>
    <row r="612" ht="14.25" customHeight="1">
      <c r="L612" s="19"/>
    </row>
    <row r="613" ht="14.25" customHeight="1">
      <c r="L613" s="19"/>
    </row>
    <row r="614" ht="14.25" customHeight="1">
      <c r="L614" s="19"/>
    </row>
    <row r="615" ht="14.25" customHeight="1">
      <c r="L615" s="19"/>
    </row>
    <row r="616" ht="14.25" customHeight="1">
      <c r="L616" s="19"/>
    </row>
    <row r="617" ht="14.25" customHeight="1">
      <c r="L617" s="19"/>
    </row>
    <row r="618" ht="14.25" customHeight="1">
      <c r="L618" s="19"/>
    </row>
    <row r="619" ht="14.25" customHeight="1">
      <c r="L619" s="19"/>
    </row>
    <row r="620" ht="14.25" customHeight="1">
      <c r="L620" s="19"/>
    </row>
    <row r="621" ht="14.25" customHeight="1">
      <c r="L621" s="19"/>
    </row>
    <row r="622" ht="14.25" customHeight="1">
      <c r="L622" s="19"/>
    </row>
    <row r="623" ht="14.25" customHeight="1">
      <c r="L623" s="19"/>
    </row>
    <row r="624" ht="14.25" customHeight="1">
      <c r="L624" s="19"/>
    </row>
    <row r="625" ht="14.25" customHeight="1">
      <c r="L625" s="19"/>
    </row>
    <row r="626" ht="14.25" customHeight="1">
      <c r="L626" s="19"/>
    </row>
    <row r="627" ht="14.25" customHeight="1">
      <c r="L627" s="19"/>
    </row>
    <row r="628" ht="14.25" customHeight="1">
      <c r="L628" s="19"/>
    </row>
    <row r="629" ht="14.25" customHeight="1">
      <c r="L629" s="19"/>
    </row>
    <row r="630" ht="14.25" customHeight="1">
      <c r="L630" s="19"/>
    </row>
    <row r="631" ht="14.25" customHeight="1">
      <c r="L631" s="19"/>
    </row>
    <row r="632" ht="14.25" customHeight="1">
      <c r="L632" s="19"/>
    </row>
    <row r="633" ht="14.25" customHeight="1">
      <c r="L633" s="19"/>
    </row>
    <row r="634" ht="14.25" customHeight="1">
      <c r="L634" s="19"/>
    </row>
    <row r="635" ht="14.25" customHeight="1">
      <c r="L635" s="19"/>
    </row>
    <row r="636" ht="14.25" customHeight="1">
      <c r="L636" s="19"/>
    </row>
    <row r="637" ht="14.25" customHeight="1">
      <c r="L637" s="19"/>
    </row>
    <row r="638" ht="14.25" customHeight="1">
      <c r="L638" s="19"/>
    </row>
    <row r="639" ht="14.25" customHeight="1">
      <c r="L639" s="19"/>
    </row>
    <row r="640" ht="14.25" customHeight="1">
      <c r="L640" s="19"/>
    </row>
    <row r="641" ht="14.25" customHeight="1">
      <c r="L641" s="19"/>
    </row>
    <row r="642" ht="14.25" customHeight="1">
      <c r="L642" s="19"/>
    </row>
    <row r="643" ht="14.25" customHeight="1">
      <c r="L643" s="19"/>
    </row>
    <row r="644" ht="14.25" customHeight="1">
      <c r="L644" s="19"/>
    </row>
    <row r="645" ht="14.25" customHeight="1">
      <c r="L645" s="19"/>
    </row>
    <row r="646" ht="14.25" customHeight="1">
      <c r="L646" s="19"/>
    </row>
    <row r="647" ht="14.25" customHeight="1">
      <c r="L647" s="19"/>
    </row>
    <row r="648" ht="14.25" customHeight="1">
      <c r="L648" s="19"/>
    </row>
    <row r="649" ht="14.25" customHeight="1">
      <c r="L649" s="19"/>
    </row>
    <row r="650" ht="14.25" customHeight="1">
      <c r="L650" s="19"/>
    </row>
    <row r="651" ht="14.25" customHeight="1">
      <c r="L651" s="19"/>
    </row>
    <row r="652" ht="14.25" customHeight="1">
      <c r="L652" s="19"/>
    </row>
    <row r="653" ht="14.25" customHeight="1">
      <c r="L653" s="19"/>
    </row>
    <row r="654" ht="14.25" customHeight="1">
      <c r="L654" s="19"/>
    </row>
    <row r="655" ht="14.25" customHeight="1">
      <c r="L655" s="19"/>
    </row>
    <row r="656" ht="14.25" customHeight="1">
      <c r="L656" s="19"/>
    </row>
    <row r="657" ht="14.25" customHeight="1">
      <c r="L657" s="19"/>
    </row>
    <row r="658" ht="14.25" customHeight="1">
      <c r="L658" s="19"/>
    </row>
    <row r="659" ht="14.25" customHeight="1">
      <c r="L659" s="19"/>
    </row>
    <row r="660" ht="14.25" customHeight="1">
      <c r="L660" s="19"/>
    </row>
    <row r="661" ht="14.25" customHeight="1">
      <c r="L661" s="19"/>
    </row>
    <row r="662" ht="14.25" customHeight="1">
      <c r="L662" s="19"/>
    </row>
    <row r="663" ht="14.25" customHeight="1">
      <c r="L663" s="19"/>
    </row>
    <row r="664" ht="14.25" customHeight="1">
      <c r="L664" s="19"/>
    </row>
    <row r="665" ht="14.25" customHeight="1">
      <c r="L665" s="19"/>
    </row>
    <row r="666" ht="14.25" customHeight="1">
      <c r="L666" s="19"/>
    </row>
    <row r="667" ht="14.25" customHeight="1">
      <c r="L667" s="19"/>
    </row>
    <row r="668" ht="14.25" customHeight="1">
      <c r="L668" s="19"/>
    </row>
    <row r="669" ht="14.25" customHeight="1">
      <c r="L669" s="19"/>
    </row>
    <row r="670" ht="14.25" customHeight="1">
      <c r="L670" s="19"/>
    </row>
    <row r="671" ht="14.25" customHeight="1">
      <c r="L671" s="19"/>
    </row>
    <row r="672" ht="14.25" customHeight="1">
      <c r="L672" s="19"/>
    </row>
    <row r="673" ht="14.25" customHeight="1">
      <c r="L673" s="19"/>
    </row>
    <row r="674" ht="14.25" customHeight="1">
      <c r="L674" s="19"/>
    </row>
    <row r="675" ht="14.25" customHeight="1">
      <c r="L675" s="19"/>
    </row>
    <row r="676" ht="14.25" customHeight="1">
      <c r="L676" s="19"/>
    </row>
    <row r="677" ht="14.25" customHeight="1">
      <c r="L677" s="19"/>
    </row>
    <row r="678" ht="14.25" customHeight="1">
      <c r="L678" s="19"/>
    </row>
    <row r="679" ht="14.25" customHeight="1">
      <c r="L679" s="19"/>
    </row>
    <row r="680" ht="14.25" customHeight="1">
      <c r="L680" s="19"/>
    </row>
    <row r="681" ht="14.25" customHeight="1">
      <c r="L681" s="19"/>
    </row>
    <row r="682" ht="14.25" customHeight="1">
      <c r="L682" s="19"/>
    </row>
    <row r="683" ht="14.25" customHeight="1">
      <c r="L683" s="19"/>
    </row>
    <row r="684" ht="14.25" customHeight="1">
      <c r="L684" s="19"/>
    </row>
    <row r="685" ht="14.25" customHeight="1">
      <c r="L685" s="19"/>
    </row>
    <row r="686" ht="14.25" customHeight="1">
      <c r="L686" s="19"/>
    </row>
    <row r="687" ht="14.25" customHeight="1">
      <c r="L687" s="19"/>
    </row>
    <row r="688" ht="14.25" customHeight="1">
      <c r="L688" s="19"/>
    </row>
    <row r="689" ht="14.25" customHeight="1">
      <c r="L689" s="19"/>
    </row>
    <row r="690" ht="14.25" customHeight="1">
      <c r="L690" s="19"/>
    </row>
    <row r="691" ht="14.25" customHeight="1">
      <c r="L691" s="19"/>
    </row>
    <row r="692" ht="14.25" customHeight="1">
      <c r="L692" s="19"/>
    </row>
    <row r="693" ht="14.25" customHeight="1">
      <c r="L693" s="19"/>
    </row>
    <row r="694" ht="14.25" customHeight="1">
      <c r="L694" s="19"/>
    </row>
    <row r="695" ht="14.25" customHeight="1">
      <c r="L695" s="19"/>
    </row>
    <row r="696" ht="14.25" customHeight="1">
      <c r="L696" s="19"/>
    </row>
    <row r="697" ht="14.25" customHeight="1">
      <c r="L697" s="19"/>
    </row>
    <row r="698" ht="14.25" customHeight="1">
      <c r="L698" s="19"/>
    </row>
    <row r="699" ht="14.25" customHeight="1">
      <c r="L699" s="19"/>
    </row>
    <row r="700" ht="14.25" customHeight="1">
      <c r="L700" s="19"/>
    </row>
    <row r="701" ht="14.25" customHeight="1">
      <c r="L701" s="19"/>
    </row>
    <row r="702" ht="14.25" customHeight="1">
      <c r="L702" s="19"/>
    </row>
    <row r="703" ht="14.25" customHeight="1">
      <c r="L703" s="19"/>
    </row>
    <row r="704" ht="14.25" customHeight="1">
      <c r="L704" s="19"/>
    </row>
    <row r="705" ht="14.25" customHeight="1">
      <c r="L705" s="19"/>
    </row>
    <row r="706" ht="14.25" customHeight="1">
      <c r="L706" s="19"/>
    </row>
    <row r="707" ht="14.25" customHeight="1">
      <c r="L707" s="19"/>
    </row>
    <row r="708" ht="14.25" customHeight="1">
      <c r="L708" s="19"/>
    </row>
    <row r="709" ht="14.25" customHeight="1">
      <c r="L709" s="19"/>
    </row>
    <row r="710" ht="14.25" customHeight="1">
      <c r="L710" s="19"/>
    </row>
    <row r="711" ht="14.25" customHeight="1">
      <c r="L711" s="19"/>
    </row>
    <row r="712" ht="14.25" customHeight="1">
      <c r="L712" s="19"/>
    </row>
    <row r="713" ht="14.25" customHeight="1">
      <c r="L713" s="19"/>
    </row>
    <row r="714" ht="14.25" customHeight="1">
      <c r="L714" s="19"/>
    </row>
    <row r="715" ht="14.25" customHeight="1">
      <c r="L715" s="19"/>
    </row>
    <row r="716" ht="14.25" customHeight="1">
      <c r="L716" s="19"/>
    </row>
    <row r="717" ht="14.25" customHeight="1">
      <c r="L717" s="19"/>
    </row>
    <row r="718" ht="14.25" customHeight="1">
      <c r="L718" s="19"/>
    </row>
    <row r="719" ht="14.25" customHeight="1">
      <c r="L719" s="19"/>
    </row>
    <row r="720" ht="14.25" customHeight="1">
      <c r="L720" s="19"/>
    </row>
    <row r="721" ht="14.25" customHeight="1">
      <c r="L721" s="19"/>
    </row>
    <row r="722" ht="14.25" customHeight="1">
      <c r="L722" s="19"/>
    </row>
    <row r="723" ht="14.25" customHeight="1">
      <c r="L723" s="19"/>
    </row>
    <row r="724" ht="14.25" customHeight="1">
      <c r="L724" s="19"/>
    </row>
    <row r="725" ht="14.25" customHeight="1">
      <c r="L725" s="19"/>
    </row>
    <row r="726" ht="14.25" customHeight="1">
      <c r="L726" s="19"/>
    </row>
    <row r="727" ht="14.25" customHeight="1">
      <c r="L727" s="19"/>
    </row>
    <row r="728" ht="14.25" customHeight="1">
      <c r="L728" s="19"/>
    </row>
    <row r="729" ht="14.25" customHeight="1">
      <c r="L729" s="19"/>
    </row>
    <row r="730" ht="14.25" customHeight="1">
      <c r="L730" s="19"/>
    </row>
    <row r="731" ht="14.25" customHeight="1">
      <c r="L731" s="19"/>
    </row>
    <row r="732" ht="14.25" customHeight="1">
      <c r="L732" s="19"/>
    </row>
    <row r="733" ht="14.25" customHeight="1">
      <c r="L733" s="19"/>
    </row>
    <row r="734" ht="14.25" customHeight="1">
      <c r="L734" s="19"/>
    </row>
    <row r="735" ht="14.25" customHeight="1">
      <c r="L735" s="19"/>
    </row>
    <row r="736" ht="14.25" customHeight="1">
      <c r="L736" s="19"/>
    </row>
    <row r="737" ht="14.25" customHeight="1">
      <c r="L737" s="19"/>
    </row>
    <row r="738" ht="14.25" customHeight="1">
      <c r="L738" s="19"/>
    </row>
    <row r="739" ht="14.25" customHeight="1">
      <c r="L739" s="19"/>
    </row>
    <row r="740" ht="14.25" customHeight="1">
      <c r="L740" s="19"/>
    </row>
    <row r="741" ht="14.25" customHeight="1">
      <c r="L741" s="19"/>
    </row>
    <row r="742" ht="14.25" customHeight="1">
      <c r="L742" s="19"/>
    </row>
    <row r="743" ht="14.25" customHeight="1">
      <c r="L743" s="19"/>
    </row>
    <row r="744" ht="14.25" customHeight="1">
      <c r="L744" s="19"/>
    </row>
    <row r="745" ht="14.25" customHeight="1">
      <c r="L745" s="19"/>
    </row>
    <row r="746" ht="14.25" customHeight="1">
      <c r="L746" s="19"/>
    </row>
    <row r="747" ht="14.25" customHeight="1">
      <c r="L747" s="19"/>
    </row>
    <row r="748" ht="14.25" customHeight="1">
      <c r="L748" s="19"/>
    </row>
    <row r="749" ht="14.25" customHeight="1">
      <c r="L749" s="19"/>
    </row>
    <row r="750" ht="14.25" customHeight="1">
      <c r="L750" s="19"/>
    </row>
    <row r="751" ht="14.25" customHeight="1">
      <c r="L751" s="19"/>
    </row>
    <row r="752" ht="14.25" customHeight="1">
      <c r="L752" s="19"/>
    </row>
    <row r="753" ht="14.25" customHeight="1">
      <c r="L753" s="19"/>
    </row>
    <row r="754" ht="14.25" customHeight="1">
      <c r="L754" s="19"/>
    </row>
    <row r="755" ht="14.25" customHeight="1">
      <c r="L755" s="19"/>
    </row>
    <row r="756" ht="14.25" customHeight="1">
      <c r="L756" s="19"/>
    </row>
    <row r="757" ht="14.25" customHeight="1">
      <c r="L757" s="19"/>
    </row>
    <row r="758" ht="14.25" customHeight="1">
      <c r="L758" s="19"/>
    </row>
    <row r="759" ht="14.25" customHeight="1">
      <c r="L759" s="19"/>
    </row>
    <row r="760" ht="14.25" customHeight="1">
      <c r="L760" s="19"/>
    </row>
    <row r="761" ht="14.25" customHeight="1">
      <c r="L761" s="19"/>
    </row>
    <row r="762" ht="14.25" customHeight="1">
      <c r="L762" s="19"/>
    </row>
    <row r="763" ht="14.25" customHeight="1">
      <c r="L763" s="19"/>
    </row>
    <row r="764" ht="14.25" customHeight="1">
      <c r="L764" s="19"/>
    </row>
    <row r="765" ht="14.25" customHeight="1">
      <c r="L765" s="19"/>
    </row>
    <row r="766" ht="14.25" customHeight="1">
      <c r="L766" s="19"/>
    </row>
    <row r="767" ht="14.25" customHeight="1">
      <c r="L767" s="19"/>
    </row>
    <row r="768" ht="14.25" customHeight="1">
      <c r="L768" s="19"/>
    </row>
    <row r="769" ht="14.25" customHeight="1">
      <c r="L769" s="19"/>
    </row>
    <row r="770" ht="14.25" customHeight="1">
      <c r="L770" s="19"/>
    </row>
    <row r="771" ht="14.25" customHeight="1">
      <c r="L771" s="19"/>
    </row>
    <row r="772" ht="14.25" customHeight="1">
      <c r="L772" s="19"/>
    </row>
    <row r="773" ht="14.25" customHeight="1">
      <c r="L773" s="19"/>
    </row>
    <row r="774" ht="14.25" customHeight="1">
      <c r="L774" s="19"/>
    </row>
    <row r="775" ht="14.25" customHeight="1">
      <c r="L775" s="19"/>
    </row>
    <row r="776" ht="14.25" customHeight="1">
      <c r="L776" s="19"/>
    </row>
    <row r="777" ht="14.25" customHeight="1">
      <c r="L777" s="19"/>
    </row>
    <row r="778" ht="14.25" customHeight="1">
      <c r="L778" s="19"/>
    </row>
    <row r="779" ht="14.25" customHeight="1">
      <c r="L779" s="19"/>
    </row>
    <row r="780" ht="14.25" customHeight="1">
      <c r="L780" s="19"/>
    </row>
    <row r="781" ht="14.25" customHeight="1">
      <c r="L781" s="19"/>
    </row>
    <row r="782" ht="14.25" customHeight="1">
      <c r="L782" s="19"/>
    </row>
    <row r="783" ht="14.25" customHeight="1">
      <c r="L783" s="19"/>
    </row>
    <row r="784" ht="14.25" customHeight="1">
      <c r="L784" s="19"/>
    </row>
    <row r="785" ht="14.25" customHeight="1">
      <c r="L785" s="19"/>
    </row>
    <row r="786" ht="14.25" customHeight="1">
      <c r="L786" s="19"/>
    </row>
    <row r="787" ht="14.25" customHeight="1">
      <c r="L787" s="19"/>
    </row>
    <row r="788" ht="14.25" customHeight="1">
      <c r="L788" s="19"/>
    </row>
    <row r="789" ht="14.25" customHeight="1">
      <c r="L789" s="19"/>
    </row>
    <row r="790" ht="14.25" customHeight="1">
      <c r="L790" s="19"/>
    </row>
    <row r="791" ht="14.25" customHeight="1">
      <c r="L791" s="19"/>
    </row>
    <row r="792" ht="14.25" customHeight="1">
      <c r="L792" s="19"/>
    </row>
    <row r="793" ht="14.25" customHeight="1">
      <c r="L793" s="19"/>
    </row>
    <row r="794" ht="14.25" customHeight="1">
      <c r="L794" s="19"/>
    </row>
    <row r="795" ht="14.25" customHeight="1">
      <c r="L795" s="19"/>
    </row>
    <row r="796" ht="14.25" customHeight="1">
      <c r="L796" s="19"/>
    </row>
    <row r="797" ht="14.25" customHeight="1">
      <c r="L797" s="19"/>
    </row>
    <row r="798" ht="14.25" customHeight="1">
      <c r="L798" s="19"/>
    </row>
    <row r="799" ht="14.25" customHeight="1">
      <c r="L799" s="19"/>
    </row>
    <row r="800" ht="14.25" customHeight="1">
      <c r="L800" s="19"/>
    </row>
    <row r="801" ht="14.25" customHeight="1">
      <c r="L801" s="19"/>
    </row>
    <row r="802" ht="14.25" customHeight="1">
      <c r="L802" s="19"/>
    </row>
    <row r="803" ht="14.25" customHeight="1">
      <c r="L803" s="19"/>
    </row>
    <row r="804" ht="14.25" customHeight="1">
      <c r="L804" s="19"/>
    </row>
    <row r="805" ht="14.25" customHeight="1">
      <c r="L805" s="19"/>
    </row>
    <row r="806" ht="14.25" customHeight="1">
      <c r="L806" s="19"/>
    </row>
    <row r="807" ht="14.25" customHeight="1">
      <c r="L807" s="19"/>
    </row>
    <row r="808" ht="14.25" customHeight="1">
      <c r="L808" s="19"/>
    </row>
    <row r="809" ht="14.25" customHeight="1">
      <c r="L809" s="19"/>
    </row>
    <row r="810" ht="14.25" customHeight="1">
      <c r="L810" s="19"/>
    </row>
    <row r="811" ht="14.25" customHeight="1">
      <c r="L811" s="19"/>
    </row>
    <row r="812" ht="14.25" customHeight="1">
      <c r="L812" s="19"/>
    </row>
    <row r="813" ht="14.25" customHeight="1">
      <c r="L813" s="19"/>
    </row>
    <row r="814" ht="14.25" customHeight="1">
      <c r="L814" s="19"/>
    </row>
    <row r="815" ht="14.25" customHeight="1">
      <c r="L815" s="19"/>
    </row>
    <row r="816" ht="14.25" customHeight="1">
      <c r="L816" s="19"/>
    </row>
    <row r="817" ht="14.25" customHeight="1">
      <c r="L817" s="19"/>
    </row>
    <row r="818" ht="14.25" customHeight="1">
      <c r="L818" s="19"/>
    </row>
    <row r="819" ht="14.25" customHeight="1">
      <c r="L819" s="19"/>
    </row>
    <row r="820" ht="14.25" customHeight="1">
      <c r="L820" s="19"/>
    </row>
    <row r="821" ht="14.25" customHeight="1">
      <c r="L821" s="19"/>
    </row>
    <row r="822" ht="14.25" customHeight="1">
      <c r="L822" s="19"/>
    </row>
    <row r="823" ht="14.25" customHeight="1">
      <c r="L823" s="19"/>
    </row>
    <row r="824" ht="14.25" customHeight="1">
      <c r="L824" s="19"/>
    </row>
    <row r="825" ht="14.25" customHeight="1">
      <c r="L825" s="19"/>
    </row>
    <row r="826" ht="14.25" customHeight="1">
      <c r="L826" s="19"/>
    </row>
    <row r="827" ht="14.25" customHeight="1">
      <c r="L827" s="19"/>
    </row>
    <row r="828" ht="14.25" customHeight="1">
      <c r="L828" s="19"/>
    </row>
    <row r="829" ht="14.25" customHeight="1">
      <c r="L829" s="19"/>
    </row>
    <row r="830" ht="14.25" customHeight="1">
      <c r="L830" s="19"/>
    </row>
    <row r="831" ht="14.25" customHeight="1">
      <c r="L831" s="19"/>
    </row>
    <row r="832" ht="14.25" customHeight="1">
      <c r="L832" s="19"/>
    </row>
    <row r="833" ht="14.25" customHeight="1">
      <c r="L833" s="19"/>
    </row>
    <row r="834" ht="14.25" customHeight="1">
      <c r="L834" s="19"/>
    </row>
    <row r="835" ht="14.25" customHeight="1">
      <c r="L835" s="19"/>
    </row>
    <row r="836" ht="14.25" customHeight="1">
      <c r="L836" s="19"/>
    </row>
    <row r="837" ht="14.25" customHeight="1">
      <c r="L837" s="19"/>
    </row>
    <row r="838" ht="14.25" customHeight="1">
      <c r="L838" s="19"/>
    </row>
    <row r="839" ht="14.25" customHeight="1">
      <c r="L839" s="19"/>
    </row>
    <row r="840" ht="14.25" customHeight="1">
      <c r="L840" s="19"/>
    </row>
    <row r="841" ht="14.25" customHeight="1">
      <c r="L841" s="19"/>
    </row>
    <row r="842" ht="14.25" customHeight="1">
      <c r="L842" s="19"/>
    </row>
    <row r="843" ht="14.25" customHeight="1">
      <c r="L843" s="19"/>
    </row>
    <row r="844" ht="14.25" customHeight="1">
      <c r="L844" s="19"/>
    </row>
    <row r="845" ht="14.25" customHeight="1">
      <c r="L845" s="19"/>
    </row>
    <row r="846" ht="14.25" customHeight="1">
      <c r="L846" s="19"/>
    </row>
    <row r="847" ht="14.25" customHeight="1">
      <c r="L847" s="19"/>
    </row>
    <row r="848" ht="14.25" customHeight="1">
      <c r="L848" s="19"/>
    </row>
    <row r="849" ht="14.25" customHeight="1">
      <c r="L849" s="19"/>
    </row>
    <row r="850" ht="14.25" customHeight="1">
      <c r="L850" s="19"/>
    </row>
    <row r="851" ht="14.25" customHeight="1">
      <c r="L851" s="19"/>
    </row>
    <row r="852" ht="14.25" customHeight="1">
      <c r="L852" s="19"/>
    </row>
    <row r="853" ht="14.25" customHeight="1">
      <c r="L853" s="19"/>
    </row>
    <row r="854" ht="14.25" customHeight="1">
      <c r="L854" s="19"/>
    </row>
    <row r="855" ht="14.25" customHeight="1">
      <c r="L855" s="19"/>
    </row>
    <row r="856" ht="14.25" customHeight="1">
      <c r="L856" s="19"/>
    </row>
    <row r="857" ht="14.25" customHeight="1">
      <c r="L857" s="19"/>
    </row>
    <row r="858" ht="14.25" customHeight="1">
      <c r="L858" s="19"/>
    </row>
    <row r="859" ht="14.25" customHeight="1">
      <c r="L859" s="19"/>
    </row>
    <row r="860" ht="14.25" customHeight="1">
      <c r="L860" s="19"/>
    </row>
    <row r="861" ht="14.25" customHeight="1">
      <c r="L861" s="19"/>
    </row>
    <row r="862" ht="14.25" customHeight="1">
      <c r="L862" s="19"/>
    </row>
    <row r="863" ht="14.25" customHeight="1">
      <c r="L863" s="19"/>
    </row>
    <row r="864" ht="14.25" customHeight="1">
      <c r="L864" s="19"/>
    </row>
    <row r="865" ht="14.25" customHeight="1">
      <c r="L865" s="19"/>
    </row>
    <row r="866" ht="14.25" customHeight="1">
      <c r="L866" s="19"/>
    </row>
    <row r="867" ht="14.25" customHeight="1">
      <c r="L867" s="19"/>
    </row>
    <row r="868" ht="14.25" customHeight="1">
      <c r="L868" s="19"/>
    </row>
    <row r="869" ht="14.25" customHeight="1">
      <c r="L869" s="19"/>
    </row>
    <row r="870" ht="14.25" customHeight="1">
      <c r="L870" s="19"/>
    </row>
    <row r="871" ht="14.25" customHeight="1">
      <c r="L871" s="19"/>
    </row>
    <row r="872" ht="14.25" customHeight="1">
      <c r="L872" s="19"/>
    </row>
    <row r="873" ht="14.25" customHeight="1">
      <c r="L873" s="19"/>
    </row>
    <row r="874" ht="14.25" customHeight="1">
      <c r="L874" s="19"/>
    </row>
    <row r="875" ht="14.25" customHeight="1">
      <c r="L875" s="19"/>
    </row>
    <row r="876" ht="14.25" customHeight="1">
      <c r="L876" s="19"/>
    </row>
    <row r="877" ht="14.25" customHeight="1">
      <c r="L877" s="19"/>
    </row>
    <row r="878" ht="14.25" customHeight="1">
      <c r="L878" s="19"/>
    </row>
    <row r="879" ht="14.25" customHeight="1">
      <c r="L879" s="19"/>
    </row>
    <row r="880" ht="14.25" customHeight="1">
      <c r="L880" s="19"/>
    </row>
    <row r="881" ht="14.25" customHeight="1">
      <c r="L881" s="19"/>
    </row>
    <row r="882" ht="14.25" customHeight="1">
      <c r="L882" s="19"/>
    </row>
    <row r="883" ht="14.25" customHeight="1">
      <c r="L883" s="19"/>
    </row>
    <row r="884" ht="14.25" customHeight="1">
      <c r="L884" s="19"/>
    </row>
    <row r="885" ht="14.25" customHeight="1">
      <c r="L885" s="19"/>
    </row>
    <row r="886" ht="14.25" customHeight="1">
      <c r="L886" s="19"/>
    </row>
    <row r="887" ht="14.25" customHeight="1">
      <c r="L887" s="19"/>
    </row>
    <row r="888" ht="14.25" customHeight="1">
      <c r="L888" s="19"/>
    </row>
    <row r="889" ht="14.25" customHeight="1">
      <c r="L889" s="19"/>
    </row>
    <row r="890" ht="14.25" customHeight="1">
      <c r="L890" s="19"/>
    </row>
    <row r="891" ht="14.25" customHeight="1">
      <c r="L891" s="19"/>
    </row>
    <row r="892" ht="14.25" customHeight="1">
      <c r="L892" s="19"/>
    </row>
    <row r="893" ht="14.25" customHeight="1">
      <c r="L893" s="19"/>
    </row>
    <row r="894" ht="14.25" customHeight="1">
      <c r="L894" s="19"/>
    </row>
    <row r="895" ht="14.25" customHeight="1">
      <c r="L895" s="19"/>
    </row>
    <row r="896" ht="14.25" customHeight="1">
      <c r="L896" s="19"/>
    </row>
    <row r="897" ht="14.25" customHeight="1">
      <c r="L897" s="19"/>
    </row>
    <row r="898" ht="14.25" customHeight="1">
      <c r="L898" s="19"/>
    </row>
    <row r="899" ht="14.25" customHeight="1">
      <c r="L899" s="19"/>
    </row>
    <row r="900" ht="14.25" customHeight="1">
      <c r="L900" s="19"/>
    </row>
    <row r="901" ht="14.25" customHeight="1">
      <c r="L901" s="19"/>
    </row>
    <row r="902" ht="14.25" customHeight="1">
      <c r="L902" s="19"/>
    </row>
    <row r="903" ht="14.25" customHeight="1">
      <c r="L903" s="19"/>
    </row>
    <row r="904" ht="14.25" customHeight="1">
      <c r="L904" s="19"/>
    </row>
    <row r="905" ht="14.25" customHeight="1">
      <c r="L905" s="19"/>
    </row>
    <row r="906" ht="14.25" customHeight="1">
      <c r="L906" s="19"/>
    </row>
    <row r="907" ht="14.25" customHeight="1">
      <c r="L907" s="19"/>
    </row>
    <row r="908" ht="14.25" customHeight="1">
      <c r="L908" s="19"/>
    </row>
    <row r="909" ht="14.25" customHeight="1">
      <c r="L909" s="19"/>
    </row>
    <row r="910" ht="14.25" customHeight="1">
      <c r="L910" s="19"/>
    </row>
    <row r="911" ht="14.25" customHeight="1">
      <c r="L911" s="19"/>
    </row>
    <row r="912" ht="14.25" customHeight="1">
      <c r="L912" s="19"/>
    </row>
    <row r="913" ht="14.25" customHeight="1">
      <c r="L913" s="19"/>
    </row>
    <row r="914" ht="14.25" customHeight="1">
      <c r="L914" s="19"/>
    </row>
    <row r="915" ht="14.25" customHeight="1">
      <c r="L915" s="19"/>
    </row>
    <row r="916" ht="14.25" customHeight="1">
      <c r="L916" s="19"/>
    </row>
    <row r="917" ht="14.25" customHeight="1">
      <c r="L917" s="19"/>
    </row>
    <row r="918" ht="14.25" customHeight="1">
      <c r="L918" s="19"/>
    </row>
    <row r="919" ht="14.25" customHeight="1">
      <c r="L919" s="19"/>
    </row>
    <row r="920" ht="14.25" customHeight="1">
      <c r="L920" s="19"/>
    </row>
    <row r="921" ht="14.25" customHeight="1">
      <c r="L921" s="19"/>
    </row>
    <row r="922" ht="14.25" customHeight="1">
      <c r="L922" s="19"/>
    </row>
    <row r="923" ht="14.25" customHeight="1">
      <c r="L923" s="19"/>
    </row>
    <row r="924" ht="14.25" customHeight="1">
      <c r="L924" s="19"/>
    </row>
    <row r="925" ht="14.25" customHeight="1">
      <c r="L925" s="19"/>
    </row>
    <row r="926" ht="14.25" customHeight="1">
      <c r="L926" s="19"/>
    </row>
    <row r="927" ht="14.25" customHeight="1">
      <c r="L927" s="19"/>
    </row>
    <row r="928" ht="14.25" customHeight="1">
      <c r="L928" s="19"/>
    </row>
    <row r="929" ht="14.25" customHeight="1">
      <c r="L929" s="19"/>
    </row>
    <row r="930" ht="14.25" customHeight="1">
      <c r="L930" s="19"/>
    </row>
    <row r="931" ht="14.25" customHeight="1">
      <c r="L931" s="19"/>
    </row>
    <row r="932" ht="14.25" customHeight="1">
      <c r="L932" s="19"/>
    </row>
    <row r="933" ht="14.25" customHeight="1">
      <c r="L933" s="19"/>
    </row>
    <row r="934" ht="14.25" customHeight="1">
      <c r="L934" s="19"/>
    </row>
    <row r="935" ht="14.25" customHeight="1">
      <c r="L935" s="19"/>
    </row>
    <row r="936" ht="14.25" customHeight="1">
      <c r="L936" s="19"/>
    </row>
    <row r="937" ht="14.25" customHeight="1">
      <c r="L937" s="19"/>
    </row>
    <row r="938" ht="14.25" customHeight="1">
      <c r="L938" s="19"/>
    </row>
    <row r="939" ht="14.25" customHeight="1">
      <c r="L939" s="19"/>
    </row>
    <row r="940" ht="14.25" customHeight="1">
      <c r="L940" s="19"/>
    </row>
    <row r="941" ht="14.25" customHeight="1">
      <c r="L941" s="19"/>
    </row>
    <row r="942" ht="14.25" customHeight="1">
      <c r="L942" s="19"/>
    </row>
    <row r="943" ht="14.25" customHeight="1">
      <c r="L943" s="19"/>
    </row>
    <row r="944" ht="14.25" customHeight="1">
      <c r="L944" s="19"/>
    </row>
    <row r="945" ht="14.25" customHeight="1">
      <c r="L945" s="19"/>
    </row>
    <row r="946" ht="14.25" customHeight="1">
      <c r="L946" s="19"/>
    </row>
    <row r="947" ht="14.25" customHeight="1">
      <c r="L947" s="19"/>
    </row>
    <row r="948" ht="14.25" customHeight="1">
      <c r="L948" s="19"/>
    </row>
    <row r="949" ht="14.25" customHeight="1">
      <c r="L949" s="19"/>
    </row>
    <row r="950" ht="14.25" customHeight="1">
      <c r="L950" s="19"/>
    </row>
    <row r="951" ht="14.25" customHeight="1">
      <c r="L951" s="19"/>
    </row>
    <row r="952" ht="14.25" customHeight="1">
      <c r="L952" s="19"/>
    </row>
    <row r="953" ht="14.25" customHeight="1">
      <c r="L953" s="19"/>
    </row>
    <row r="954" ht="14.25" customHeight="1">
      <c r="L954" s="19"/>
    </row>
    <row r="955" ht="14.25" customHeight="1">
      <c r="L955" s="19"/>
    </row>
    <row r="956" ht="14.25" customHeight="1">
      <c r="L956" s="19"/>
    </row>
    <row r="957" ht="14.25" customHeight="1">
      <c r="L957" s="19"/>
    </row>
    <row r="958" ht="14.25" customHeight="1">
      <c r="L958" s="19"/>
    </row>
    <row r="959" ht="14.25" customHeight="1">
      <c r="L959" s="19"/>
    </row>
    <row r="960" ht="14.25" customHeight="1">
      <c r="L960" s="19"/>
    </row>
    <row r="961" ht="14.25" customHeight="1">
      <c r="L961" s="19"/>
    </row>
    <row r="962" ht="14.25" customHeight="1">
      <c r="L962" s="19"/>
    </row>
    <row r="963" ht="14.25" customHeight="1">
      <c r="L963" s="19"/>
    </row>
    <row r="964" ht="14.25" customHeight="1">
      <c r="L964" s="19"/>
    </row>
    <row r="965" ht="14.25" customHeight="1">
      <c r="L965" s="19"/>
    </row>
    <row r="966" ht="14.25" customHeight="1">
      <c r="L966" s="19"/>
    </row>
    <row r="967" ht="14.25" customHeight="1">
      <c r="L967" s="19"/>
    </row>
    <row r="968" ht="14.25" customHeight="1">
      <c r="L968" s="19"/>
    </row>
    <row r="969" ht="14.25" customHeight="1">
      <c r="L969" s="19"/>
    </row>
    <row r="970" ht="14.25" customHeight="1">
      <c r="L970" s="19"/>
    </row>
    <row r="971" ht="14.25" customHeight="1">
      <c r="L971" s="19"/>
    </row>
    <row r="972" ht="14.25" customHeight="1">
      <c r="L972" s="19"/>
    </row>
    <row r="973" ht="14.25" customHeight="1">
      <c r="L973" s="19"/>
    </row>
    <row r="974" ht="14.25" customHeight="1">
      <c r="L974" s="19"/>
    </row>
    <row r="975" ht="14.25" customHeight="1">
      <c r="L975" s="19"/>
    </row>
    <row r="976" ht="14.25" customHeight="1">
      <c r="L976" s="19"/>
    </row>
    <row r="977" ht="14.25" customHeight="1">
      <c r="L977" s="19"/>
    </row>
    <row r="978" ht="14.25" customHeight="1">
      <c r="L978" s="19"/>
    </row>
    <row r="979" ht="14.25" customHeight="1">
      <c r="L979" s="19"/>
    </row>
    <row r="980" ht="14.25" customHeight="1">
      <c r="L980" s="19"/>
    </row>
    <row r="981" ht="14.25" customHeight="1">
      <c r="L981" s="19"/>
    </row>
    <row r="982" ht="14.25" customHeight="1">
      <c r="L982" s="19"/>
    </row>
    <row r="983" ht="14.25" customHeight="1">
      <c r="L983" s="19"/>
    </row>
    <row r="984" ht="14.25" customHeight="1">
      <c r="L984" s="19"/>
    </row>
    <row r="985" ht="14.25" customHeight="1">
      <c r="L985" s="19"/>
    </row>
    <row r="986" ht="14.25" customHeight="1">
      <c r="L986" s="19"/>
    </row>
    <row r="987" ht="14.25" customHeight="1">
      <c r="L987" s="19"/>
    </row>
    <row r="988" ht="14.25" customHeight="1">
      <c r="L988" s="19"/>
    </row>
    <row r="989" ht="14.25" customHeight="1">
      <c r="L989" s="19"/>
    </row>
    <row r="990" ht="14.25" customHeight="1">
      <c r="L990" s="19"/>
    </row>
    <row r="991" ht="14.25" customHeight="1">
      <c r="L991" s="19"/>
    </row>
    <row r="992" ht="14.25" customHeight="1">
      <c r="L992" s="19"/>
    </row>
    <row r="993" ht="14.25" customHeight="1">
      <c r="L993" s="19"/>
    </row>
    <row r="994" ht="14.25" customHeight="1">
      <c r="L994" s="19"/>
    </row>
    <row r="995" ht="14.25" customHeight="1">
      <c r="L995" s="19"/>
    </row>
    <row r="996" ht="14.25" customHeight="1">
      <c r="L996" s="19"/>
    </row>
    <row r="997" ht="14.25" customHeight="1">
      <c r="L997" s="19"/>
    </row>
    <row r="998" ht="14.25" customHeight="1">
      <c r="L998" s="19"/>
    </row>
    <row r="999" ht="14.25" customHeight="1">
      <c r="L999" s="19"/>
    </row>
  </sheetData>
  <mergeCells count="2">
    <mergeCell ref="A76:J76"/>
    <mergeCell ref="A77:J77"/>
  </mergeCells>
  <printOptions/>
  <pageMargins bottom="0.75" footer="0.0" header="0.0" left="0.7" right="0.7" top="0.75"/>
  <pageSetup paperSize="9" scale="7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26.29"/>
    <col customWidth="1" hidden="1" min="3" max="3" width="69.0"/>
    <col customWidth="1" hidden="1" min="4" max="4" width="11.86"/>
    <col customWidth="1" hidden="1" min="5" max="5" width="17.0"/>
    <col customWidth="1" hidden="1" min="6" max="6" width="7.86"/>
    <col customWidth="1" hidden="1" min="7" max="7" width="5.57"/>
    <col customWidth="1" hidden="1" min="8" max="8" width="8.71"/>
    <col customWidth="1" hidden="1" min="9" max="9" width="19.86"/>
    <col customWidth="1" hidden="1" min="10" max="11" width="12.86"/>
    <col customWidth="1" min="12" max="12" width="24.29"/>
    <col customWidth="1" min="13" max="13" width="11.0"/>
    <col customWidth="1" min="14" max="14" width="39.0"/>
    <col customWidth="1" min="15" max="17" width="8.71"/>
    <col customWidth="1" min="18" max="18" width="29.86"/>
    <col customWidth="1" min="19" max="29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98</v>
      </c>
      <c r="F1" s="1" t="s">
        <v>99</v>
      </c>
      <c r="G1" s="1" t="s">
        <v>4</v>
      </c>
      <c r="H1" s="1" t="s">
        <v>5</v>
      </c>
      <c r="I1" s="1" t="s">
        <v>6</v>
      </c>
      <c r="J1" s="2" t="s">
        <v>7</v>
      </c>
      <c r="K1" s="1" t="s">
        <v>8</v>
      </c>
      <c r="L1" s="1" t="s">
        <v>9</v>
      </c>
      <c r="M1" s="1" t="s">
        <v>10</v>
      </c>
      <c r="N1" s="3"/>
      <c r="O1" s="3"/>
      <c r="P1" s="3"/>
      <c r="Q1" s="3"/>
      <c r="R1" s="4" t="s">
        <v>11</v>
      </c>
      <c r="S1" s="4" t="s">
        <v>12</v>
      </c>
      <c r="T1" s="4" t="s">
        <v>13</v>
      </c>
      <c r="U1" s="1" t="s">
        <v>14</v>
      </c>
      <c r="V1" s="3"/>
      <c r="W1" s="3"/>
      <c r="X1" s="3"/>
      <c r="Y1" s="3"/>
      <c r="Z1" s="3"/>
      <c r="AA1" s="3"/>
      <c r="AB1" s="3"/>
      <c r="AC1" s="3"/>
    </row>
    <row r="2" ht="14.25" customHeight="1">
      <c r="A2" s="5">
        <v>1.0</v>
      </c>
      <c r="B2" s="5" t="s">
        <v>15</v>
      </c>
      <c r="C2" s="6" t="s">
        <v>16</v>
      </c>
      <c r="D2" s="5" t="s">
        <v>17</v>
      </c>
      <c r="E2" s="6" t="s">
        <v>101</v>
      </c>
      <c r="F2" s="6" t="s">
        <v>102</v>
      </c>
      <c r="G2" s="6">
        <v>56.0</v>
      </c>
      <c r="H2" s="6" t="s">
        <v>18</v>
      </c>
      <c r="I2" s="6">
        <v>10.0</v>
      </c>
      <c r="J2" s="7">
        <f t="shared" ref="J2:J50" si="2">I2/1440</f>
        <v>0.006944444444</v>
      </c>
      <c r="K2" s="6">
        <v>1.0</v>
      </c>
      <c r="L2" s="5">
        <f>sum(I2:I4)</f>
        <v>40</v>
      </c>
      <c r="M2" s="8">
        <f>L2/(60*24)</f>
        <v>0.02777777778</v>
      </c>
      <c r="N2" s="9" t="s">
        <v>19</v>
      </c>
      <c r="R2" s="10" t="str">
        <f>B2</f>
        <v>Disposisi PR</v>
      </c>
      <c r="S2" s="10">
        <f t="shared" ref="S2:T2" si="1">L2</f>
        <v>40</v>
      </c>
      <c r="T2" s="11">
        <f t="shared" si="1"/>
        <v>0.02777777778</v>
      </c>
      <c r="U2" s="12">
        <f t="shared" ref="U2:U11" si="4">T2/$T$12</f>
        <v>0.0008167432363</v>
      </c>
    </row>
    <row r="3" ht="14.25" customHeight="1">
      <c r="A3" s="6">
        <v>2.0</v>
      </c>
      <c r="C3" s="6" t="s">
        <v>20</v>
      </c>
      <c r="D3" s="6" t="s">
        <v>17</v>
      </c>
      <c r="E3" s="6" t="s">
        <v>101</v>
      </c>
      <c r="F3" s="6" t="s">
        <v>102</v>
      </c>
      <c r="G3" s="6">
        <v>56.0</v>
      </c>
      <c r="H3" s="6" t="s">
        <v>18</v>
      </c>
      <c r="I3" s="6">
        <v>20.0</v>
      </c>
      <c r="J3" s="7">
        <f t="shared" si="2"/>
        <v>0.01388888889</v>
      </c>
      <c r="K3" s="6">
        <v>1.0</v>
      </c>
      <c r="M3" s="8"/>
      <c r="N3" s="13" t="s">
        <v>21</v>
      </c>
      <c r="R3" s="10" t="str">
        <f>B5</f>
        <v>Pembuatan Proposal Tender</v>
      </c>
      <c r="S3" s="10">
        <f t="shared" ref="S3:T3" si="3">L5</f>
        <v>40</v>
      </c>
      <c r="T3" s="11">
        <f t="shared" si="3"/>
        <v>0.02777777778</v>
      </c>
      <c r="U3" s="12">
        <f t="shared" si="4"/>
        <v>0.0008167432363</v>
      </c>
    </row>
    <row r="4" ht="14.25" customHeight="1">
      <c r="A4" s="5">
        <v>3.0</v>
      </c>
      <c r="C4" s="6" t="s">
        <v>22</v>
      </c>
      <c r="D4" s="5" t="s">
        <v>17</v>
      </c>
      <c r="E4" s="6" t="s">
        <v>101</v>
      </c>
      <c r="F4" s="6" t="s">
        <v>102</v>
      </c>
      <c r="G4" s="6">
        <v>56.0</v>
      </c>
      <c r="H4" s="6" t="s">
        <v>18</v>
      </c>
      <c r="I4" s="6">
        <v>10.0</v>
      </c>
      <c r="J4" s="7">
        <f t="shared" si="2"/>
        <v>0.006944444444</v>
      </c>
      <c r="K4" s="6">
        <v>1.0</v>
      </c>
      <c r="M4" s="8"/>
      <c r="R4" s="10" t="str">
        <f>B10</f>
        <v>Pembuatan DUR &amp; Approval</v>
      </c>
      <c r="S4" s="10">
        <f t="shared" ref="S4:T4" si="5">L10</f>
        <v>8940</v>
      </c>
      <c r="T4" s="11">
        <f t="shared" si="5"/>
        <v>6.208333333</v>
      </c>
      <c r="U4" s="12">
        <f t="shared" si="4"/>
        <v>0.1825421133</v>
      </c>
    </row>
    <row r="5" ht="14.25" customHeight="1">
      <c r="A5" s="5">
        <v>4.0</v>
      </c>
      <c r="B5" s="5" t="s">
        <v>25</v>
      </c>
      <c r="C5" s="5" t="s">
        <v>26</v>
      </c>
      <c r="D5" s="5" t="s">
        <v>24</v>
      </c>
      <c r="E5" s="6" t="s">
        <v>101</v>
      </c>
      <c r="F5" s="6" t="s">
        <v>102</v>
      </c>
      <c r="G5" s="6">
        <v>56.0</v>
      </c>
      <c r="H5" s="6" t="s">
        <v>18</v>
      </c>
      <c r="I5" s="6">
        <v>5.0</v>
      </c>
      <c r="J5" s="7">
        <f t="shared" si="2"/>
        <v>0.003472222222</v>
      </c>
      <c r="K5" s="6">
        <v>1.0</v>
      </c>
      <c r="L5" s="5">
        <f>sum(I5:I9)</f>
        <v>40</v>
      </c>
      <c r="M5" s="8">
        <f>L5/(60*24)</f>
        <v>0.02777777778</v>
      </c>
      <c r="R5" s="10" t="str">
        <f>B15</f>
        <v>Aanwijzing</v>
      </c>
      <c r="S5" s="10">
        <f t="shared" ref="S5:T5" si="6">L15</f>
        <v>4370</v>
      </c>
      <c r="T5" s="11">
        <f t="shared" si="6"/>
        <v>3.034722222</v>
      </c>
      <c r="U5" s="12">
        <f t="shared" si="4"/>
        <v>0.08922919857</v>
      </c>
    </row>
    <row r="6" ht="14.25" customHeight="1">
      <c r="A6" s="6">
        <v>5.0</v>
      </c>
      <c r="C6" s="5" t="s">
        <v>27</v>
      </c>
      <c r="D6" s="5" t="s">
        <v>24</v>
      </c>
      <c r="E6" s="6" t="s">
        <v>101</v>
      </c>
      <c r="F6" s="6" t="s">
        <v>102</v>
      </c>
      <c r="G6" s="6">
        <v>56.0</v>
      </c>
      <c r="H6" s="6" t="s">
        <v>18</v>
      </c>
      <c r="I6" s="6">
        <v>10.0</v>
      </c>
      <c r="J6" s="7">
        <f t="shared" si="2"/>
        <v>0.006944444444</v>
      </c>
      <c r="K6" s="6">
        <v>1.0</v>
      </c>
      <c r="M6" s="8"/>
      <c r="R6" s="10" t="str">
        <f>B19</f>
        <v>Penawaran Rekanan</v>
      </c>
      <c r="S6" s="10">
        <f t="shared" ref="S6:T6" si="7">L19</f>
        <v>10090</v>
      </c>
      <c r="T6" s="11">
        <f t="shared" si="7"/>
        <v>7.006944444</v>
      </c>
      <c r="U6" s="12">
        <f t="shared" si="4"/>
        <v>0.2060234814</v>
      </c>
    </row>
    <row r="7" ht="14.25" customHeight="1">
      <c r="A7" s="5">
        <v>6.0</v>
      </c>
      <c r="C7" s="5" t="s">
        <v>28</v>
      </c>
      <c r="D7" s="5" t="s">
        <v>24</v>
      </c>
      <c r="E7" s="6" t="s">
        <v>101</v>
      </c>
      <c r="F7" s="6" t="s">
        <v>102</v>
      </c>
      <c r="G7" s="6">
        <v>56.0</v>
      </c>
      <c r="H7" s="6" t="s">
        <v>18</v>
      </c>
      <c r="I7" s="6">
        <v>10.0</v>
      </c>
      <c r="J7" s="7">
        <f t="shared" si="2"/>
        <v>0.006944444444</v>
      </c>
      <c r="K7" s="6">
        <v>1.0</v>
      </c>
      <c r="M7" s="8"/>
      <c r="R7" s="10" t="str">
        <f>B21</f>
        <v>Evaluasi Teknis</v>
      </c>
      <c r="S7" s="10">
        <f t="shared" ref="S7:T7" si="8">L21</f>
        <v>6120</v>
      </c>
      <c r="T7" s="11">
        <f t="shared" si="8"/>
        <v>4.25</v>
      </c>
      <c r="U7" s="12">
        <f t="shared" si="4"/>
        <v>0.1249617152</v>
      </c>
    </row>
    <row r="8" ht="14.25" customHeight="1">
      <c r="A8" s="5">
        <v>7.0</v>
      </c>
      <c r="C8" s="5" t="s">
        <v>29</v>
      </c>
      <c r="D8" s="5" t="s">
        <v>24</v>
      </c>
      <c r="E8" s="6" t="s">
        <v>101</v>
      </c>
      <c r="F8" s="6" t="s">
        <v>102</v>
      </c>
      <c r="G8" s="6">
        <v>56.0</v>
      </c>
      <c r="H8" s="6" t="s">
        <v>18</v>
      </c>
      <c r="I8" s="6">
        <v>5.0</v>
      </c>
      <c r="J8" s="7">
        <f t="shared" si="2"/>
        <v>0.003472222222</v>
      </c>
      <c r="K8" s="6">
        <v>1.0</v>
      </c>
      <c r="M8" s="8"/>
      <c r="R8" s="10" t="str">
        <f>B34</f>
        <v>Negosiasi</v>
      </c>
      <c r="S8" s="10">
        <f t="shared" ref="S8:T8" si="9">L34</f>
        <v>1510</v>
      </c>
      <c r="T8" s="11">
        <f t="shared" si="9"/>
        <v>1.048611111</v>
      </c>
      <c r="U8" s="12">
        <f t="shared" si="4"/>
        <v>0.03083205717</v>
      </c>
    </row>
    <row r="9" ht="14.25" customHeight="1">
      <c r="A9" s="6">
        <v>8.0</v>
      </c>
      <c r="C9" s="5" t="s">
        <v>30</v>
      </c>
      <c r="D9" s="5" t="s">
        <v>24</v>
      </c>
      <c r="E9" s="6" t="s">
        <v>101</v>
      </c>
      <c r="F9" s="6" t="s">
        <v>102</v>
      </c>
      <c r="G9" s="6">
        <v>56.0</v>
      </c>
      <c r="H9" s="6" t="s">
        <v>18</v>
      </c>
      <c r="I9" s="6">
        <v>10.0</v>
      </c>
      <c r="J9" s="7">
        <f t="shared" si="2"/>
        <v>0.006944444444</v>
      </c>
      <c r="K9" s="6">
        <v>1.0</v>
      </c>
      <c r="M9" s="8"/>
      <c r="R9" s="10" t="str">
        <f>B40</f>
        <v>Usulan Pemenang</v>
      </c>
      <c r="S9" s="10">
        <f t="shared" ref="S9:T9" si="10">L45</f>
        <v>8930</v>
      </c>
      <c r="T9" s="11">
        <f t="shared" si="10"/>
        <v>6.201388889</v>
      </c>
      <c r="U9" s="12">
        <f t="shared" si="4"/>
        <v>0.1823379275</v>
      </c>
    </row>
    <row r="10" ht="14.25" customHeight="1">
      <c r="A10" s="5">
        <v>9.0</v>
      </c>
      <c r="B10" s="5" t="s">
        <v>31</v>
      </c>
      <c r="C10" s="5" t="s">
        <v>32</v>
      </c>
      <c r="D10" s="5" t="s">
        <v>24</v>
      </c>
      <c r="E10" s="6" t="s">
        <v>101</v>
      </c>
      <c r="F10" s="6" t="s">
        <v>102</v>
      </c>
      <c r="G10" s="6">
        <v>56.0</v>
      </c>
      <c r="H10" s="6" t="s">
        <v>18</v>
      </c>
      <c r="I10" s="6">
        <v>20.0</v>
      </c>
      <c r="J10" s="7">
        <f t="shared" si="2"/>
        <v>0.01388888889</v>
      </c>
      <c r="K10" s="6">
        <v>1.0</v>
      </c>
      <c r="L10" s="5">
        <f>sum(I10:I14)</f>
        <v>8940</v>
      </c>
      <c r="M10" s="8">
        <f>L10/(60*24)</f>
        <v>6.208333333</v>
      </c>
      <c r="R10" s="10" t="str">
        <f>B45</f>
        <v>Purchase Order (PO)</v>
      </c>
      <c r="S10" s="10">
        <f t="shared" ref="S10:T10" si="11">L45</f>
        <v>8930</v>
      </c>
      <c r="T10" s="11">
        <f t="shared" si="11"/>
        <v>6.201388889</v>
      </c>
      <c r="U10" s="12">
        <f t="shared" si="4"/>
        <v>0.1823379275</v>
      </c>
    </row>
    <row r="11" ht="14.25" customHeight="1">
      <c r="A11" s="5">
        <v>10.0</v>
      </c>
      <c r="C11" s="5" t="s">
        <v>37</v>
      </c>
      <c r="D11" s="5" t="s">
        <v>38</v>
      </c>
      <c r="E11" s="6" t="s">
        <v>101</v>
      </c>
      <c r="F11" s="6" t="s">
        <v>102</v>
      </c>
      <c r="G11" s="6">
        <v>56.0</v>
      </c>
      <c r="H11" s="6" t="s">
        <v>18</v>
      </c>
      <c r="I11" s="6">
        <v>40.0</v>
      </c>
      <c r="J11" s="7">
        <f t="shared" si="2"/>
        <v>0.02777777778</v>
      </c>
      <c r="K11" s="6">
        <v>1.0</v>
      </c>
      <c r="M11" s="8"/>
      <c r="R11" s="5" t="str">
        <f>B50</f>
        <v>Kirim PO</v>
      </c>
      <c r="S11" s="5">
        <f t="shared" ref="S11:T11" si="12">L50</f>
        <v>5</v>
      </c>
      <c r="T11" s="8">
        <f t="shared" si="12"/>
        <v>0.003472222222</v>
      </c>
      <c r="U11" s="12">
        <f t="shared" si="4"/>
        <v>0.0001020929045</v>
      </c>
    </row>
    <row r="12" ht="14.25" customHeight="1">
      <c r="A12" s="6">
        <v>11.0</v>
      </c>
      <c r="C12" s="5" t="s">
        <v>39</v>
      </c>
      <c r="D12" s="5" t="s">
        <v>38</v>
      </c>
      <c r="E12" s="6" t="s">
        <v>101</v>
      </c>
      <c r="F12" s="6" t="s">
        <v>102</v>
      </c>
      <c r="G12" s="6">
        <v>56.0</v>
      </c>
      <c r="H12" s="6" t="s">
        <v>18</v>
      </c>
      <c r="I12" s="6">
        <v>180.0</v>
      </c>
      <c r="J12" s="7">
        <f t="shared" si="2"/>
        <v>0.125</v>
      </c>
      <c r="K12" s="6">
        <v>1.0</v>
      </c>
      <c r="M12" s="8"/>
      <c r="R12" s="6" t="s">
        <v>34</v>
      </c>
      <c r="S12" s="5">
        <f t="shared" ref="S12:T12" si="13">sum(S2:S11)</f>
        <v>48975</v>
      </c>
      <c r="T12" s="8">
        <f t="shared" si="13"/>
        <v>34.01041667</v>
      </c>
    </row>
    <row r="13" ht="14.25" customHeight="1">
      <c r="A13" s="5">
        <v>12.0</v>
      </c>
      <c r="C13" s="5" t="s">
        <v>40</v>
      </c>
      <c r="D13" s="5" t="s">
        <v>38</v>
      </c>
      <c r="E13" s="6" t="s">
        <v>101</v>
      </c>
      <c r="F13" s="6" t="s">
        <v>102</v>
      </c>
      <c r="G13" s="6">
        <v>56.0</v>
      </c>
      <c r="H13" s="6" t="s">
        <v>18</v>
      </c>
      <c r="I13" s="6">
        <v>1500.0</v>
      </c>
      <c r="J13" s="7">
        <f t="shared" si="2"/>
        <v>1.041666667</v>
      </c>
      <c r="K13" s="6">
        <v>1.0</v>
      </c>
      <c r="M13" s="8"/>
    </row>
    <row r="14" ht="14.25" customHeight="1">
      <c r="A14" s="5">
        <v>13.0</v>
      </c>
      <c r="C14" s="5" t="s">
        <v>41</v>
      </c>
      <c r="D14" s="5" t="s">
        <v>38</v>
      </c>
      <c r="E14" s="6" t="s">
        <v>101</v>
      </c>
      <c r="F14" s="6" t="s">
        <v>102</v>
      </c>
      <c r="G14" s="6">
        <v>56.0</v>
      </c>
      <c r="H14" s="6" t="s">
        <v>18</v>
      </c>
      <c r="I14" s="6">
        <v>7200.0</v>
      </c>
      <c r="J14" s="7">
        <f t="shared" si="2"/>
        <v>5</v>
      </c>
      <c r="K14" s="6">
        <v>1.0</v>
      </c>
      <c r="M14" s="8"/>
    </row>
    <row r="15" ht="14.25" customHeight="1">
      <c r="A15" s="6">
        <v>14.0</v>
      </c>
      <c r="B15" s="5" t="s">
        <v>42</v>
      </c>
      <c r="C15" s="5" t="s">
        <v>43</v>
      </c>
      <c r="D15" s="5" t="s">
        <v>17</v>
      </c>
      <c r="E15" s="6" t="s">
        <v>101</v>
      </c>
      <c r="F15" s="6" t="s">
        <v>102</v>
      </c>
      <c r="G15" s="6">
        <v>56.0</v>
      </c>
      <c r="H15" s="6" t="s">
        <v>18</v>
      </c>
      <c r="I15" s="6">
        <v>10.0</v>
      </c>
      <c r="J15" s="7">
        <f t="shared" si="2"/>
        <v>0.006944444444</v>
      </c>
      <c r="K15" s="6">
        <v>1.0</v>
      </c>
      <c r="L15" s="5">
        <f>sum(I15:I18)</f>
        <v>4370</v>
      </c>
      <c r="M15" s="8">
        <f>L15/(60*24)</f>
        <v>3.034722222</v>
      </c>
    </row>
    <row r="16" ht="14.25" customHeight="1">
      <c r="A16" s="5">
        <v>15.0</v>
      </c>
      <c r="C16" s="5" t="s">
        <v>44</v>
      </c>
      <c r="D16" s="5" t="s">
        <v>45</v>
      </c>
      <c r="E16" s="5" t="s">
        <v>45</v>
      </c>
      <c r="F16" s="6" t="s">
        <v>102</v>
      </c>
      <c r="G16" s="6">
        <v>56.0</v>
      </c>
      <c r="H16" s="6" t="s">
        <v>18</v>
      </c>
      <c r="I16" s="6">
        <v>4320.0</v>
      </c>
      <c r="J16" s="7">
        <f t="shared" si="2"/>
        <v>3</v>
      </c>
      <c r="K16" s="6">
        <v>1.0</v>
      </c>
      <c r="M16" s="8"/>
    </row>
    <row r="17" ht="14.25" customHeight="1">
      <c r="A17" s="5">
        <v>16.0</v>
      </c>
      <c r="C17" s="6" t="s">
        <v>46</v>
      </c>
      <c r="D17" s="6" t="s">
        <v>47</v>
      </c>
      <c r="E17" s="6" t="s">
        <v>47</v>
      </c>
      <c r="F17" s="6" t="s">
        <v>102</v>
      </c>
      <c r="G17" s="6">
        <v>56.0</v>
      </c>
      <c r="H17" s="6" t="s">
        <v>18</v>
      </c>
      <c r="I17" s="6">
        <v>30.0</v>
      </c>
      <c r="J17" s="7">
        <f t="shared" si="2"/>
        <v>0.02083333333</v>
      </c>
      <c r="K17" s="6">
        <v>1.0</v>
      </c>
      <c r="M17" s="8"/>
    </row>
    <row r="18" ht="14.25" customHeight="1">
      <c r="A18" s="6">
        <v>17.0</v>
      </c>
      <c r="C18" s="5" t="s">
        <v>48</v>
      </c>
      <c r="D18" s="6" t="s">
        <v>49</v>
      </c>
      <c r="E18" s="6" t="s">
        <v>49</v>
      </c>
      <c r="F18" s="6" t="s">
        <v>102</v>
      </c>
      <c r="G18" s="6">
        <v>56.0</v>
      </c>
      <c r="H18" s="6" t="s">
        <v>18</v>
      </c>
      <c r="I18" s="6">
        <v>10.0</v>
      </c>
      <c r="J18" s="7">
        <f t="shared" si="2"/>
        <v>0.006944444444</v>
      </c>
      <c r="K18" s="6">
        <v>1.0</v>
      </c>
      <c r="M18" s="8"/>
    </row>
    <row r="19" ht="14.25" customHeight="1">
      <c r="A19" s="5">
        <v>18.0</v>
      </c>
      <c r="B19" s="21" t="s">
        <v>50</v>
      </c>
      <c r="C19" s="5" t="s">
        <v>51</v>
      </c>
      <c r="D19" s="5" t="s">
        <v>24</v>
      </c>
      <c r="E19" s="6"/>
      <c r="F19" s="6" t="s">
        <v>102</v>
      </c>
      <c r="G19" s="6">
        <v>56.0</v>
      </c>
      <c r="H19" s="6" t="s">
        <v>18</v>
      </c>
      <c r="I19" s="6">
        <v>10080.0</v>
      </c>
      <c r="J19" s="7">
        <f t="shared" si="2"/>
        <v>7</v>
      </c>
      <c r="K19" s="6">
        <v>1.0</v>
      </c>
      <c r="L19" s="5">
        <f>sum(I19:I20)</f>
        <v>10090</v>
      </c>
      <c r="M19" s="8">
        <f>L19/(60*24)</f>
        <v>7.006944444</v>
      </c>
    </row>
    <row r="20" ht="14.25" customHeight="1">
      <c r="A20" s="5">
        <v>19.0</v>
      </c>
      <c r="C20" s="21" t="s">
        <v>52</v>
      </c>
      <c r="D20" s="5" t="s">
        <v>24</v>
      </c>
      <c r="E20" s="6"/>
      <c r="F20" s="6" t="s">
        <v>102</v>
      </c>
      <c r="G20" s="6">
        <v>56.0</v>
      </c>
      <c r="H20" s="6" t="s">
        <v>18</v>
      </c>
      <c r="I20" s="6">
        <v>10.0</v>
      </c>
      <c r="J20" s="7">
        <f t="shared" si="2"/>
        <v>0.006944444444</v>
      </c>
      <c r="K20" s="6">
        <v>1.0</v>
      </c>
      <c r="M20" s="8"/>
    </row>
    <row r="21" ht="14.25" customHeight="1">
      <c r="A21" s="6">
        <v>20.0</v>
      </c>
      <c r="B21" s="22" t="s">
        <v>55</v>
      </c>
      <c r="C21" s="22" t="s">
        <v>105</v>
      </c>
      <c r="D21" s="5" t="s">
        <v>17</v>
      </c>
      <c r="E21" s="6"/>
      <c r="F21" s="6" t="s">
        <v>102</v>
      </c>
      <c r="G21" s="6">
        <v>56.0</v>
      </c>
      <c r="H21" s="6" t="s">
        <v>18</v>
      </c>
      <c r="I21" s="6">
        <v>20.0</v>
      </c>
      <c r="J21" s="7">
        <f t="shared" si="2"/>
        <v>0.01388888889</v>
      </c>
      <c r="K21" s="6">
        <v>1.0</v>
      </c>
      <c r="L21" s="5">
        <f>sum(I21:I33)</f>
        <v>6120</v>
      </c>
      <c r="M21" s="8">
        <f>L21/(60*24)</f>
        <v>4.25</v>
      </c>
    </row>
    <row r="22" ht="14.25" customHeight="1">
      <c r="A22" s="5">
        <v>21.0</v>
      </c>
      <c r="B22" s="21"/>
      <c r="C22" s="21" t="s">
        <v>57</v>
      </c>
      <c r="D22" s="5" t="s">
        <v>17</v>
      </c>
      <c r="E22" s="6"/>
      <c r="F22" s="6" t="s">
        <v>103</v>
      </c>
      <c r="G22" s="6">
        <v>56.0</v>
      </c>
      <c r="H22" s="6" t="s">
        <v>18</v>
      </c>
      <c r="I22" s="6">
        <v>10.0</v>
      </c>
      <c r="J22" s="7">
        <f t="shared" si="2"/>
        <v>0.006944444444</v>
      </c>
      <c r="K22" s="6">
        <v>1.0</v>
      </c>
      <c r="M22" s="8"/>
    </row>
    <row r="23" ht="14.25" customHeight="1">
      <c r="A23" s="5">
        <v>22.0</v>
      </c>
      <c r="B23" s="21"/>
      <c r="C23" s="22" t="s">
        <v>58</v>
      </c>
      <c r="D23" s="5" t="s">
        <v>17</v>
      </c>
      <c r="E23" s="6"/>
      <c r="F23" s="6" t="s">
        <v>103</v>
      </c>
      <c r="G23" s="6">
        <v>56.0</v>
      </c>
      <c r="H23" s="6" t="s">
        <v>18</v>
      </c>
      <c r="I23" s="6">
        <v>120.0</v>
      </c>
      <c r="J23" s="7">
        <f t="shared" si="2"/>
        <v>0.08333333333</v>
      </c>
      <c r="K23" s="6">
        <v>1.0</v>
      </c>
      <c r="M23" s="8"/>
    </row>
    <row r="24" ht="14.25" customHeight="1">
      <c r="A24" s="6">
        <v>23.0</v>
      </c>
      <c r="B24" s="21"/>
      <c r="C24" s="21" t="s">
        <v>66</v>
      </c>
      <c r="D24" s="5" t="s">
        <v>17</v>
      </c>
      <c r="E24" s="6"/>
      <c r="F24" s="6" t="s">
        <v>103</v>
      </c>
      <c r="G24" s="6">
        <v>56.0</v>
      </c>
      <c r="H24" s="6" t="s">
        <v>18</v>
      </c>
      <c r="I24" s="6">
        <v>10.0</v>
      </c>
      <c r="J24" s="7">
        <f t="shared" si="2"/>
        <v>0.006944444444</v>
      </c>
      <c r="K24" s="6">
        <v>1.0</v>
      </c>
      <c r="M24" s="8"/>
    </row>
    <row r="25" ht="14.25" customHeight="1">
      <c r="A25" s="5">
        <v>24.0</v>
      </c>
      <c r="B25" s="21"/>
      <c r="C25" s="21" t="s">
        <v>67</v>
      </c>
      <c r="D25" s="5" t="s">
        <v>17</v>
      </c>
      <c r="E25" s="6"/>
      <c r="F25" s="6" t="s">
        <v>103</v>
      </c>
      <c r="G25" s="6">
        <v>56.0</v>
      </c>
      <c r="H25" s="6" t="s">
        <v>18</v>
      </c>
      <c r="I25" s="6">
        <v>10.0</v>
      </c>
      <c r="J25" s="7">
        <f t="shared" si="2"/>
        <v>0.006944444444</v>
      </c>
      <c r="K25" s="6">
        <v>1.0</v>
      </c>
      <c r="M25" s="8"/>
    </row>
    <row r="26" ht="14.25" customHeight="1">
      <c r="A26" s="5">
        <v>25.0</v>
      </c>
      <c r="B26" s="21"/>
      <c r="C26" s="21" t="s">
        <v>68</v>
      </c>
      <c r="D26" s="5" t="s">
        <v>17</v>
      </c>
      <c r="E26" s="6"/>
      <c r="F26" s="6" t="s">
        <v>103</v>
      </c>
      <c r="G26" s="6">
        <v>56.0</v>
      </c>
      <c r="H26" s="6" t="s">
        <v>18</v>
      </c>
      <c r="I26" s="6">
        <v>10.0</v>
      </c>
      <c r="J26" s="7">
        <f t="shared" si="2"/>
        <v>0.006944444444</v>
      </c>
      <c r="K26" s="6">
        <v>1.0</v>
      </c>
      <c r="M26" s="8"/>
    </row>
    <row r="27" ht="14.25" customHeight="1">
      <c r="A27" s="6">
        <v>26.0</v>
      </c>
      <c r="B27" s="21"/>
      <c r="C27" s="21" t="s">
        <v>69</v>
      </c>
      <c r="D27" s="5" t="s">
        <v>17</v>
      </c>
      <c r="E27" s="6"/>
      <c r="F27" s="6" t="s">
        <v>102</v>
      </c>
      <c r="G27" s="6">
        <v>56.0</v>
      </c>
      <c r="H27" s="6" t="s">
        <v>18</v>
      </c>
      <c r="I27" s="6">
        <v>5760.0</v>
      </c>
      <c r="J27" s="7">
        <f t="shared" si="2"/>
        <v>4</v>
      </c>
      <c r="K27" s="6">
        <v>1.0</v>
      </c>
      <c r="M27" s="8"/>
    </row>
    <row r="28" ht="14.25" customHeight="1">
      <c r="A28" s="5">
        <v>27.0</v>
      </c>
      <c r="B28" s="21"/>
      <c r="C28" s="22" t="s">
        <v>106</v>
      </c>
      <c r="D28" s="5" t="s">
        <v>17</v>
      </c>
      <c r="E28" s="6"/>
      <c r="F28" s="6" t="s">
        <v>102</v>
      </c>
      <c r="G28" s="6">
        <v>56.0</v>
      </c>
      <c r="H28" s="6" t="s">
        <v>18</v>
      </c>
      <c r="I28" s="6">
        <v>10.0</v>
      </c>
      <c r="J28" s="7">
        <f t="shared" si="2"/>
        <v>0.006944444444</v>
      </c>
      <c r="K28" s="6">
        <v>1.0</v>
      </c>
      <c r="M28" s="8"/>
    </row>
    <row r="29" ht="14.25" customHeight="1">
      <c r="A29" s="5">
        <v>28.0</v>
      </c>
      <c r="B29" s="21"/>
      <c r="C29" s="21" t="s">
        <v>71</v>
      </c>
      <c r="D29" s="5" t="s">
        <v>17</v>
      </c>
      <c r="E29" s="6"/>
      <c r="F29" s="6" t="s">
        <v>103</v>
      </c>
      <c r="G29" s="6">
        <v>56.0</v>
      </c>
      <c r="H29" s="6" t="s">
        <v>18</v>
      </c>
      <c r="I29" s="6">
        <v>10.0</v>
      </c>
      <c r="J29" s="7">
        <f t="shared" si="2"/>
        <v>0.006944444444</v>
      </c>
      <c r="K29" s="6">
        <v>1.0</v>
      </c>
      <c r="M29" s="8"/>
    </row>
    <row r="30" ht="14.25" customHeight="1">
      <c r="A30" s="6">
        <v>29.0</v>
      </c>
      <c r="B30" s="21"/>
      <c r="C30" s="21" t="s">
        <v>72</v>
      </c>
      <c r="D30" s="5" t="s">
        <v>17</v>
      </c>
      <c r="E30" s="6"/>
      <c r="F30" s="6" t="s">
        <v>103</v>
      </c>
      <c r="G30" s="6">
        <v>56.0</v>
      </c>
      <c r="H30" s="6" t="s">
        <v>18</v>
      </c>
      <c r="I30" s="6">
        <v>120.0</v>
      </c>
      <c r="J30" s="7">
        <f t="shared" si="2"/>
        <v>0.08333333333</v>
      </c>
      <c r="K30" s="6">
        <v>1.0</v>
      </c>
      <c r="M30" s="8"/>
    </row>
    <row r="31" ht="14.25" customHeight="1">
      <c r="A31" s="5">
        <v>30.0</v>
      </c>
      <c r="B31" s="21"/>
      <c r="C31" s="21" t="s">
        <v>75</v>
      </c>
      <c r="D31" s="5" t="s">
        <v>17</v>
      </c>
      <c r="E31" s="6"/>
      <c r="F31" s="6" t="s">
        <v>103</v>
      </c>
      <c r="G31" s="6">
        <v>56.0</v>
      </c>
      <c r="H31" s="6" t="s">
        <v>18</v>
      </c>
      <c r="I31" s="6">
        <v>10.0</v>
      </c>
      <c r="J31" s="7">
        <f t="shared" si="2"/>
        <v>0.006944444444</v>
      </c>
      <c r="K31" s="6">
        <v>1.0</v>
      </c>
      <c r="M31" s="8"/>
    </row>
    <row r="32" ht="14.25" customHeight="1">
      <c r="A32" s="5">
        <v>31.0</v>
      </c>
      <c r="B32" s="21"/>
      <c r="C32" s="21" t="s">
        <v>76</v>
      </c>
      <c r="D32" s="5" t="s">
        <v>17</v>
      </c>
      <c r="E32" s="6"/>
      <c r="F32" s="6" t="s">
        <v>103</v>
      </c>
      <c r="G32" s="6">
        <v>56.0</v>
      </c>
      <c r="H32" s="6" t="s">
        <v>18</v>
      </c>
      <c r="I32" s="6">
        <v>20.0</v>
      </c>
      <c r="J32" s="7">
        <f t="shared" si="2"/>
        <v>0.01388888889</v>
      </c>
      <c r="K32" s="6">
        <v>1.0</v>
      </c>
      <c r="M32" s="8"/>
    </row>
    <row r="33" ht="14.25" customHeight="1">
      <c r="A33" s="6">
        <v>32.0</v>
      </c>
      <c r="B33" s="21"/>
      <c r="C33" s="21" t="s">
        <v>22</v>
      </c>
      <c r="D33" s="5" t="s">
        <v>17</v>
      </c>
      <c r="E33" s="6"/>
      <c r="F33" s="6" t="s">
        <v>103</v>
      </c>
      <c r="G33" s="6">
        <v>56.0</v>
      </c>
      <c r="H33" s="6" t="s">
        <v>18</v>
      </c>
      <c r="I33" s="6">
        <v>10.0</v>
      </c>
      <c r="J33" s="7">
        <f t="shared" si="2"/>
        <v>0.006944444444</v>
      </c>
      <c r="K33" s="6">
        <v>1.0</v>
      </c>
      <c r="M33" s="8"/>
    </row>
    <row r="34" ht="14.25" customHeight="1">
      <c r="A34" s="5">
        <v>33.0</v>
      </c>
      <c r="B34" s="6" t="s">
        <v>77</v>
      </c>
      <c r="C34" s="5" t="s">
        <v>78</v>
      </c>
      <c r="D34" s="5" t="s">
        <v>24</v>
      </c>
      <c r="E34" s="6"/>
      <c r="F34" s="6" t="s">
        <v>102</v>
      </c>
      <c r="G34" s="6">
        <v>56.0</v>
      </c>
      <c r="H34" s="6" t="s">
        <v>18</v>
      </c>
      <c r="I34" s="6">
        <v>30.0</v>
      </c>
      <c r="J34" s="7">
        <f t="shared" si="2"/>
        <v>0.02083333333</v>
      </c>
      <c r="K34" s="6">
        <v>1.0</v>
      </c>
      <c r="L34" s="5">
        <f>sum(I34:I39)</f>
        <v>1510</v>
      </c>
      <c r="M34" s="8">
        <f>L34/(60*24)</f>
        <v>1.048611111</v>
      </c>
    </row>
    <row r="35" ht="14.25" customHeight="1">
      <c r="A35" s="5">
        <v>34.0</v>
      </c>
      <c r="C35" s="5" t="s">
        <v>79</v>
      </c>
      <c r="D35" s="5" t="s">
        <v>17</v>
      </c>
      <c r="E35" s="6"/>
      <c r="F35" s="6" t="s">
        <v>102</v>
      </c>
      <c r="G35" s="6">
        <v>56.0</v>
      </c>
      <c r="H35" s="6" t="s">
        <v>18</v>
      </c>
      <c r="I35" s="6">
        <v>10.0</v>
      </c>
      <c r="J35" s="7">
        <f t="shared" si="2"/>
        <v>0.006944444444</v>
      </c>
      <c r="K35" s="6">
        <v>1.0</v>
      </c>
      <c r="M35" s="8"/>
    </row>
    <row r="36" ht="14.25" customHeight="1">
      <c r="A36" s="6">
        <v>35.0</v>
      </c>
      <c r="C36" s="5" t="s">
        <v>80</v>
      </c>
      <c r="D36" s="5" t="s">
        <v>17</v>
      </c>
      <c r="E36" s="6"/>
      <c r="F36" s="6" t="s">
        <v>102</v>
      </c>
      <c r="G36" s="6">
        <v>56.0</v>
      </c>
      <c r="H36" s="6" t="s">
        <v>18</v>
      </c>
      <c r="I36" s="6">
        <v>10.0</v>
      </c>
      <c r="J36" s="7">
        <f t="shared" si="2"/>
        <v>0.006944444444</v>
      </c>
      <c r="K36" s="6">
        <v>1.0</v>
      </c>
      <c r="M36" s="8"/>
    </row>
    <row r="37" ht="14.25" customHeight="1">
      <c r="A37" s="5">
        <v>36.0</v>
      </c>
      <c r="C37" s="5" t="s">
        <v>81</v>
      </c>
      <c r="D37" s="5" t="s">
        <v>24</v>
      </c>
      <c r="E37" s="6"/>
      <c r="F37" s="6" t="s">
        <v>102</v>
      </c>
      <c r="G37" s="6">
        <v>56.0</v>
      </c>
      <c r="H37" s="6" t="s">
        <v>18</v>
      </c>
      <c r="I37" s="6">
        <v>10.0</v>
      </c>
      <c r="J37" s="7">
        <f t="shared" si="2"/>
        <v>0.006944444444</v>
      </c>
      <c r="K37" s="6">
        <v>1.0</v>
      </c>
      <c r="M37" s="8"/>
    </row>
    <row r="38" ht="14.25" customHeight="1">
      <c r="A38" s="5">
        <v>37.0</v>
      </c>
      <c r="C38" s="5" t="s">
        <v>82</v>
      </c>
      <c r="D38" s="5" t="s">
        <v>24</v>
      </c>
      <c r="E38" s="6"/>
      <c r="F38" s="6" t="s">
        <v>102</v>
      </c>
      <c r="G38" s="6">
        <v>56.0</v>
      </c>
      <c r="H38" s="6" t="s">
        <v>18</v>
      </c>
      <c r="I38" s="6">
        <v>1440.0</v>
      </c>
      <c r="J38" s="7">
        <f t="shared" si="2"/>
        <v>1</v>
      </c>
      <c r="K38" s="6">
        <v>1.0</v>
      </c>
      <c r="M38" s="8"/>
    </row>
    <row r="39" ht="14.25" customHeight="1">
      <c r="A39" s="6">
        <v>38.0</v>
      </c>
      <c r="C39" s="5" t="s">
        <v>85</v>
      </c>
      <c r="D39" s="5" t="s">
        <v>17</v>
      </c>
      <c r="E39" s="6"/>
      <c r="F39" s="6" t="s">
        <v>102</v>
      </c>
      <c r="G39" s="6">
        <v>56.0</v>
      </c>
      <c r="H39" s="6" t="s">
        <v>18</v>
      </c>
      <c r="I39" s="6">
        <v>10.0</v>
      </c>
      <c r="J39" s="7">
        <f t="shared" si="2"/>
        <v>0.006944444444</v>
      </c>
      <c r="K39" s="6">
        <v>1.0</v>
      </c>
      <c r="M39" s="8"/>
    </row>
    <row r="40" ht="14.25" customHeight="1">
      <c r="A40" s="5">
        <v>39.0</v>
      </c>
      <c r="B40" s="6" t="s">
        <v>86</v>
      </c>
      <c r="C40" s="5" t="s">
        <v>87</v>
      </c>
      <c r="D40" s="5" t="s">
        <v>24</v>
      </c>
      <c r="E40" s="6"/>
      <c r="F40" s="6" t="s">
        <v>102</v>
      </c>
      <c r="G40" s="6">
        <v>56.0</v>
      </c>
      <c r="H40" s="6" t="s">
        <v>18</v>
      </c>
      <c r="I40" s="6">
        <v>10.0</v>
      </c>
      <c r="J40" s="7">
        <f t="shared" si="2"/>
        <v>0.006944444444</v>
      </c>
      <c r="K40" s="6">
        <v>1.0</v>
      </c>
      <c r="L40" s="5">
        <f>sum(I40:I44)</f>
        <v>8930</v>
      </c>
      <c r="M40" s="8">
        <f>L40/(60*24)</f>
        <v>6.201388889</v>
      </c>
    </row>
    <row r="41" ht="14.25" customHeight="1">
      <c r="A41" s="5">
        <v>40.0</v>
      </c>
      <c r="C41" s="5" t="s">
        <v>37</v>
      </c>
      <c r="D41" s="5" t="s">
        <v>38</v>
      </c>
      <c r="E41" s="6"/>
      <c r="F41" s="6" t="s">
        <v>102</v>
      </c>
      <c r="G41" s="6">
        <v>56.0</v>
      </c>
      <c r="H41" s="6" t="s">
        <v>18</v>
      </c>
      <c r="I41" s="6">
        <v>40.0</v>
      </c>
      <c r="J41" s="7">
        <f t="shared" si="2"/>
        <v>0.02777777778</v>
      </c>
      <c r="K41" s="6">
        <v>1.0</v>
      </c>
      <c r="M41" s="8"/>
    </row>
    <row r="42" ht="14.25" customHeight="1">
      <c r="A42" s="6">
        <v>41.0</v>
      </c>
      <c r="C42" s="5" t="s">
        <v>39</v>
      </c>
      <c r="D42" s="5" t="s">
        <v>38</v>
      </c>
      <c r="E42" s="6"/>
      <c r="F42" s="6" t="s">
        <v>102</v>
      </c>
      <c r="G42" s="6">
        <v>56.0</v>
      </c>
      <c r="H42" s="6" t="s">
        <v>18</v>
      </c>
      <c r="I42" s="6">
        <v>180.0</v>
      </c>
      <c r="J42" s="7">
        <f t="shared" si="2"/>
        <v>0.125</v>
      </c>
      <c r="K42" s="6">
        <v>1.0</v>
      </c>
      <c r="M42" s="8"/>
    </row>
    <row r="43" ht="14.25" customHeight="1">
      <c r="A43" s="5">
        <v>42.0</v>
      </c>
      <c r="C43" s="5" t="s">
        <v>40</v>
      </c>
      <c r="D43" s="5" t="s">
        <v>38</v>
      </c>
      <c r="E43" s="6"/>
      <c r="F43" s="6" t="s">
        <v>102</v>
      </c>
      <c r="G43" s="6">
        <v>56.0</v>
      </c>
      <c r="H43" s="6" t="s">
        <v>18</v>
      </c>
      <c r="I43" s="6">
        <v>1500.0</v>
      </c>
      <c r="J43" s="7">
        <f t="shared" si="2"/>
        <v>1.041666667</v>
      </c>
      <c r="K43" s="6">
        <v>1.0</v>
      </c>
      <c r="M43" s="8"/>
    </row>
    <row r="44" ht="14.25" customHeight="1">
      <c r="A44" s="5">
        <v>43.0</v>
      </c>
      <c r="C44" s="5" t="s">
        <v>41</v>
      </c>
      <c r="D44" s="5" t="s">
        <v>38</v>
      </c>
      <c r="E44" s="6"/>
      <c r="F44" s="6" t="s">
        <v>102</v>
      </c>
      <c r="G44" s="6">
        <v>56.0</v>
      </c>
      <c r="H44" s="6" t="s">
        <v>18</v>
      </c>
      <c r="I44" s="6">
        <v>7200.0</v>
      </c>
      <c r="J44" s="7">
        <f t="shared" si="2"/>
        <v>5</v>
      </c>
      <c r="K44" s="6">
        <v>1.0</v>
      </c>
      <c r="M44" s="8"/>
    </row>
    <row r="45" ht="14.25" customHeight="1">
      <c r="A45" s="6">
        <v>44.0</v>
      </c>
      <c r="B45" s="6" t="s">
        <v>88</v>
      </c>
      <c r="C45" s="5" t="s">
        <v>89</v>
      </c>
      <c r="D45" s="5" t="s">
        <v>90</v>
      </c>
      <c r="E45" s="6"/>
      <c r="F45" s="6" t="s">
        <v>102</v>
      </c>
      <c r="G45" s="6">
        <v>56.0</v>
      </c>
      <c r="H45" s="6" t="s">
        <v>91</v>
      </c>
      <c r="I45" s="6">
        <v>10.0</v>
      </c>
      <c r="J45" s="7">
        <f t="shared" si="2"/>
        <v>0.006944444444</v>
      </c>
      <c r="K45" s="6">
        <v>1.0</v>
      </c>
      <c r="L45" s="5">
        <f>sum(I45:I49)</f>
        <v>8930</v>
      </c>
      <c r="M45" s="8">
        <f>L45/(60*24)</f>
        <v>6.201388889</v>
      </c>
    </row>
    <row r="46" ht="14.25" customHeight="1">
      <c r="A46" s="5">
        <v>46.0</v>
      </c>
      <c r="C46" s="5" t="s">
        <v>37</v>
      </c>
      <c r="D46" s="5" t="s">
        <v>17</v>
      </c>
      <c r="E46" s="6"/>
      <c r="F46" s="6" t="s">
        <v>102</v>
      </c>
      <c r="G46" s="6">
        <v>56.0</v>
      </c>
      <c r="H46" s="6" t="s">
        <v>91</v>
      </c>
      <c r="I46" s="6">
        <v>40.0</v>
      </c>
      <c r="J46" s="7">
        <f t="shared" si="2"/>
        <v>0.02777777778</v>
      </c>
      <c r="K46" s="6">
        <v>1.0</v>
      </c>
      <c r="M46" s="8"/>
    </row>
    <row r="47" ht="14.25" customHeight="1">
      <c r="A47" s="6">
        <v>47.0</v>
      </c>
      <c r="C47" s="5" t="s">
        <v>39</v>
      </c>
      <c r="D47" s="5" t="s">
        <v>17</v>
      </c>
      <c r="E47" s="6"/>
      <c r="F47" s="6" t="s">
        <v>102</v>
      </c>
      <c r="G47" s="6">
        <v>56.0</v>
      </c>
      <c r="H47" s="6" t="s">
        <v>91</v>
      </c>
      <c r="I47" s="6">
        <v>180.0</v>
      </c>
      <c r="J47" s="7">
        <f t="shared" si="2"/>
        <v>0.125</v>
      </c>
      <c r="K47" s="6">
        <v>1.0</v>
      </c>
      <c r="M47" s="8"/>
    </row>
    <row r="48" ht="14.25" customHeight="1">
      <c r="A48" s="5">
        <v>48.0</v>
      </c>
      <c r="C48" s="5" t="s">
        <v>40</v>
      </c>
      <c r="D48" s="5" t="s">
        <v>17</v>
      </c>
      <c r="E48" s="6"/>
      <c r="F48" s="6" t="s">
        <v>102</v>
      </c>
      <c r="G48" s="6">
        <v>56.0</v>
      </c>
      <c r="H48" s="6" t="s">
        <v>91</v>
      </c>
      <c r="I48" s="6">
        <v>1500.0</v>
      </c>
      <c r="J48" s="7">
        <f t="shared" si="2"/>
        <v>1.041666667</v>
      </c>
      <c r="K48" s="6">
        <v>1.0</v>
      </c>
      <c r="M48" s="8"/>
    </row>
    <row r="49" ht="14.25" customHeight="1">
      <c r="A49" s="5">
        <v>49.0</v>
      </c>
      <c r="C49" s="5" t="s">
        <v>41</v>
      </c>
      <c r="D49" s="5" t="s">
        <v>17</v>
      </c>
      <c r="E49" s="6"/>
      <c r="F49" s="6" t="s">
        <v>102</v>
      </c>
      <c r="G49" s="6">
        <v>56.0</v>
      </c>
      <c r="H49" s="6" t="s">
        <v>91</v>
      </c>
      <c r="I49" s="6">
        <v>7200.0</v>
      </c>
      <c r="J49" s="7">
        <f t="shared" si="2"/>
        <v>5</v>
      </c>
      <c r="K49" s="6">
        <v>1.0</v>
      </c>
      <c r="M49" s="8"/>
    </row>
    <row r="50" ht="14.25" customHeight="1">
      <c r="A50" s="6">
        <v>50.0</v>
      </c>
      <c r="B50" s="6" t="s">
        <v>94</v>
      </c>
      <c r="C50" s="5" t="s">
        <v>95</v>
      </c>
      <c r="D50" s="5" t="s">
        <v>17</v>
      </c>
      <c r="E50" s="6"/>
      <c r="F50" s="6" t="s">
        <v>102</v>
      </c>
      <c r="G50" s="6">
        <v>56.0</v>
      </c>
      <c r="H50" s="6" t="s">
        <v>91</v>
      </c>
      <c r="I50" s="6">
        <v>5.0</v>
      </c>
      <c r="J50" s="7">
        <f t="shared" si="2"/>
        <v>0.003472222222</v>
      </c>
      <c r="K50" s="6">
        <v>1.0</v>
      </c>
      <c r="L50" s="5">
        <f>sum(I50)</f>
        <v>5</v>
      </c>
      <c r="M50" s="8">
        <f t="shared" ref="M50:M52" si="14">L50/(60*24)</f>
        <v>0.003472222222</v>
      </c>
    </row>
    <row r="51" ht="14.25" customHeight="1">
      <c r="A51" s="17" t="s">
        <v>96</v>
      </c>
      <c r="I51" s="18">
        <f>sum(I2:I50)</f>
        <v>48975</v>
      </c>
      <c r="J51" s="19"/>
      <c r="L51" s="18">
        <f>sum(L2:L50)</f>
        <v>48975</v>
      </c>
      <c r="M51" s="5">
        <f t="shared" si="14"/>
        <v>34.01041667</v>
      </c>
    </row>
    <row r="52" ht="14.25" customHeight="1">
      <c r="A52" s="17" t="s">
        <v>97</v>
      </c>
      <c r="I52" s="20">
        <f>I51/1440</f>
        <v>34.01041667</v>
      </c>
      <c r="J52" s="19"/>
      <c r="L52" s="20">
        <f>L51/1440</f>
        <v>34.01041667</v>
      </c>
      <c r="M52" s="5">
        <f t="shared" si="14"/>
        <v>0.02361834491</v>
      </c>
    </row>
    <row r="53" ht="14.25" customHeight="1">
      <c r="J53" s="19"/>
    </row>
    <row r="54" ht="14.25" customHeight="1">
      <c r="J54" s="19"/>
    </row>
    <row r="55" ht="14.25" customHeight="1">
      <c r="J55" s="19"/>
    </row>
    <row r="56" ht="14.25" customHeight="1">
      <c r="J56" s="19"/>
    </row>
    <row r="57" ht="14.25" customHeight="1">
      <c r="J57" s="19"/>
    </row>
    <row r="58" ht="14.25" customHeight="1">
      <c r="J58" s="19"/>
    </row>
    <row r="59" ht="14.25" customHeight="1">
      <c r="J59" s="19"/>
    </row>
    <row r="60" ht="14.25" customHeight="1">
      <c r="J60" s="19"/>
    </row>
    <row r="61" ht="14.25" customHeight="1">
      <c r="J61" s="19"/>
    </row>
    <row r="62" ht="14.25" customHeight="1">
      <c r="J62" s="19"/>
    </row>
    <row r="63" ht="14.25" customHeight="1">
      <c r="J63" s="19"/>
    </row>
    <row r="64" ht="14.25" customHeight="1">
      <c r="J64" s="19"/>
    </row>
    <row r="65" ht="14.25" customHeight="1">
      <c r="J65" s="19"/>
    </row>
    <row r="66" ht="14.25" customHeight="1">
      <c r="J66" s="19"/>
    </row>
    <row r="67" ht="14.25" customHeight="1">
      <c r="J67" s="19"/>
    </row>
    <row r="68" ht="14.25" customHeight="1">
      <c r="J68" s="19"/>
    </row>
    <row r="69" ht="14.25" customHeight="1">
      <c r="J69" s="19"/>
    </row>
    <row r="70" ht="14.25" customHeight="1">
      <c r="J70" s="19"/>
    </row>
    <row r="71" ht="14.25" customHeight="1">
      <c r="J71" s="19"/>
    </row>
    <row r="72" ht="14.25" customHeight="1">
      <c r="J72" s="19"/>
    </row>
    <row r="73" ht="14.25" customHeight="1">
      <c r="J73" s="19"/>
    </row>
    <row r="74" ht="14.25" customHeight="1">
      <c r="J74" s="19"/>
    </row>
    <row r="75" ht="14.25" customHeight="1">
      <c r="J75" s="19"/>
    </row>
    <row r="76" ht="14.25" customHeight="1">
      <c r="J76" s="19"/>
    </row>
    <row r="77" ht="14.25" customHeight="1">
      <c r="J77" s="19"/>
    </row>
    <row r="78" ht="14.25" customHeight="1">
      <c r="J78" s="19"/>
    </row>
    <row r="79" ht="14.25" customHeight="1">
      <c r="J79" s="19"/>
    </row>
    <row r="80" ht="14.25" customHeight="1">
      <c r="J80" s="19"/>
    </row>
    <row r="81" ht="14.25" customHeight="1">
      <c r="J81" s="19"/>
    </row>
    <row r="82" ht="14.25" customHeight="1">
      <c r="J82" s="19"/>
    </row>
    <row r="83" ht="14.25" customHeight="1">
      <c r="J83" s="19"/>
    </row>
    <row r="84" ht="14.25" customHeight="1">
      <c r="J84" s="19"/>
    </row>
    <row r="85" ht="14.25" customHeight="1">
      <c r="J85" s="19"/>
    </row>
    <row r="86" ht="14.25" customHeight="1">
      <c r="J86" s="19"/>
    </row>
    <row r="87" ht="14.25" customHeight="1">
      <c r="J87" s="19"/>
    </row>
    <row r="88" ht="14.25" customHeight="1">
      <c r="J88" s="19"/>
    </row>
    <row r="89" ht="14.25" customHeight="1">
      <c r="J89" s="19"/>
    </row>
    <row r="90" ht="14.25" customHeight="1">
      <c r="J90" s="19"/>
    </row>
    <row r="91" ht="14.25" customHeight="1">
      <c r="J91" s="19"/>
    </row>
    <row r="92" ht="14.25" customHeight="1">
      <c r="J92" s="19"/>
    </row>
    <row r="93" ht="14.25" customHeight="1">
      <c r="J93" s="19"/>
    </row>
    <row r="94" ht="14.25" customHeight="1">
      <c r="J94" s="19"/>
    </row>
    <row r="95" ht="14.25" customHeight="1">
      <c r="J95" s="19"/>
    </row>
    <row r="96" ht="14.25" customHeight="1">
      <c r="J96" s="19"/>
    </row>
    <row r="97" ht="14.25" customHeight="1">
      <c r="J97" s="19"/>
    </row>
    <row r="98" ht="14.25" customHeight="1">
      <c r="J98" s="19"/>
    </row>
    <row r="99" ht="14.25" customHeight="1">
      <c r="J99" s="19"/>
    </row>
    <row r="100" ht="14.25" customHeight="1">
      <c r="J100" s="19"/>
    </row>
    <row r="101" ht="14.25" customHeight="1">
      <c r="J101" s="19"/>
    </row>
    <row r="102" ht="14.25" customHeight="1">
      <c r="J102" s="19"/>
    </row>
    <row r="103" ht="14.25" customHeight="1">
      <c r="J103" s="19"/>
    </row>
    <row r="104" ht="14.25" customHeight="1">
      <c r="J104" s="19"/>
    </row>
    <row r="105" ht="14.25" customHeight="1">
      <c r="J105" s="19"/>
    </row>
    <row r="106" ht="14.25" customHeight="1">
      <c r="J106" s="19"/>
    </row>
    <row r="107" ht="14.25" customHeight="1">
      <c r="J107" s="19"/>
    </row>
    <row r="108" ht="14.25" customHeight="1">
      <c r="J108" s="19"/>
    </row>
    <row r="109" ht="14.25" customHeight="1">
      <c r="J109" s="19"/>
    </row>
    <row r="110" ht="14.25" customHeight="1">
      <c r="J110" s="19"/>
    </row>
    <row r="111" ht="14.25" customHeight="1">
      <c r="J111" s="19"/>
    </row>
    <row r="112" ht="14.25" customHeight="1">
      <c r="J112" s="19"/>
    </row>
    <row r="113" ht="14.25" customHeight="1">
      <c r="J113" s="19"/>
    </row>
    <row r="114" ht="14.25" customHeight="1">
      <c r="J114" s="19"/>
    </row>
    <row r="115" ht="14.25" customHeight="1">
      <c r="J115" s="19"/>
    </row>
    <row r="116" ht="14.25" customHeight="1">
      <c r="J116" s="19"/>
    </row>
    <row r="117" ht="14.25" customHeight="1">
      <c r="J117" s="19"/>
    </row>
    <row r="118" ht="14.25" customHeight="1">
      <c r="J118" s="19"/>
    </row>
    <row r="119" ht="14.25" customHeight="1">
      <c r="J119" s="19"/>
    </row>
    <row r="120" ht="14.25" customHeight="1">
      <c r="J120" s="19"/>
    </row>
    <row r="121" ht="14.25" customHeight="1">
      <c r="J121" s="19"/>
    </row>
    <row r="122" ht="14.25" customHeight="1">
      <c r="J122" s="19"/>
    </row>
    <row r="123" ht="14.25" customHeight="1">
      <c r="J123" s="19"/>
    </row>
    <row r="124" ht="14.25" customHeight="1">
      <c r="J124" s="19"/>
    </row>
    <row r="125" ht="14.25" customHeight="1">
      <c r="J125" s="19"/>
    </row>
    <row r="126" ht="14.25" customHeight="1">
      <c r="J126" s="19"/>
    </row>
    <row r="127" ht="14.25" customHeight="1">
      <c r="J127" s="19"/>
    </row>
    <row r="128" ht="14.25" customHeight="1">
      <c r="J128" s="19"/>
    </row>
    <row r="129" ht="14.25" customHeight="1">
      <c r="J129" s="19"/>
    </row>
    <row r="130" ht="14.25" customHeight="1">
      <c r="J130" s="19"/>
    </row>
    <row r="131" ht="14.25" customHeight="1">
      <c r="J131" s="19"/>
    </row>
    <row r="132" ht="14.25" customHeight="1">
      <c r="J132" s="19"/>
    </row>
    <row r="133" ht="14.25" customHeight="1">
      <c r="J133" s="19"/>
    </row>
    <row r="134" ht="14.25" customHeight="1">
      <c r="J134" s="19"/>
    </row>
    <row r="135" ht="14.25" customHeight="1">
      <c r="J135" s="19"/>
    </row>
    <row r="136" ht="14.25" customHeight="1">
      <c r="J136" s="19"/>
    </row>
    <row r="137" ht="14.25" customHeight="1">
      <c r="J137" s="19"/>
    </row>
    <row r="138" ht="14.25" customHeight="1">
      <c r="J138" s="19"/>
    </row>
    <row r="139" ht="14.25" customHeight="1">
      <c r="J139" s="19"/>
    </row>
    <row r="140" ht="14.25" customHeight="1">
      <c r="J140" s="19"/>
    </row>
    <row r="141" ht="14.25" customHeight="1">
      <c r="J141" s="19"/>
    </row>
    <row r="142" ht="14.25" customHeight="1">
      <c r="J142" s="19"/>
    </row>
    <row r="143" ht="14.25" customHeight="1">
      <c r="J143" s="19"/>
    </row>
    <row r="144" ht="14.25" customHeight="1">
      <c r="J144" s="19"/>
    </row>
    <row r="145" ht="14.25" customHeight="1">
      <c r="J145" s="19"/>
    </row>
    <row r="146" ht="14.25" customHeight="1">
      <c r="J146" s="19"/>
    </row>
    <row r="147" ht="14.25" customHeight="1">
      <c r="J147" s="19"/>
    </row>
    <row r="148" ht="14.25" customHeight="1">
      <c r="J148" s="19"/>
    </row>
    <row r="149" ht="14.25" customHeight="1">
      <c r="J149" s="19"/>
    </row>
    <row r="150" ht="14.25" customHeight="1">
      <c r="J150" s="19"/>
    </row>
    <row r="151" ht="14.25" customHeight="1">
      <c r="J151" s="19"/>
    </row>
    <row r="152" ht="14.25" customHeight="1">
      <c r="J152" s="19"/>
    </row>
    <row r="153" ht="14.25" customHeight="1">
      <c r="J153" s="19"/>
    </row>
    <row r="154" ht="14.25" customHeight="1">
      <c r="J154" s="19"/>
    </row>
    <row r="155" ht="14.25" customHeight="1">
      <c r="J155" s="19"/>
    </row>
    <row r="156" ht="14.25" customHeight="1">
      <c r="J156" s="19"/>
    </row>
    <row r="157" ht="14.25" customHeight="1">
      <c r="J157" s="19"/>
    </row>
    <row r="158" ht="14.25" customHeight="1">
      <c r="J158" s="19"/>
    </row>
    <row r="159" ht="14.25" customHeight="1">
      <c r="J159" s="19"/>
    </row>
    <row r="160" ht="14.25" customHeight="1">
      <c r="J160" s="19"/>
    </row>
    <row r="161" ht="14.25" customHeight="1">
      <c r="J161" s="19"/>
    </row>
    <row r="162" ht="14.25" customHeight="1">
      <c r="J162" s="19"/>
    </row>
    <row r="163" ht="14.25" customHeight="1">
      <c r="J163" s="19"/>
    </row>
    <row r="164" ht="14.25" customHeight="1">
      <c r="J164" s="19"/>
    </row>
    <row r="165" ht="14.25" customHeight="1">
      <c r="J165" s="19"/>
    </row>
    <row r="166" ht="14.25" customHeight="1">
      <c r="J166" s="19"/>
    </row>
    <row r="167" ht="14.25" customHeight="1">
      <c r="J167" s="19"/>
    </row>
    <row r="168" ht="14.25" customHeight="1">
      <c r="J168" s="19"/>
    </row>
    <row r="169" ht="14.25" customHeight="1">
      <c r="J169" s="19"/>
    </row>
    <row r="170" ht="14.25" customHeight="1">
      <c r="J170" s="19"/>
    </row>
    <row r="171" ht="14.25" customHeight="1">
      <c r="J171" s="19"/>
    </row>
    <row r="172" ht="14.25" customHeight="1">
      <c r="J172" s="19"/>
    </row>
    <row r="173" ht="14.25" customHeight="1">
      <c r="J173" s="19"/>
    </row>
    <row r="174" ht="14.25" customHeight="1">
      <c r="J174" s="19"/>
    </row>
    <row r="175" ht="14.25" customHeight="1">
      <c r="J175" s="19"/>
    </row>
    <row r="176" ht="14.25" customHeight="1">
      <c r="J176" s="19"/>
    </row>
    <row r="177" ht="14.25" customHeight="1">
      <c r="J177" s="19"/>
    </row>
    <row r="178" ht="14.25" customHeight="1">
      <c r="J178" s="19"/>
    </row>
    <row r="179" ht="14.25" customHeight="1">
      <c r="J179" s="19"/>
    </row>
    <row r="180" ht="14.25" customHeight="1">
      <c r="J180" s="19"/>
    </row>
    <row r="181" ht="14.25" customHeight="1">
      <c r="J181" s="19"/>
    </row>
    <row r="182" ht="14.25" customHeight="1">
      <c r="J182" s="19"/>
    </row>
    <row r="183" ht="14.25" customHeight="1">
      <c r="J183" s="19"/>
    </row>
    <row r="184" ht="14.25" customHeight="1">
      <c r="J184" s="19"/>
    </row>
    <row r="185" ht="14.25" customHeight="1">
      <c r="J185" s="19"/>
    </row>
    <row r="186" ht="14.25" customHeight="1">
      <c r="J186" s="19"/>
    </row>
    <row r="187" ht="14.25" customHeight="1">
      <c r="J187" s="19"/>
    </row>
    <row r="188" ht="14.25" customHeight="1">
      <c r="J188" s="19"/>
    </row>
    <row r="189" ht="14.25" customHeight="1">
      <c r="J189" s="19"/>
    </row>
    <row r="190" ht="14.25" customHeight="1">
      <c r="J190" s="19"/>
    </row>
    <row r="191" ht="14.25" customHeight="1">
      <c r="J191" s="19"/>
    </row>
    <row r="192" ht="14.25" customHeight="1">
      <c r="J192" s="19"/>
    </row>
    <row r="193" ht="14.25" customHeight="1">
      <c r="J193" s="19"/>
    </row>
    <row r="194" ht="14.25" customHeight="1">
      <c r="J194" s="19"/>
    </row>
    <row r="195" ht="14.25" customHeight="1">
      <c r="J195" s="19"/>
    </row>
    <row r="196" ht="14.25" customHeight="1">
      <c r="J196" s="19"/>
    </row>
    <row r="197" ht="14.25" customHeight="1">
      <c r="J197" s="19"/>
    </row>
    <row r="198" ht="14.25" customHeight="1">
      <c r="J198" s="19"/>
    </row>
    <row r="199" ht="14.25" customHeight="1">
      <c r="J199" s="19"/>
    </row>
    <row r="200" ht="14.25" customHeight="1">
      <c r="J200" s="19"/>
    </row>
    <row r="201" ht="14.25" customHeight="1">
      <c r="J201" s="19"/>
    </row>
    <row r="202" ht="14.25" customHeight="1">
      <c r="J202" s="19"/>
    </row>
    <row r="203" ht="14.25" customHeight="1">
      <c r="J203" s="19"/>
    </row>
    <row r="204" ht="14.25" customHeight="1">
      <c r="J204" s="19"/>
    </row>
    <row r="205" ht="14.25" customHeight="1">
      <c r="J205" s="19"/>
    </row>
    <row r="206" ht="14.25" customHeight="1">
      <c r="J206" s="19"/>
    </row>
    <row r="207" ht="14.25" customHeight="1">
      <c r="J207" s="19"/>
    </row>
    <row r="208" ht="14.25" customHeight="1">
      <c r="J208" s="19"/>
    </row>
    <row r="209" ht="14.25" customHeight="1">
      <c r="J209" s="19"/>
    </row>
    <row r="210" ht="14.25" customHeight="1">
      <c r="J210" s="19"/>
    </row>
    <row r="211" ht="14.25" customHeight="1">
      <c r="J211" s="19"/>
    </row>
    <row r="212" ht="14.25" customHeight="1">
      <c r="J212" s="19"/>
    </row>
    <row r="213" ht="14.25" customHeight="1">
      <c r="J213" s="19"/>
    </row>
    <row r="214" ht="14.25" customHeight="1">
      <c r="J214" s="19"/>
    </row>
    <row r="215" ht="14.25" customHeight="1">
      <c r="J215" s="19"/>
    </row>
    <row r="216" ht="14.25" customHeight="1">
      <c r="J216" s="19"/>
    </row>
    <row r="217" ht="14.25" customHeight="1">
      <c r="J217" s="19"/>
    </row>
    <row r="218" ht="14.25" customHeight="1">
      <c r="J218" s="19"/>
    </row>
    <row r="219" ht="14.25" customHeight="1">
      <c r="J219" s="19"/>
    </row>
    <row r="220" ht="14.25" customHeight="1">
      <c r="J220" s="19"/>
    </row>
    <row r="221" ht="14.25" customHeight="1">
      <c r="J221" s="19"/>
    </row>
    <row r="222" ht="14.25" customHeight="1">
      <c r="J222" s="19"/>
    </row>
    <row r="223" ht="14.25" customHeight="1">
      <c r="J223" s="19"/>
    </row>
    <row r="224" ht="14.25" customHeight="1">
      <c r="J224" s="19"/>
    </row>
    <row r="225" ht="14.25" customHeight="1">
      <c r="J225" s="19"/>
    </row>
    <row r="226" ht="14.25" customHeight="1">
      <c r="J226" s="19"/>
    </row>
    <row r="227" ht="14.25" customHeight="1">
      <c r="J227" s="19"/>
    </row>
    <row r="228" ht="14.25" customHeight="1">
      <c r="J228" s="19"/>
    </row>
    <row r="229" ht="14.25" customHeight="1">
      <c r="J229" s="19"/>
    </row>
    <row r="230" ht="14.25" customHeight="1">
      <c r="J230" s="19"/>
    </row>
    <row r="231" ht="14.25" customHeight="1">
      <c r="J231" s="19"/>
    </row>
    <row r="232" ht="14.25" customHeight="1">
      <c r="J232" s="19"/>
    </row>
    <row r="233" ht="14.25" customHeight="1">
      <c r="J233" s="19"/>
    </row>
    <row r="234" ht="14.25" customHeight="1">
      <c r="J234" s="19"/>
    </row>
    <row r="235" ht="14.25" customHeight="1">
      <c r="J235" s="19"/>
    </row>
    <row r="236" ht="14.25" customHeight="1">
      <c r="J236" s="19"/>
    </row>
    <row r="237" ht="14.25" customHeight="1">
      <c r="J237" s="19"/>
    </row>
    <row r="238" ht="14.25" customHeight="1">
      <c r="J238" s="19"/>
    </row>
    <row r="239" ht="14.25" customHeight="1">
      <c r="J239" s="19"/>
    </row>
    <row r="240" ht="14.25" customHeight="1">
      <c r="J240" s="19"/>
    </row>
    <row r="241" ht="14.25" customHeight="1">
      <c r="J241" s="19"/>
    </row>
    <row r="242" ht="14.25" customHeight="1">
      <c r="J242" s="19"/>
    </row>
    <row r="243" ht="14.25" customHeight="1">
      <c r="J243" s="19"/>
    </row>
    <row r="244" ht="14.25" customHeight="1">
      <c r="J244" s="19"/>
    </row>
    <row r="245" ht="14.25" customHeight="1">
      <c r="J245" s="19"/>
    </row>
    <row r="246" ht="14.25" customHeight="1">
      <c r="J246" s="19"/>
    </row>
    <row r="247" ht="14.25" customHeight="1">
      <c r="J247" s="19"/>
    </row>
    <row r="248" ht="14.25" customHeight="1">
      <c r="J248" s="19"/>
    </row>
    <row r="249" ht="14.25" customHeight="1">
      <c r="J249" s="19"/>
    </row>
    <row r="250" ht="14.25" customHeight="1">
      <c r="J250" s="19"/>
    </row>
    <row r="251" ht="14.25" customHeight="1">
      <c r="J251" s="19"/>
    </row>
    <row r="252" ht="14.25" customHeight="1">
      <c r="J252" s="19"/>
    </row>
    <row r="253" ht="14.25" customHeight="1">
      <c r="J253" s="19"/>
    </row>
    <row r="254" ht="14.25" customHeight="1">
      <c r="J254" s="19"/>
    </row>
    <row r="255" ht="14.25" customHeight="1">
      <c r="J255" s="19"/>
    </row>
    <row r="256" ht="14.25" customHeight="1">
      <c r="J256" s="19"/>
    </row>
    <row r="257" ht="14.25" customHeight="1">
      <c r="J257" s="19"/>
    </row>
    <row r="258" ht="14.25" customHeight="1">
      <c r="J258" s="19"/>
    </row>
    <row r="259" ht="14.25" customHeight="1">
      <c r="J259" s="19"/>
    </row>
    <row r="260" ht="14.25" customHeight="1">
      <c r="J260" s="19"/>
    </row>
    <row r="261" ht="14.25" customHeight="1">
      <c r="J261" s="19"/>
    </row>
    <row r="262" ht="14.25" customHeight="1">
      <c r="J262" s="19"/>
    </row>
    <row r="263" ht="14.25" customHeight="1">
      <c r="J263" s="19"/>
    </row>
    <row r="264" ht="14.25" customHeight="1">
      <c r="J264" s="19"/>
    </row>
    <row r="265" ht="14.25" customHeight="1">
      <c r="J265" s="19"/>
    </row>
    <row r="266" ht="14.25" customHeight="1">
      <c r="J266" s="19"/>
    </row>
    <row r="267" ht="14.25" customHeight="1">
      <c r="J267" s="19"/>
    </row>
    <row r="268" ht="14.25" customHeight="1">
      <c r="J268" s="19"/>
    </row>
    <row r="269" ht="14.25" customHeight="1">
      <c r="J269" s="19"/>
    </row>
    <row r="270" ht="14.25" customHeight="1">
      <c r="J270" s="19"/>
    </row>
    <row r="271" ht="14.25" customHeight="1">
      <c r="J271" s="19"/>
    </row>
    <row r="272" ht="14.25" customHeight="1">
      <c r="J272" s="19"/>
    </row>
    <row r="273" ht="14.25" customHeight="1">
      <c r="J273" s="19"/>
    </row>
    <row r="274" ht="14.25" customHeight="1">
      <c r="J274" s="19"/>
    </row>
    <row r="275" ht="14.25" customHeight="1">
      <c r="J275" s="19"/>
    </row>
    <row r="276" ht="14.25" customHeight="1">
      <c r="J276" s="19"/>
    </row>
    <row r="277" ht="14.25" customHeight="1">
      <c r="J277" s="19"/>
    </row>
    <row r="278" ht="14.25" customHeight="1">
      <c r="J278" s="19"/>
    </row>
    <row r="279" ht="14.25" customHeight="1">
      <c r="J279" s="19"/>
    </row>
    <row r="280" ht="14.25" customHeight="1">
      <c r="J280" s="19"/>
    </row>
    <row r="281" ht="14.25" customHeight="1">
      <c r="J281" s="19"/>
    </row>
    <row r="282" ht="14.25" customHeight="1">
      <c r="J282" s="19"/>
    </row>
    <row r="283" ht="14.25" customHeight="1">
      <c r="J283" s="19"/>
    </row>
    <row r="284" ht="14.25" customHeight="1">
      <c r="J284" s="19"/>
    </row>
    <row r="285" ht="14.25" customHeight="1">
      <c r="J285" s="19"/>
    </row>
    <row r="286" ht="14.25" customHeight="1">
      <c r="J286" s="19"/>
    </row>
    <row r="287" ht="14.25" customHeight="1">
      <c r="J287" s="19"/>
    </row>
    <row r="288" ht="14.25" customHeight="1">
      <c r="J288" s="19"/>
    </row>
    <row r="289" ht="14.25" customHeight="1">
      <c r="J289" s="19"/>
    </row>
    <row r="290" ht="14.25" customHeight="1">
      <c r="J290" s="19"/>
    </row>
    <row r="291" ht="14.25" customHeight="1">
      <c r="J291" s="19"/>
    </row>
    <row r="292" ht="14.25" customHeight="1">
      <c r="J292" s="19"/>
    </row>
    <row r="293" ht="14.25" customHeight="1">
      <c r="J293" s="19"/>
    </row>
    <row r="294" ht="14.25" customHeight="1">
      <c r="J294" s="19"/>
    </row>
    <row r="295" ht="14.25" customHeight="1">
      <c r="J295" s="19"/>
    </row>
    <row r="296" ht="14.25" customHeight="1">
      <c r="J296" s="19"/>
    </row>
    <row r="297" ht="14.25" customHeight="1">
      <c r="J297" s="19"/>
    </row>
    <row r="298" ht="14.25" customHeight="1">
      <c r="J298" s="19"/>
    </row>
    <row r="299" ht="14.25" customHeight="1">
      <c r="J299" s="19"/>
    </row>
    <row r="300" ht="14.25" customHeight="1">
      <c r="J300" s="19"/>
    </row>
    <row r="301" ht="14.25" customHeight="1">
      <c r="J301" s="19"/>
    </row>
    <row r="302" ht="14.25" customHeight="1">
      <c r="J302" s="19"/>
    </row>
    <row r="303" ht="14.25" customHeight="1">
      <c r="J303" s="19"/>
    </row>
    <row r="304" ht="14.25" customHeight="1">
      <c r="J304" s="19"/>
    </row>
    <row r="305" ht="14.25" customHeight="1">
      <c r="J305" s="19"/>
    </row>
    <row r="306" ht="14.25" customHeight="1">
      <c r="J306" s="19"/>
    </row>
    <row r="307" ht="14.25" customHeight="1">
      <c r="J307" s="19"/>
    </row>
    <row r="308" ht="14.25" customHeight="1">
      <c r="J308" s="19"/>
    </row>
    <row r="309" ht="14.25" customHeight="1">
      <c r="J309" s="19"/>
    </row>
    <row r="310" ht="14.25" customHeight="1">
      <c r="J310" s="19"/>
    </row>
    <row r="311" ht="14.25" customHeight="1">
      <c r="J311" s="19"/>
    </row>
    <row r="312" ht="14.25" customHeight="1">
      <c r="J312" s="19"/>
    </row>
    <row r="313" ht="14.25" customHeight="1">
      <c r="J313" s="19"/>
    </row>
    <row r="314" ht="14.25" customHeight="1">
      <c r="J314" s="19"/>
    </row>
    <row r="315" ht="14.25" customHeight="1">
      <c r="J315" s="19"/>
    </row>
    <row r="316" ht="14.25" customHeight="1">
      <c r="J316" s="19"/>
    </row>
    <row r="317" ht="14.25" customHeight="1">
      <c r="J317" s="19"/>
    </row>
    <row r="318" ht="14.25" customHeight="1">
      <c r="J318" s="19"/>
    </row>
    <row r="319" ht="14.25" customHeight="1">
      <c r="J319" s="19"/>
    </row>
    <row r="320" ht="14.25" customHeight="1">
      <c r="J320" s="19"/>
    </row>
    <row r="321" ht="14.25" customHeight="1">
      <c r="J321" s="19"/>
    </row>
    <row r="322" ht="14.25" customHeight="1">
      <c r="J322" s="19"/>
    </row>
    <row r="323" ht="14.25" customHeight="1">
      <c r="J323" s="19"/>
    </row>
    <row r="324" ht="14.25" customHeight="1">
      <c r="J324" s="19"/>
    </row>
    <row r="325" ht="14.25" customHeight="1">
      <c r="J325" s="19"/>
    </row>
    <row r="326" ht="14.25" customHeight="1">
      <c r="J326" s="19"/>
    </row>
    <row r="327" ht="14.25" customHeight="1">
      <c r="J327" s="19"/>
    </row>
    <row r="328" ht="14.25" customHeight="1">
      <c r="J328" s="19"/>
    </row>
    <row r="329" ht="14.25" customHeight="1">
      <c r="J329" s="19"/>
    </row>
    <row r="330" ht="14.25" customHeight="1">
      <c r="J330" s="19"/>
    </row>
    <row r="331" ht="14.25" customHeight="1">
      <c r="J331" s="19"/>
    </row>
    <row r="332" ht="14.25" customHeight="1">
      <c r="J332" s="19"/>
    </row>
    <row r="333" ht="14.25" customHeight="1">
      <c r="J333" s="19"/>
    </row>
    <row r="334" ht="14.25" customHeight="1">
      <c r="J334" s="19"/>
    </row>
    <row r="335" ht="14.25" customHeight="1">
      <c r="J335" s="19"/>
    </row>
    <row r="336" ht="14.25" customHeight="1">
      <c r="J336" s="19"/>
    </row>
    <row r="337" ht="14.25" customHeight="1">
      <c r="J337" s="19"/>
    </row>
    <row r="338" ht="14.25" customHeight="1">
      <c r="J338" s="19"/>
    </row>
    <row r="339" ht="14.25" customHeight="1">
      <c r="J339" s="19"/>
    </row>
    <row r="340" ht="14.25" customHeight="1">
      <c r="J340" s="19"/>
    </row>
    <row r="341" ht="14.25" customHeight="1">
      <c r="J341" s="19"/>
    </row>
    <row r="342" ht="14.25" customHeight="1">
      <c r="J342" s="19"/>
    </row>
    <row r="343" ht="14.25" customHeight="1">
      <c r="J343" s="19"/>
    </row>
    <row r="344" ht="14.25" customHeight="1">
      <c r="J344" s="19"/>
    </row>
    <row r="345" ht="14.25" customHeight="1">
      <c r="J345" s="19"/>
    </row>
    <row r="346" ht="14.25" customHeight="1">
      <c r="J346" s="19"/>
    </row>
    <row r="347" ht="14.25" customHeight="1">
      <c r="J347" s="19"/>
    </row>
    <row r="348" ht="14.25" customHeight="1">
      <c r="J348" s="19"/>
    </row>
    <row r="349" ht="14.25" customHeight="1">
      <c r="J349" s="19"/>
    </row>
    <row r="350" ht="14.25" customHeight="1">
      <c r="J350" s="19"/>
    </row>
    <row r="351" ht="14.25" customHeight="1">
      <c r="J351" s="19"/>
    </row>
    <row r="352" ht="14.25" customHeight="1">
      <c r="J352" s="19"/>
    </row>
    <row r="353" ht="14.25" customHeight="1">
      <c r="J353" s="19"/>
    </row>
    <row r="354" ht="14.25" customHeight="1">
      <c r="J354" s="19"/>
    </row>
    <row r="355" ht="14.25" customHeight="1">
      <c r="J355" s="19"/>
    </row>
    <row r="356" ht="14.25" customHeight="1">
      <c r="J356" s="19"/>
    </row>
    <row r="357" ht="14.25" customHeight="1">
      <c r="J357" s="19"/>
    </row>
    <row r="358" ht="14.25" customHeight="1">
      <c r="J358" s="19"/>
    </row>
    <row r="359" ht="14.25" customHeight="1">
      <c r="J359" s="19"/>
    </row>
    <row r="360" ht="14.25" customHeight="1">
      <c r="J360" s="19"/>
    </row>
    <row r="361" ht="14.25" customHeight="1">
      <c r="J361" s="19"/>
    </row>
    <row r="362" ht="14.25" customHeight="1">
      <c r="J362" s="19"/>
    </row>
    <row r="363" ht="14.25" customHeight="1">
      <c r="J363" s="19"/>
    </row>
    <row r="364" ht="14.25" customHeight="1">
      <c r="J364" s="19"/>
    </row>
    <row r="365" ht="14.25" customHeight="1">
      <c r="J365" s="19"/>
    </row>
    <row r="366" ht="14.25" customHeight="1">
      <c r="J366" s="19"/>
    </row>
    <row r="367" ht="14.25" customHeight="1">
      <c r="J367" s="19"/>
    </row>
    <row r="368" ht="14.25" customHeight="1">
      <c r="J368" s="19"/>
    </row>
    <row r="369" ht="14.25" customHeight="1">
      <c r="J369" s="19"/>
    </row>
    <row r="370" ht="14.25" customHeight="1">
      <c r="J370" s="19"/>
    </row>
    <row r="371" ht="14.25" customHeight="1">
      <c r="J371" s="19"/>
    </row>
    <row r="372" ht="14.25" customHeight="1">
      <c r="J372" s="19"/>
    </row>
    <row r="373" ht="14.25" customHeight="1">
      <c r="J373" s="19"/>
    </row>
    <row r="374" ht="14.25" customHeight="1">
      <c r="J374" s="19"/>
    </row>
    <row r="375" ht="14.25" customHeight="1">
      <c r="J375" s="19"/>
    </row>
    <row r="376" ht="14.25" customHeight="1">
      <c r="J376" s="19"/>
    </row>
    <row r="377" ht="14.25" customHeight="1">
      <c r="J377" s="19"/>
    </row>
    <row r="378" ht="14.25" customHeight="1">
      <c r="J378" s="19"/>
    </row>
    <row r="379" ht="14.25" customHeight="1">
      <c r="J379" s="19"/>
    </row>
    <row r="380" ht="14.25" customHeight="1">
      <c r="J380" s="19"/>
    </row>
    <row r="381" ht="14.25" customHeight="1">
      <c r="J381" s="19"/>
    </row>
    <row r="382" ht="14.25" customHeight="1">
      <c r="J382" s="19"/>
    </row>
    <row r="383" ht="14.25" customHeight="1">
      <c r="J383" s="19"/>
    </row>
    <row r="384" ht="14.25" customHeight="1">
      <c r="J384" s="19"/>
    </row>
    <row r="385" ht="14.25" customHeight="1">
      <c r="J385" s="19"/>
    </row>
    <row r="386" ht="14.25" customHeight="1">
      <c r="J386" s="19"/>
    </row>
    <row r="387" ht="14.25" customHeight="1">
      <c r="J387" s="19"/>
    </row>
    <row r="388" ht="14.25" customHeight="1">
      <c r="J388" s="19"/>
    </row>
    <row r="389" ht="14.25" customHeight="1">
      <c r="J389" s="19"/>
    </row>
    <row r="390" ht="14.25" customHeight="1">
      <c r="J390" s="19"/>
    </row>
    <row r="391" ht="14.25" customHeight="1">
      <c r="J391" s="19"/>
    </row>
    <row r="392" ht="14.25" customHeight="1">
      <c r="J392" s="19"/>
    </row>
    <row r="393" ht="14.25" customHeight="1">
      <c r="J393" s="19"/>
    </row>
    <row r="394" ht="14.25" customHeight="1">
      <c r="J394" s="19"/>
    </row>
    <row r="395" ht="14.25" customHeight="1">
      <c r="J395" s="19"/>
    </row>
    <row r="396" ht="14.25" customHeight="1">
      <c r="J396" s="19"/>
    </row>
    <row r="397" ht="14.25" customHeight="1">
      <c r="J397" s="19"/>
    </row>
    <row r="398" ht="14.25" customHeight="1">
      <c r="J398" s="19"/>
    </row>
    <row r="399" ht="14.25" customHeight="1">
      <c r="J399" s="19"/>
    </row>
    <row r="400" ht="14.25" customHeight="1">
      <c r="J400" s="19"/>
    </row>
    <row r="401" ht="14.25" customHeight="1">
      <c r="J401" s="19"/>
    </row>
    <row r="402" ht="14.25" customHeight="1">
      <c r="J402" s="19"/>
    </row>
    <row r="403" ht="14.25" customHeight="1">
      <c r="J403" s="19"/>
    </row>
    <row r="404" ht="14.25" customHeight="1">
      <c r="J404" s="19"/>
    </row>
    <row r="405" ht="14.25" customHeight="1">
      <c r="J405" s="19"/>
    </row>
    <row r="406" ht="14.25" customHeight="1">
      <c r="J406" s="19"/>
    </row>
    <row r="407" ht="14.25" customHeight="1">
      <c r="J407" s="19"/>
    </row>
    <row r="408" ht="14.25" customHeight="1">
      <c r="J408" s="19"/>
    </row>
    <row r="409" ht="14.25" customHeight="1">
      <c r="J409" s="19"/>
    </row>
    <row r="410" ht="14.25" customHeight="1">
      <c r="J410" s="19"/>
    </row>
    <row r="411" ht="14.25" customHeight="1">
      <c r="J411" s="19"/>
    </row>
    <row r="412" ht="14.25" customHeight="1">
      <c r="J412" s="19"/>
    </row>
    <row r="413" ht="14.25" customHeight="1">
      <c r="J413" s="19"/>
    </row>
    <row r="414" ht="14.25" customHeight="1">
      <c r="J414" s="19"/>
    </row>
    <row r="415" ht="14.25" customHeight="1">
      <c r="J415" s="19"/>
    </row>
    <row r="416" ht="14.25" customHeight="1">
      <c r="J416" s="19"/>
    </row>
    <row r="417" ht="14.25" customHeight="1">
      <c r="J417" s="19"/>
    </row>
    <row r="418" ht="14.25" customHeight="1">
      <c r="J418" s="19"/>
    </row>
    <row r="419" ht="14.25" customHeight="1">
      <c r="J419" s="19"/>
    </row>
    <row r="420" ht="14.25" customHeight="1">
      <c r="J420" s="19"/>
    </row>
    <row r="421" ht="14.25" customHeight="1">
      <c r="J421" s="19"/>
    </row>
    <row r="422" ht="14.25" customHeight="1">
      <c r="J422" s="19"/>
    </row>
    <row r="423" ht="14.25" customHeight="1">
      <c r="J423" s="19"/>
    </row>
    <row r="424" ht="14.25" customHeight="1">
      <c r="J424" s="19"/>
    </row>
    <row r="425" ht="14.25" customHeight="1">
      <c r="J425" s="19"/>
    </row>
    <row r="426" ht="14.25" customHeight="1">
      <c r="J426" s="19"/>
    </row>
    <row r="427" ht="14.25" customHeight="1">
      <c r="J427" s="19"/>
    </row>
    <row r="428" ht="14.25" customHeight="1">
      <c r="J428" s="19"/>
    </row>
    <row r="429" ht="14.25" customHeight="1">
      <c r="J429" s="19"/>
    </row>
    <row r="430" ht="14.25" customHeight="1">
      <c r="J430" s="19"/>
    </row>
    <row r="431" ht="14.25" customHeight="1">
      <c r="J431" s="19"/>
    </row>
    <row r="432" ht="14.25" customHeight="1">
      <c r="J432" s="19"/>
    </row>
    <row r="433" ht="14.25" customHeight="1">
      <c r="J433" s="19"/>
    </row>
    <row r="434" ht="14.25" customHeight="1">
      <c r="J434" s="19"/>
    </row>
    <row r="435" ht="14.25" customHeight="1">
      <c r="J435" s="19"/>
    </row>
    <row r="436" ht="14.25" customHeight="1">
      <c r="J436" s="19"/>
    </row>
    <row r="437" ht="14.25" customHeight="1">
      <c r="J437" s="19"/>
    </row>
    <row r="438" ht="14.25" customHeight="1">
      <c r="J438" s="19"/>
    </row>
    <row r="439" ht="14.25" customHeight="1">
      <c r="J439" s="19"/>
    </row>
    <row r="440" ht="14.25" customHeight="1">
      <c r="J440" s="19"/>
    </row>
    <row r="441" ht="14.25" customHeight="1">
      <c r="J441" s="19"/>
    </row>
    <row r="442" ht="14.25" customHeight="1">
      <c r="J442" s="19"/>
    </row>
    <row r="443" ht="14.25" customHeight="1">
      <c r="J443" s="19"/>
    </row>
    <row r="444" ht="14.25" customHeight="1">
      <c r="J444" s="19"/>
    </row>
    <row r="445" ht="14.25" customHeight="1">
      <c r="J445" s="19"/>
    </row>
    <row r="446" ht="14.25" customHeight="1">
      <c r="J446" s="19"/>
    </row>
    <row r="447" ht="14.25" customHeight="1">
      <c r="J447" s="19"/>
    </row>
    <row r="448" ht="14.25" customHeight="1">
      <c r="J448" s="19"/>
    </row>
    <row r="449" ht="14.25" customHeight="1">
      <c r="J449" s="19"/>
    </row>
    <row r="450" ht="14.25" customHeight="1">
      <c r="J450" s="19"/>
    </row>
    <row r="451" ht="14.25" customHeight="1">
      <c r="J451" s="19"/>
    </row>
    <row r="452" ht="14.25" customHeight="1">
      <c r="J452" s="19"/>
    </row>
    <row r="453" ht="14.25" customHeight="1">
      <c r="J453" s="19"/>
    </row>
    <row r="454" ht="14.25" customHeight="1">
      <c r="J454" s="19"/>
    </row>
    <row r="455" ht="14.25" customHeight="1">
      <c r="J455" s="19"/>
    </row>
    <row r="456" ht="14.25" customHeight="1">
      <c r="J456" s="19"/>
    </row>
    <row r="457" ht="14.25" customHeight="1">
      <c r="J457" s="19"/>
    </row>
    <row r="458" ht="14.25" customHeight="1">
      <c r="J458" s="19"/>
    </row>
    <row r="459" ht="14.25" customHeight="1">
      <c r="J459" s="19"/>
    </row>
    <row r="460" ht="14.25" customHeight="1">
      <c r="J460" s="19"/>
    </row>
    <row r="461" ht="14.25" customHeight="1">
      <c r="J461" s="19"/>
    </row>
    <row r="462" ht="14.25" customHeight="1">
      <c r="J462" s="19"/>
    </row>
    <row r="463" ht="14.25" customHeight="1">
      <c r="J463" s="19"/>
    </row>
    <row r="464" ht="14.25" customHeight="1">
      <c r="J464" s="19"/>
    </row>
    <row r="465" ht="14.25" customHeight="1">
      <c r="J465" s="19"/>
    </row>
    <row r="466" ht="14.25" customHeight="1">
      <c r="J466" s="19"/>
    </row>
    <row r="467" ht="14.25" customHeight="1">
      <c r="J467" s="19"/>
    </row>
    <row r="468" ht="14.25" customHeight="1">
      <c r="J468" s="19"/>
    </row>
    <row r="469" ht="14.25" customHeight="1">
      <c r="J469" s="19"/>
    </row>
    <row r="470" ht="14.25" customHeight="1">
      <c r="J470" s="19"/>
    </row>
    <row r="471" ht="14.25" customHeight="1">
      <c r="J471" s="19"/>
    </row>
    <row r="472" ht="14.25" customHeight="1">
      <c r="J472" s="19"/>
    </row>
    <row r="473" ht="14.25" customHeight="1">
      <c r="J473" s="19"/>
    </row>
    <row r="474" ht="14.25" customHeight="1">
      <c r="J474" s="19"/>
    </row>
    <row r="475" ht="14.25" customHeight="1">
      <c r="J475" s="19"/>
    </row>
    <row r="476" ht="14.25" customHeight="1">
      <c r="J476" s="19"/>
    </row>
    <row r="477" ht="14.25" customHeight="1">
      <c r="J477" s="19"/>
    </row>
    <row r="478" ht="14.25" customHeight="1">
      <c r="J478" s="19"/>
    </row>
    <row r="479" ht="14.25" customHeight="1">
      <c r="J479" s="19"/>
    </row>
    <row r="480" ht="14.25" customHeight="1">
      <c r="J480" s="19"/>
    </row>
    <row r="481" ht="14.25" customHeight="1">
      <c r="J481" s="19"/>
    </row>
    <row r="482" ht="14.25" customHeight="1">
      <c r="J482" s="19"/>
    </row>
    <row r="483" ht="14.25" customHeight="1">
      <c r="J483" s="19"/>
    </row>
    <row r="484" ht="14.25" customHeight="1">
      <c r="J484" s="19"/>
    </row>
    <row r="485" ht="14.25" customHeight="1">
      <c r="J485" s="19"/>
    </row>
    <row r="486" ht="14.25" customHeight="1">
      <c r="J486" s="19"/>
    </row>
    <row r="487" ht="14.25" customHeight="1">
      <c r="J487" s="19"/>
    </row>
    <row r="488" ht="14.25" customHeight="1">
      <c r="J488" s="19"/>
    </row>
    <row r="489" ht="14.25" customHeight="1">
      <c r="J489" s="19"/>
    </row>
    <row r="490" ht="14.25" customHeight="1">
      <c r="J490" s="19"/>
    </row>
    <row r="491" ht="14.25" customHeight="1">
      <c r="J491" s="19"/>
    </row>
    <row r="492" ht="14.25" customHeight="1">
      <c r="J492" s="19"/>
    </row>
    <row r="493" ht="14.25" customHeight="1">
      <c r="J493" s="19"/>
    </row>
    <row r="494" ht="14.25" customHeight="1">
      <c r="J494" s="19"/>
    </row>
    <row r="495" ht="14.25" customHeight="1">
      <c r="J495" s="19"/>
    </row>
    <row r="496" ht="14.25" customHeight="1">
      <c r="J496" s="19"/>
    </row>
    <row r="497" ht="14.25" customHeight="1">
      <c r="J497" s="19"/>
    </row>
    <row r="498" ht="14.25" customHeight="1">
      <c r="J498" s="19"/>
    </row>
    <row r="499" ht="14.25" customHeight="1">
      <c r="J499" s="19"/>
    </row>
    <row r="500" ht="14.25" customHeight="1">
      <c r="J500" s="19"/>
    </row>
    <row r="501" ht="14.25" customHeight="1">
      <c r="J501" s="19"/>
    </row>
    <row r="502" ht="14.25" customHeight="1">
      <c r="J502" s="19"/>
    </row>
    <row r="503" ht="14.25" customHeight="1">
      <c r="J503" s="19"/>
    </row>
    <row r="504" ht="14.25" customHeight="1">
      <c r="J504" s="19"/>
    </row>
    <row r="505" ht="14.25" customHeight="1">
      <c r="J505" s="19"/>
    </row>
    <row r="506" ht="14.25" customHeight="1">
      <c r="J506" s="19"/>
    </row>
    <row r="507" ht="14.25" customHeight="1">
      <c r="J507" s="19"/>
    </row>
    <row r="508" ht="14.25" customHeight="1">
      <c r="J508" s="19"/>
    </row>
    <row r="509" ht="14.25" customHeight="1">
      <c r="J509" s="19"/>
    </row>
    <row r="510" ht="14.25" customHeight="1">
      <c r="J510" s="19"/>
    </row>
    <row r="511" ht="14.25" customHeight="1">
      <c r="J511" s="19"/>
    </row>
    <row r="512" ht="14.25" customHeight="1">
      <c r="J512" s="19"/>
    </row>
    <row r="513" ht="14.25" customHeight="1">
      <c r="J513" s="19"/>
    </row>
    <row r="514" ht="14.25" customHeight="1">
      <c r="J514" s="19"/>
    </row>
    <row r="515" ht="14.25" customHeight="1">
      <c r="J515" s="19"/>
    </row>
    <row r="516" ht="14.25" customHeight="1">
      <c r="J516" s="19"/>
    </row>
    <row r="517" ht="14.25" customHeight="1">
      <c r="J517" s="19"/>
    </row>
    <row r="518" ht="14.25" customHeight="1">
      <c r="J518" s="19"/>
    </row>
    <row r="519" ht="14.25" customHeight="1">
      <c r="J519" s="19"/>
    </row>
    <row r="520" ht="14.25" customHeight="1">
      <c r="J520" s="19"/>
    </row>
    <row r="521" ht="14.25" customHeight="1">
      <c r="J521" s="19"/>
    </row>
    <row r="522" ht="14.25" customHeight="1">
      <c r="J522" s="19"/>
    </row>
    <row r="523" ht="14.25" customHeight="1">
      <c r="J523" s="19"/>
    </row>
    <row r="524" ht="14.25" customHeight="1">
      <c r="J524" s="19"/>
    </row>
    <row r="525" ht="14.25" customHeight="1">
      <c r="J525" s="19"/>
    </row>
    <row r="526" ht="14.25" customHeight="1">
      <c r="J526" s="19"/>
    </row>
    <row r="527" ht="14.25" customHeight="1">
      <c r="J527" s="19"/>
    </row>
    <row r="528" ht="14.25" customHeight="1">
      <c r="J528" s="19"/>
    </row>
    <row r="529" ht="14.25" customHeight="1">
      <c r="J529" s="19"/>
    </row>
    <row r="530" ht="14.25" customHeight="1">
      <c r="J530" s="19"/>
    </row>
    <row r="531" ht="14.25" customHeight="1">
      <c r="J531" s="19"/>
    </row>
    <row r="532" ht="14.25" customHeight="1">
      <c r="J532" s="19"/>
    </row>
    <row r="533" ht="14.25" customHeight="1">
      <c r="J533" s="19"/>
    </row>
    <row r="534" ht="14.25" customHeight="1">
      <c r="J534" s="19"/>
    </row>
    <row r="535" ht="14.25" customHeight="1">
      <c r="J535" s="19"/>
    </row>
    <row r="536" ht="14.25" customHeight="1">
      <c r="J536" s="19"/>
    </row>
    <row r="537" ht="14.25" customHeight="1">
      <c r="J537" s="19"/>
    </row>
    <row r="538" ht="14.25" customHeight="1">
      <c r="J538" s="19"/>
    </row>
    <row r="539" ht="14.25" customHeight="1">
      <c r="J539" s="19"/>
    </row>
    <row r="540" ht="14.25" customHeight="1">
      <c r="J540" s="19"/>
    </row>
    <row r="541" ht="14.25" customHeight="1">
      <c r="J541" s="19"/>
    </row>
    <row r="542" ht="14.25" customHeight="1">
      <c r="J542" s="19"/>
    </row>
    <row r="543" ht="14.25" customHeight="1">
      <c r="J543" s="19"/>
    </row>
    <row r="544" ht="14.25" customHeight="1">
      <c r="J544" s="19"/>
    </row>
    <row r="545" ht="14.25" customHeight="1">
      <c r="J545" s="19"/>
    </row>
    <row r="546" ht="14.25" customHeight="1">
      <c r="J546" s="19"/>
    </row>
    <row r="547" ht="14.25" customHeight="1">
      <c r="J547" s="19"/>
    </row>
    <row r="548" ht="14.25" customHeight="1">
      <c r="J548" s="19"/>
    </row>
    <row r="549" ht="14.25" customHeight="1">
      <c r="J549" s="19"/>
    </row>
    <row r="550" ht="14.25" customHeight="1">
      <c r="J550" s="19"/>
    </row>
    <row r="551" ht="14.25" customHeight="1">
      <c r="J551" s="19"/>
    </row>
    <row r="552" ht="14.25" customHeight="1">
      <c r="J552" s="19"/>
    </row>
    <row r="553" ht="14.25" customHeight="1">
      <c r="J553" s="19"/>
    </row>
    <row r="554" ht="14.25" customHeight="1">
      <c r="J554" s="19"/>
    </row>
    <row r="555" ht="14.25" customHeight="1">
      <c r="J555" s="19"/>
    </row>
    <row r="556" ht="14.25" customHeight="1">
      <c r="J556" s="19"/>
    </row>
    <row r="557" ht="14.25" customHeight="1">
      <c r="J557" s="19"/>
    </row>
    <row r="558" ht="14.25" customHeight="1">
      <c r="J558" s="19"/>
    </row>
    <row r="559" ht="14.25" customHeight="1">
      <c r="J559" s="19"/>
    </row>
    <row r="560" ht="14.25" customHeight="1">
      <c r="J560" s="19"/>
    </row>
    <row r="561" ht="14.25" customHeight="1">
      <c r="J561" s="19"/>
    </row>
    <row r="562" ht="14.25" customHeight="1">
      <c r="J562" s="19"/>
    </row>
    <row r="563" ht="14.25" customHeight="1">
      <c r="J563" s="19"/>
    </row>
    <row r="564" ht="14.25" customHeight="1">
      <c r="J564" s="19"/>
    </row>
    <row r="565" ht="14.25" customHeight="1">
      <c r="J565" s="19"/>
    </row>
    <row r="566" ht="14.25" customHeight="1">
      <c r="J566" s="19"/>
    </row>
    <row r="567" ht="14.25" customHeight="1">
      <c r="J567" s="19"/>
    </row>
    <row r="568" ht="14.25" customHeight="1">
      <c r="J568" s="19"/>
    </row>
    <row r="569" ht="14.25" customHeight="1">
      <c r="J569" s="19"/>
    </row>
    <row r="570" ht="14.25" customHeight="1">
      <c r="J570" s="19"/>
    </row>
    <row r="571" ht="14.25" customHeight="1">
      <c r="J571" s="19"/>
    </row>
    <row r="572" ht="14.25" customHeight="1">
      <c r="J572" s="19"/>
    </row>
    <row r="573" ht="14.25" customHeight="1">
      <c r="J573" s="19"/>
    </row>
    <row r="574" ht="14.25" customHeight="1">
      <c r="J574" s="19"/>
    </row>
    <row r="575" ht="14.25" customHeight="1">
      <c r="J575" s="19"/>
    </row>
    <row r="576" ht="14.25" customHeight="1">
      <c r="J576" s="19"/>
    </row>
    <row r="577" ht="14.25" customHeight="1">
      <c r="J577" s="19"/>
    </row>
    <row r="578" ht="14.25" customHeight="1">
      <c r="J578" s="19"/>
    </row>
    <row r="579" ht="14.25" customHeight="1">
      <c r="J579" s="19"/>
    </row>
    <row r="580" ht="14.25" customHeight="1">
      <c r="J580" s="19"/>
    </row>
    <row r="581" ht="14.25" customHeight="1">
      <c r="J581" s="19"/>
    </row>
    <row r="582" ht="14.25" customHeight="1">
      <c r="J582" s="19"/>
    </row>
    <row r="583" ht="14.25" customHeight="1">
      <c r="J583" s="19"/>
    </row>
    <row r="584" ht="14.25" customHeight="1">
      <c r="J584" s="19"/>
    </row>
    <row r="585" ht="14.25" customHeight="1">
      <c r="J585" s="19"/>
    </row>
    <row r="586" ht="14.25" customHeight="1">
      <c r="J586" s="19"/>
    </row>
    <row r="587" ht="14.25" customHeight="1">
      <c r="J587" s="19"/>
    </row>
    <row r="588" ht="14.25" customHeight="1">
      <c r="J588" s="19"/>
    </row>
    <row r="589" ht="14.25" customHeight="1">
      <c r="J589" s="19"/>
    </row>
    <row r="590" ht="14.25" customHeight="1">
      <c r="J590" s="19"/>
    </row>
    <row r="591" ht="14.25" customHeight="1">
      <c r="J591" s="19"/>
    </row>
    <row r="592" ht="14.25" customHeight="1">
      <c r="J592" s="19"/>
    </row>
    <row r="593" ht="14.25" customHeight="1">
      <c r="J593" s="19"/>
    </row>
    <row r="594" ht="14.25" customHeight="1">
      <c r="J594" s="19"/>
    </row>
    <row r="595" ht="14.25" customHeight="1">
      <c r="J595" s="19"/>
    </row>
    <row r="596" ht="14.25" customHeight="1">
      <c r="J596" s="19"/>
    </row>
    <row r="597" ht="14.25" customHeight="1">
      <c r="J597" s="19"/>
    </row>
    <row r="598" ht="14.25" customHeight="1">
      <c r="J598" s="19"/>
    </row>
    <row r="599" ht="14.25" customHeight="1">
      <c r="J599" s="19"/>
    </row>
    <row r="600" ht="14.25" customHeight="1">
      <c r="J600" s="19"/>
    </row>
    <row r="601" ht="14.25" customHeight="1">
      <c r="J601" s="19"/>
    </row>
    <row r="602" ht="14.25" customHeight="1">
      <c r="J602" s="19"/>
    </row>
    <row r="603" ht="14.25" customHeight="1">
      <c r="J603" s="19"/>
    </row>
    <row r="604" ht="14.25" customHeight="1">
      <c r="J604" s="19"/>
    </row>
    <row r="605" ht="14.25" customHeight="1">
      <c r="J605" s="19"/>
    </row>
    <row r="606" ht="14.25" customHeight="1">
      <c r="J606" s="19"/>
    </row>
    <row r="607" ht="14.25" customHeight="1">
      <c r="J607" s="19"/>
    </row>
    <row r="608" ht="14.25" customHeight="1">
      <c r="J608" s="19"/>
    </row>
    <row r="609" ht="14.25" customHeight="1">
      <c r="J609" s="19"/>
    </row>
    <row r="610" ht="14.25" customHeight="1">
      <c r="J610" s="19"/>
    </row>
    <row r="611" ht="14.25" customHeight="1">
      <c r="J611" s="19"/>
    </row>
    <row r="612" ht="14.25" customHeight="1">
      <c r="J612" s="19"/>
    </row>
    <row r="613" ht="14.25" customHeight="1">
      <c r="J613" s="19"/>
    </row>
    <row r="614" ht="14.25" customHeight="1">
      <c r="J614" s="19"/>
    </row>
    <row r="615" ht="14.25" customHeight="1">
      <c r="J615" s="19"/>
    </row>
    <row r="616" ht="14.25" customHeight="1">
      <c r="J616" s="19"/>
    </row>
    <row r="617" ht="14.25" customHeight="1">
      <c r="J617" s="19"/>
    </row>
    <row r="618" ht="14.25" customHeight="1">
      <c r="J618" s="19"/>
    </row>
    <row r="619" ht="14.25" customHeight="1">
      <c r="J619" s="19"/>
    </row>
    <row r="620" ht="14.25" customHeight="1">
      <c r="J620" s="19"/>
    </row>
    <row r="621" ht="14.25" customHeight="1">
      <c r="J621" s="19"/>
    </row>
    <row r="622" ht="14.25" customHeight="1">
      <c r="J622" s="19"/>
    </row>
    <row r="623" ht="14.25" customHeight="1">
      <c r="J623" s="19"/>
    </row>
    <row r="624" ht="14.25" customHeight="1">
      <c r="J624" s="19"/>
    </row>
    <row r="625" ht="14.25" customHeight="1">
      <c r="J625" s="19"/>
    </row>
    <row r="626" ht="14.25" customHeight="1">
      <c r="J626" s="19"/>
    </row>
    <row r="627" ht="14.25" customHeight="1">
      <c r="J627" s="19"/>
    </row>
    <row r="628" ht="14.25" customHeight="1">
      <c r="J628" s="19"/>
    </row>
    <row r="629" ht="14.25" customHeight="1">
      <c r="J629" s="19"/>
    </row>
    <row r="630" ht="14.25" customHeight="1">
      <c r="J630" s="19"/>
    </row>
    <row r="631" ht="14.25" customHeight="1">
      <c r="J631" s="19"/>
    </row>
    <row r="632" ht="14.25" customHeight="1">
      <c r="J632" s="19"/>
    </row>
    <row r="633" ht="14.25" customHeight="1">
      <c r="J633" s="19"/>
    </row>
    <row r="634" ht="14.25" customHeight="1">
      <c r="J634" s="19"/>
    </row>
    <row r="635" ht="14.25" customHeight="1">
      <c r="J635" s="19"/>
    </row>
    <row r="636" ht="14.25" customHeight="1">
      <c r="J636" s="19"/>
    </row>
    <row r="637" ht="14.25" customHeight="1">
      <c r="J637" s="19"/>
    </row>
    <row r="638" ht="14.25" customHeight="1">
      <c r="J638" s="19"/>
    </row>
    <row r="639" ht="14.25" customHeight="1">
      <c r="J639" s="19"/>
    </row>
    <row r="640" ht="14.25" customHeight="1">
      <c r="J640" s="19"/>
    </row>
    <row r="641" ht="14.25" customHeight="1">
      <c r="J641" s="19"/>
    </row>
    <row r="642" ht="14.25" customHeight="1">
      <c r="J642" s="19"/>
    </row>
    <row r="643" ht="14.25" customHeight="1">
      <c r="J643" s="19"/>
    </row>
    <row r="644" ht="14.25" customHeight="1">
      <c r="J644" s="19"/>
    </row>
    <row r="645" ht="14.25" customHeight="1">
      <c r="J645" s="19"/>
    </row>
    <row r="646" ht="14.25" customHeight="1">
      <c r="J646" s="19"/>
    </row>
    <row r="647" ht="14.25" customHeight="1">
      <c r="J647" s="19"/>
    </row>
    <row r="648" ht="14.25" customHeight="1">
      <c r="J648" s="19"/>
    </row>
    <row r="649" ht="14.25" customHeight="1">
      <c r="J649" s="19"/>
    </row>
    <row r="650" ht="14.25" customHeight="1">
      <c r="J650" s="19"/>
    </row>
    <row r="651" ht="14.25" customHeight="1">
      <c r="J651" s="19"/>
    </row>
    <row r="652" ht="14.25" customHeight="1">
      <c r="J652" s="19"/>
    </row>
    <row r="653" ht="14.25" customHeight="1">
      <c r="J653" s="19"/>
    </row>
    <row r="654" ht="14.25" customHeight="1">
      <c r="J654" s="19"/>
    </row>
    <row r="655" ht="14.25" customHeight="1">
      <c r="J655" s="19"/>
    </row>
    <row r="656" ht="14.25" customHeight="1">
      <c r="J656" s="19"/>
    </row>
    <row r="657" ht="14.25" customHeight="1">
      <c r="J657" s="19"/>
    </row>
    <row r="658" ht="14.25" customHeight="1">
      <c r="J658" s="19"/>
    </row>
    <row r="659" ht="14.25" customHeight="1">
      <c r="J659" s="19"/>
    </row>
    <row r="660" ht="14.25" customHeight="1">
      <c r="J660" s="19"/>
    </row>
    <row r="661" ht="14.25" customHeight="1">
      <c r="J661" s="19"/>
    </row>
    <row r="662" ht="14.25" customHeight="1">
      <c r="J662" s="19"/>
    </row>
    <row r="663" ht="14.25" customHeight="1">
      <c r="J663" s="19"/>
    </row>
    <row r="664" ht="14.25" customHeight="1">
      <c r="J664" s="19"/>
    </row>
    <row r="665" ht="14.25" customHeight="1">
      <c r="J665" s="19"/>
    </row>
    <row r="666" ht="14.25" customHeight="1">
      <c r="J666" s="19"/>
    </row>
    <row r="667" ht="14.25" customHeight="1">
      <c r="J667" s="19"/>
    </row>
    <row r="668" ht="14.25" customHeight="1">
      <c r="J668" s="19"/>
    </row>
    <row r="669" ht="14.25" customHeight="1">
      <c r="J669" s="19"/>
    </row>
    <row r="670" ht="14.25" customHeight="1">
      <c r="J670" s="19"/>
    </row>
    <row r="671" ht="14.25" customHeight="1">
      <c r="J671" s="19"/>
    </row>
    <row r="672" ht="14.25" customHeight="1">
      <c r="J672" s="19"/>
    </row>
    <row r="673" ht="14.25" customHeight="1">
      <c r="J673" s="19"/>
    </row>
    <row r="674" ht="14.25" customHeight="1">
      <c r="J674" s="19"/>
    </row>
    <row r="675" ht="14.25" customHeight="1">
      <c r="J675" s="19"/>
    </row>
    <row r="676" ht="14.25" customHeight="1">
      <c r="J676" s="19"/>
    </row>
    <row r="677" ht="14.25" customHeight="1">
      <c r="J677" s="19"/>
    </row>
    <row r="678" ht="14.25" customHeight="1">
      <c r="J678" s="19"/>
    </row>
    <row r="679" ht="14.25" customHeight="1">
      <c r="J679" s="19"/>
    </row>
    <row r="680" ht="14.25" customHeight="1">
      <c r="J680" s="19"/>
    </row>
    <row r="681" ht="14.25" customHeight="1">
      <c r="J681" s="19"/>
    </row>
    <row r="682" ht="14.25" customHeight="1">
      <c r="J682" s="19"/>
    </row>
    <row r="683" ht="14.25" customHeight="1">
      <c r="J683" s="19"/>
    </row>
    <row r="684" ht="14.25" customHeight="1">
      <c r="J684" s="19"/>
    </row>
    <row r="685" ht="14.25" customHeight="1">
      <c r="J685" s="19"/>
    </row>
    <row r="686" ht="14.25" customHeight="1">
      <c r="J686" s="19"/>
    </row>
    <row r="687" ht="14.25" customHeight="1">
      <c r="J687" s="19"/>
    </row>
    <row r="688" ht="14.25" customHeight="1">
      <c r="J688" s="19"/>
    </row>
    <row r="689" ht="14.25" customHeight="1">
      <c r="J689" s="19"/>
    </row>
    <row r="690" ht="14.25" customHeight="1">
      <c r="J690" s="19"/>
    </row>
    <row r="691" ht="14.25" customHeight="1">
      <c r="J691" s="19"/>
    </row>
    <row r="692" ht="14.25" customHeight="1">
      <c r="J692" s="19"/>
    </row>
    <row r="693" ht="14.25" customHeight="1">
      <c r="J693" s="19"/>
    </row>
    <row r="694" ht="14.25" customHeight="1">
      <c r="J694" s="19"/>
    </row>
    <row r="695" ht="14.25" customHeight="1">
      <c r="J695" s="19"/>
    </row>
    <row r="696" ht="14.25" customHeight="1">
      <c r="J696" s="19"/>
    </row>
    <row r="697" ht="14.25" customHeight="1">
      <c r="J697" s="19"/>
    </row>
    <row r="698" ht="14.25" customHeight="1">
      <c r="J698" s="19"/>
    </row>
    <row r="699" ht="14.25" customHeight="1">
      <c r="J699" s="19"/>
    </row>
    <row r="700" ht="14.25" customHeight="1">
      <c r="J700" s="19"/>
    </row>
    <row r="701" ht="14.25" customHeight="1">
      <c r="J701" s="19"/>
    </row>
    <row r="702" ht="14.25" customHeight="1">
      <c r="J702" s="19"/>
    </row>
    <row r="703" ht="14.25" customHeight="1">
      <c r="J703" s="19"/>
    </row>
    <row r="704" ht="14.25" customHeight="1">
      <c r="J704" s="19"/>
    </row>
    <row r="705" ht="14.25" customHeight="1">
      <c r="J705" s="19"/>
    </row>
    <row r="706" ht="14.25" customHeight="1">
      <c r="J706" s="19"/>
    </row>
    <row r="707" ht="14.25" customHeight="1">
      <c r="J707" s="19"/>
    </row>
    <row r="708" ht="14.25" customHeight="1">
      <c r="J708" s="19"/>
    </row>
    <row r="709" ht="14.25" customHeight="1">
      <c r="J709" s="19"/>
    </row>
    <row r="710" ht="14.25" customHeight="1">
      <c r="J710" s="19"/>
    </row>
    <row r="711" ht="14.25" customHeight="1">
      <c r="J711" s="19"/>
    </row>
    <row r="712" ht="14.25" customHeight="1">
      <c r="J712" s="19"/>
    </row>
    <row r="713" ht="14.25" customHeight="1">
      <c r="J713" s="19"/>
    </row>
    <row r="714" ht="14.25" customHeight="1">
      <c r="J714" s="19"/>
    </row>
    <row r="715" ht="14.25" customHeight="1">
      <c r="J715" s="19"/>
    </row>
    <row r="716" ht="14.25" customHeight="1">
      <c r="J716" s="19"/>
    </row>
    <row r="717" ht="14.25" customHeight="1">
      <c r="J717" s="19"/>
    </row>
    <row r="718" ht="14.25" customHeight="1">
      <c r="J718" s="19"/>
    </row>
    <row r="719" ht="14.25" customHeight="1">
      <c r="J719" s="19"/>
    </row>
    <row r="720" ht="14.25" customHeight="1">
      <c r="J720" s="19"/>
    </row>
    <row r="721" ht="14.25" customHeight="1">
      <c r="J721" s="19"/>
    </row>
    <row r="722" ht="14.25" customHeight="1">
      <c r="J722" s="19"/>
    </row>
    <row r="723" ht="14.25" customHeight="1">
      <c r="J723" s="19"/>
    </row>
    <row r="724" ht="14.25" customHeight="1">
      <c r="J724" s="19"/>
    </row>
    <row r="725" ht="14.25" customHeight="1">
      <c r="J725" s="19"/>
    </row>
    <row r="726" ht="14.25" customHeight="1">
      <c r="J726" s="19"/>
    </row>
    <row r="727" ht="14.25" customHeight="1">
      <c r="J727" s="19"/>
    </row>
    <row r="728" ht="14.25" customHeight="1">
      <c r="J728" s="19"/>
    </row>
    <row r="729" ht="14.25" customHeight="1">
      <c r="J729" s="19"/>
    </row>
    <row r="730" ht="14.25" customHeight="1">
      <c r="J730" s="19"/>
    </row>
    <row r="731" ht="14.25" customHeight="1">
      <c r="J731" s="19"/>
    </row>
    <row r="732" ht="14.25" customHeight="1">
      <c r="J732" s="19"/>
    </row>
    <row r="733" ht="14.25" customHeight="1">
      <c r="J733" s="19"/>
    </row>
    <row r="734" ht="14.25" customHeight="1">
      <c r="J734" s="19"/>
    </row>
    <row r="735" ht="14.25" customHeight="1">
      <c r="J735" s="19"/>
    </row>
    <row r="736" ht="14.25" customHeight="1">
      <c r="J736" s="19"/>
    </row>
    <row r="737" ht="14.25" customHeight="1">
      <c r="J737" s="19"/>
    </row>
    <row r="738" ht="14.25" customHeight="1">
      <c r="J738" s="19"/>
    </row>
    <row r="739" ht="14.25" customHeight="1">
      <c r="J739" s="19"/>
    </row>
    <row r="740" ht="14.25" customHeight="1">
      <c r="J740" s="19"/>
    </row>
    <row r="741" ht="14.25" customHeight="1">
      <c r="J741" s="19"/>
    </row>
    <row r="742" ht="14.25" customHeight="1">
      <c r="J742" s="19"/>
    </row>
    <row r="743" ht="14.25" customHeight="1">
      <c r="J743" s="19"/>
    </row>
    <row r="744" ht="14.25" customHeight="1">
      <c r="J744" s="19"/>
    </row>
    <row r="745" ht="14.25" customHeight="1">
      <c r="J745" s="19"/>
    </row>
    <row r="746" ht="14.25" customHeight="1">
      <c r="J746" s="19"/>
    </row>
    <row r="747" ht="14.25" customHeight="1">
      <c r="J747" s="19"/>
    </row>
    <row r="748" ht="14.25" customHeight="1">
      <c r="J748" s="19"/>
    </row>
    <row r="749" ht="14.25" customHeight="1">
      <c r="J749" s="19"/>
    </row>
    <row r="750" ht="14.25" customHeight="1">
      <c r="J750" s="19"/>
    </row>
    <row r="751" ht="14.25" customHeight="1">
      <c r="J751" s="19"/>
    </row>
    <row r="752" ht="14.25" customHeight="1">
      <c r="J752" s="19"/>
    </row>
    <row r="753" ht="14.25" customHeight="1">
      <c r="J753" s="19"/>
    </row>
    <row r="754" ht="14.25" customHeight="1">
      <c r="J754" s="19"/>
    </row>
    <row r="755" ht="14.25" customHeight="1">
      <c r="J755" s="19"/>
    </row>
    <row r="756" ht="14.25" customHeight="1">
      <c r="J756" s="19"/>
    </row>
    <row r="757" ht="14.25" customHeight="1">
      <c r="J757" s="19"/>
    </row>
    <row r="758" ht="14.25" customHeight="1">
      <c r="J758" s="19"/>
    </row>
    <row r="759" ht="14.25" customHeight="1">
      <c r="J759" s="19"/>
    </row>
    <row r="760" ht="14.25" customHeight="1">
      <c r="J760" s="19"/>
    </row>
    <row r="761" ht="14.25" customHeight="1">
      <c r="J761" s="19"/>
    </row>
    <row r="762" ht="14.25" customHeight="1">
      <c r="J762" s="19"/>
    </row>
    <row r="763" ht="14.25" customHeight="1">
      <c r="J763" s="19"/>
    </row>
    <row r="764" ht="14.25" customHeight="1">
      <c r="J764" s="19"/>
    </row>
    <row r="765" ht="14.25" customHeight="1">
      <c r="J765" s="19"/>
    </row>
    <row r="766" ht="14.25" customHeight="1">
      <c r="J766" s="19"/>
    </row>
    <row r="767" ht="14.25" customHeight="1">
      <c r="J767" s="19"/>
    </row>
    <row r="768" ht="14.25" customHeight="1">
      <c r="J768" s="19"/>
    </row>
    <row r="769" ht="14.25" customHeight="1">
      <c r="J769" s="19"/>
    </row>
    <row r="770" ht="14.25" customHeight="1">
      <c r="J770" s="19"/>
    </row>
    <row r="771" ht="14.25" customHeight="1">
      <c r="J771" s="19"/>
    </row>
    <row r="772" ht="14.25" customHeight="1">
      <c r="J772" s="19"/>
    </row>
    <row r="773" ht="14.25" customHeight="1">
      <c r="J773" s="19"/>
    </row>
    <row r="774" ht="14.25" customHeight="1">
      <c r="J774" s="19"/>
    </row>
    <row r="775" ht="14.25" customHeight="1">
      <c r="J775" s="19"/>
    </row>
    <row r="776" ht="14.25" customHeight="1">
      <c r="J776" s="19"/>
    </row>
    <row r="777" ht="14.25" customHeight="1">
      <c r="J777" s="19"/>
    </row>
    <row r="778" ht="14.25" customHeight="1">
      <c r="J778" s="19"/>
    </row>
    <row r="779" ht="14.25" customHeight="1">
      <c r="J779" s="19"/>
    </row>
    <row r="780" ht="14.25" customHeight="1">
      <c r="J780" s="19"/>
    </row>
    <row r="781" ht="14.25" customHeight="1">
      <c r="J781" s="19"/>
    </row>
    <row r="782" ht="14.25" customHeight="1">
      <c r="J782" s="19"/>
    </row>
    <row r="783" ht="14.25" customHeight="1">
      <c r="J783" s="19"/>
    </row>
    <row r="784" ht="14.25" customHeight="1">
      <c r="J784" s="19"/>
    </row>
    <row r="785" ht="14.25" customHeight="1">
      <c r="J785" s="19"/>
    </row>
    <row r="786" ht="14.25" customHeight="1">
      <c r="J786" s="19"/>
    </row>
    <row r="787" ht="14.25" customHeight="1">
      <c r="J787" s="19"/>
    </row>
    <row r="788" ht="14.25" customHeight="1">
      <c r="J788" s="19"/>
    </row>
    <row r="789" ht="14.25" customHeight="1">
      <c r="J789" s="19"/>
    </row>
    <row r="790" ht="14.25" customHeight="1">
      <c r="J790" s="19"/>
    </row>
    <row r="791" ht="14.25" customHeight="1">
      <c r="J791" s="19"/>
    </row>
    <row r="792" ht="14.25" customHeight="1">
      <c r="J792" s="19"/>
    </row>
    <row r="793" ht="14.25" customHeight="1">
      <c r="J793" s="19"/>
    </row>
    <row r="794" ht="14.25" customHeight="1">
      <c r="J794" s="19"/>
    </row>
    <row r="795" ht="14.25" customHeight="1">
      <c r="J795" s="19"/>
    </row>
    <row r="796" ht="14.25" customHeight="1">
      <c r="J796" s="19"/>
    </row>
    <row r="797" ht="14.25" customHeight="1">
      <c r="J797" s="19"/>
    </row>
    <row r="798" ht="14.25" customHeight="1">
      <c r="J798" s="19"/>
    </row>
    <row r="799" ht="14.25" customHeight="1">
      <c r="J799" s="19"/>
    </row>
    <row r="800" ht="14.25" customHeight="1">
      <c r="J800" s="19"/>
    </row>
    <row r="801" ht="14.25" customHeight="1">
      <c r="J801" s="19"/>
    </row>
    <row r="802" ht="14.25" customHeight="1">
      <c r="J802" s="19"/>
    </row>
    <row r="803" ht="14.25" customHeight="1">
      <c r="J803" s="19"/>
    </row>
    <row r="804" ht="14.25" customHeight="1">
      <c r="J804" s="19"/>
    </row>
    <row r="805" ht="14.25" customHeight="1">
      <c r="J805" s="19"/>
    </row>
    <row r="806" ht="14.25" customHeight="1">
      <c r="J806" s="19"/>
    </row>
    <row r="807" ht="14.25" customHeight="1">
      <c r="J807" s="19"/>
    </row>
    <row r="808" ht="14.25" customHeight="1">
      <c r="J808" s="19"/>
    </row>
    <row r="809" ht="14.25" customHeight="1">
      <c r="J809" s="19"/>
    </row>
    <row r="810" ht="14.25" customHeight="1">
      <c r="J810" s="19"/>
    </row>
    <row r="811" ht="14.25" customHeight="1">
      <c r="J811" s="19"/>
    </row>
    <row r="812" ht="14.25" customHeight="1">
      <c r="J812" s="19"/>
    </row>
    <row r="813" ht="14.25" customHeight="1">
      <c r="J813" s="19"/>
    </row>
    <row r="814" ht="14.25" customHeight="1">
      <c r="J814" s="19"/>
    </row>
    <row r="815" ht="14.25" customHeight="1">
      <c r="J815" s="19"/>
    </row>
    <row r="816" ht="14.25" customHeight="1">
      <c r="J816" s="19"/>
    </row>
    <row r="817" ht="14.25" customHeight="1">
      <c r="J817" s="19"/>
    </row>
    <row r="818" ht="14.25" customHeight="1">
      <c r="J818" s="19"/>
    </row>
    <row r="819" ht="14.25" customHeight="1">
      <c r="J819" s="19"/>
    </row>
    <row r="820" ht="14.25" customHeight="1">
      <c r="J820" s="19"/>
    </row>
    <row r="821" ht="14.25" customHeight="1">
      <c r="J821" s="19"/>
    </row>
    <row r="822" ht="14.25" customHeight="1">
      <c r="J822" s="19"/>
    </row>
    <row r="823" ht="14.25" customHeight="1">
      <c r="J823" s="19"/>
    </row>
    <row r="824" ht="14.25" customHeight="1">
      <c r="J824" s="19"/>
    </row>
    <row r="825" ht="14.25" customHeight="1">
      <c r="J825" s="19"/>
    </row>
    <row r="826" ht="14.25" customHeight="1">
      <c r="J826" s="19"/>
    </row>
    <row r="827" ht="14.25" customHeight="1">
      <c r="J827" s="19"/>
    </row>
    <row r="828" ht="14.25" customHeight="1">
      <c r="J828" s="19"/>
    </row>
    <row r="829" ht="14.25" customHeight="1">
      <c r="J829" s="19"/>
    </row>
    <row r="830" ht="14.25" customHeight="1">
      <c r="J830" s="19"/>
    </row>
    <row r="831" ht="14.25" customHeight="1">
      <c r="J831" s="19"/>
    </row>
    <row r="832" ht="14.25" customHeight="1">
      <c r="J832" s="19"/>
    </row>
    <row r="833" ht="14.25" customHeight="1">
      <c r="J833" s="19"/>
    </row>
    <row r="834" ht="14.25" customHeight="1">
      <c r="J834" s="19"/>
    </row>
    <row r="835" ht="14.25" customHeight="1">
      <c r="J835" s="19"/>
    </row>
    <row r="836" ht="14.25" customHeight="1">
      <c r="J836" s="19"/>
    </row>
    <row r="837" ht="14.25" customHeight="1">
      <c r="J837" s="19"/>
    </row>
    <row r="838" ht="14.25" customHeight="1">
      <c r="J838" s="19"/>
    </row>
    <row r="839" ht="14.25" customHeight="1">
      <c r="J839" s="19"/>
    </row>
    <row r="840" ht="14.25" customHeight="1">
      <c r="J840" s="19"/>
    </row>
    <row r="841" ht="14.25" customHeight="1">
      <c r="J841" s="19"/>
    </row>
    <row r="842" ht="14.25" customHeight="1">
      <c r="J842" s="19"/>
    </row>
    <row r="843" ht="14.25" customHeight="1">
      <c r="J843" s="19"/>
    </row>
    <row r="844" ht="14.25" customHeight="1">
      <c r="J844" s="19"/>
    </row>
    <row r="845" ht="14.25" customHeight="1">
      <c r="J845" s="19"/>
    </row>
    <row r="846" ht="14.25" customHeight="1">
      <c r="J846" s="19"/>
    </row>
    <row r="847" ht="14.25" customHeight="1">
      <c r="J847" s="19"/>
    </row>
    <row r="848" ht="14.25" customHeight="1">
      <c r="J848" s="19"/>
    </row>
    <row r="849" ht="14.25" customHeight="1">
      <c r="J849" s="19"/>
    </row>
    <row r="850" ht="14.25" customHeight="1">
      <c r="J850" s="19"/>
    </row>
    <row r="851" ht="14.25" customHeight="1">
      <c r="J851" s="19"/>
    </row>
    <row r="852" ht="14.25" customHeight="1">
      <c r="J852" s="19"/>
    </row>
    <row r="853" ht="14.25" customHeight="1">
      <c r="J853" s="19"/>
    </row>
    <row r="854" ht="14.25" customHeight="1">
      <c r="J854" s="19"/>
    </row>
    <row r="855" ht="14.25" customHeight="1">
      <c r="J855" s="19"/>
    </row>
    <row r="856" ht="14.25" customHeight="1">
      <c r="J856" s="19"/>
    </row>
    <row r="857" ht="14.25" customHeight="1">
      <c r="J857" s="19"/>
    </row>
    <row r="858" ht="14.25" customHeight="1">
      <c r="J858" s="19"/>
    </row>
    <row r="859" ht="14.25" customHeight="1">
      <c r="J859" s="19"/>
    </row>
    <row r="860" ht="14.25" customHeight="1">
      <c r="J860" s="19"/>
    </row>
    <row r="861" ht="14.25" customHeight="1">
      <c r="J861" s="19"/>
    </row>
    <row r="862" ht="14.25" customHeight="1">
      <c r="J862" s="19"/>
    </row>
    <row r="863" ht="14.25" customHeight="1">
      <c r="J863" s="19"/>
    </row>
    <row r="864" ht="14.25" customHeight="1">
      <c r="J864" s="19"/>
    </row>
    <row r="865" ht="14.25" customHeight="1">
      <c r="J865" s="19"/>
    </row>
    <row r="866" ht="14.25" customHeight="1">
      <c r="J866" s="19"/>
    </row>
    <row r="867" ht="14.25" customHeight="1">
      <c r="J867" s="19"/>
    </row>
    <row r="868" ht="14.25" customHeight="1">
      <c r="J868" s="19"/>
    </row>
    <row r="869" ht="14.25" customHeight="1">
      <c r="J869" s="19"/>
    </row>
    <row r="870" ht="14.25" customHeight="1">
      <c r="J870" s="19"/>
    </row>
    <row r="871" ht="14.25" customHeight="1">
      <c r="J871" s="19"/>
    </row>
    <row r="872" ht="14.25" customHeight="1">
      <c r="J872" s="19"/>
    </row>
    <row r="873" ht="14.25" customHeight="1">
      <c r="J873" s="19"/>
    </row>
    <row r="874" ht="14.25" customHeight="1">
      <c r="J874" s="19"/>
    </row>
    <row r="875" ht="14.25" customHeight="1">
      <c r="J875" s="19"/>
    </row>
    <row r="876" ht="14.25" customHeight="1">
      <c r="J876" s="19"/>
    </row>
    <row r="877" ht="14.25" customHeight="1">
      <c r="J877" s="19"/>
    </row>
    <row r="878" ht="14.25" customHeight="1">
      <c r="J878" s="19"/>
    </row>
    <row r="879" ht="14.25" customHeight="1">
      <c r="J879" s="19"/>
    </row>
    <row r="880" ht="14.25" customHeight="1">
      <c r="J880" s="19"/>
    </row>
    <row r="881" ht="14.25" customHeight="1">
      <c r="J881" s="19"/>
    </row>
    <row r="882" ht="14.25" customHeight="1">
      <c r="J882" s="19"/>
    </row>
    <row r="883" ht="14.25" customHeight="1">
      <c r="J883" s="19"/>
    </row>
    <row r="884" ht="14.25" customHeight="1">
      <c r="J884" s="19"/>
    </row>
    <row r="885" ht="14.25" customHeight="1">
      <c r="J885" s="19"/>
    </row>
    <row r="886" ht="14.25" customHeight="1">
      <c r="J886" s="19"/>
    </row>
    <row r="887" ht="14.25" customHeight="1">
      <c r="J887" s="19"/>
    </row>
    <row r="888" ht="14.25" customHeight="1">
      <c r="J888" s="19"/>
    </row>
    <row r="889" ht="14.25" customHeight="1">
      <c r="J889" s="19"/>
    </row>
    <row r="890" ht="14.25" customHeight="1">
      <c r="J890" s="19"/>
    </row>
    <row r="891" ht="14.25" customHeight="1">
      <c r="J891" s="19"/>
    </row>
    <row r="892" ht="14.25" customHeight="1">
      <c r="J892" s="19"/>
    </row>
    <row r="893" ht="14.25" customHeight="1">
      <c r="J893" s="19"/>
    </row>
    <row r="894" ht="14.25" customHeight="1">
      <c r="J894" s="19"/>
    </row>
    <row r="895" ht="14.25" customHeight="1">
      <c r="J895" s="19"/>
    </row>
    <row r="896" ht="14.25" customHeight="1">
      <c r="J896" s="19"/>
    </row>
    <row r="897" ht="14.25" customHeight="1">
      <c r="J897" s="19"/>
    </row>
    <row r="898" ht="14.25" customHeight="1">
      <c r="J898" s="19"/>
    </row>
    <row r="899" ht="14.25" customHeight="1">
      <c r="J899" s="19"/>
    </row>
    <row r="900" ht="14.25" customHeight="1">
      <c r="J900" s="19"/>
    </row>
    <row r="901" ht="14.25" customHeight="1">
      <c r="J901" s="19"/>
    </row>
    <row r="902" ht="14.25" customHeight="1">
      <c r="J902" s="19"/>
    </row>
    <row r="903" ht="14.25" customHeight="1">
      <c r="J903" s="19"/>
    </row>
    <row r="904" ht="14.25" customHeight="1">
      <c r="J904" s="19"/>
    </row>
    <row r="905" ht="14.25" customHeight="1">
      <c r="J905" s="19"/>
    </row>
    <row r="906" ht="14.25" customHeight="1">
      <c r="J906" s="19"/>
    </row>
    <row r="907" ht="14.25" customHeight="1">
      <c r="J907" s="19"/>
    </row>
    <row r="908" ht="14.25" customHeight="1">
      <c r="J908" s="19"/>
    </row>
    <row r="909" ht="14.25" customHeight="1">
      <c r="J909" s="19"/>
    </row>
    <row r="910" ht="14.25" customHeight="1">
      <c r="J910" s="19"/>
    </row>
    <row r="911" ht="14.25" customHeight="1">
      <c r="J911" s="19"/>
    </row>
    <row r="912" ht="14.25" customHeight="1">
      <c r="J912" s="19"/>
    </row>
    <row r="913" ht="14.25" customHeight="1">
      <c r="J913" s="19"/>
    </row>
    <row r="914" ht="14.25" customHeight="1">
      <c r="J914" s="19"/>
    </row>
    <row r="915" ht="14.25" customHeight="1">
      <c r="J915" s="19"/>
    </row>
    <row r="916" ht="14.25" customHeight="1">
      <c r="J916" s="19"/>
    </row>
    <row r="917" ht="14.25" customHeight="1">
      <c r="J917" s="19"/>
    </row>
    <row r="918" ht="14.25" customHeight="1">
      <c r="J918" s="19"/>
    </row>
    <row r="919" ht="14.25" customHeight="1">
      <c r="J919" s="19"/>
    </row>
    <row r="920" ht="14.25" customHeight="1">
      <c r="J920" s="19"/>
    </row>
    <row r="921" ht="14.25" customHeight="1">
      <c r="J921" s="19"/>
    </row>
    <row r="922" ht="14.25" customHeight="1">
      <c r="J922" s="19"/>
    </row>
    <row r="923" ht="14.25" customHeight="1">
      <c r="J923" s="19"/>
    </row>
    <row r="924" ht="14.25" customHeight="1">
      <c r="J924" s="19"/>
    </row>
    <row r="925" ht="14.25" customHeight="1">
      <c r="J925" s="19"/>
    </row>
    <row r="926" ht="14.25" customHeight="1">
      <c r="J926" s="19"/>
    </row>
    <row r="927" ht="14.25" customHeight="1">
      <c r="J927" s="19"/>
    </row>
    <row r="928" ht="14.25" customHeight="1">
      <c r="J928" s="19"/>
    </row>
    <row r="929" ht="14.25" customHeight="1">
      <c r="J929" s="19"/>
    </row>
    <row r="930" ht="14.25" customHeight="1">
      <c r="J930" s="19"/>
    </row>
    <row r="931" ht="14.25" customHeight="1">
      <c r="J931" s="19"/>
    </row>
    <row r="932" ht="14.25" customHeight="1">
      <c r="J932" s="19"/>
    </row>
    <row r="933" ht="14.25" customHeight="1">
      <c r="J933" s="19"/>
    </row>
    <row r="934" ht="14.25" customHeight="1">
      <c r="J934" s="19"/>
    </row>
    <row r="935" ht="14.25" customHeight="1">
      <c r="J935" s="19"/>
    </row>
    <row r="936" ht="14.25" customHeight="1">
      <c r="J936" s="19"/>
    </row>
    <row r="937" ht="14.25" customHeight="1">
      <c r="J937" s="19"/>
    </row>
    <row r="938" ht="14.25" customHeight="1">
      <c r="J938" s="19"/>
    </row>
    <row r="939" ht="14.25" customHeight="1">
      <c r="J939" s="19"/>
    </row>
    <row r="940" ht="14.25" customHeight="1">
      <c r="J940" s="19"/>
    </row>
    <row r="941" ht="14.25" customHeight="1">
      <c r="J941" s="19"/>
    </row>
    <row r="942" ht="14.25" customHeight="1">
      <c r="J942" s="19"/>
    </row>
    <row r="943" ht="14.25" customHeight="1">
      <c r="J943" s="19"/>
    </row>
    <row r="944" ht="14.25" customHeight="1">
      <c r="J944" s="19"/>
    </row>
    <row r="945" ht="14.25" customHeight="1">
      <c r="J945" s="19"/>
    </row>
    <row r="946" ht="14.25" customHeight="1">
      <c r="J946" s="19"/>
    </row>
    <row r="947" ht="14.25" customHeight="1">
      <c r="J947" s="19"/>
    </row>
    <row r="948" ht="14.25" customHeight="1">
      <c r="J948" s="19"/>
    </row>
    <row r="949" ht="14.25" customHeight="1">
      <c r="J949" s="19"/>
    </row>
    <row r="950" ht="14.25" customHeight="1">
      <c r="J950" s="19"/>
    </row>
    <row r="951" ht="14.25" customHeight="1">
      <c r="J951" s="19"/>
    </row>
    <row r="952" ht="14.25" customHeight="1">
      <c r="J952" s="19"/>
    </row>
    <row r="953" ht="14.25" customHeight="1">
      <c r="J953" s="19"/>
    </row>
    <row r="954" ht="14.25" customHeight="1">
      <c r="J954" s="19"/>
    </row>
    <row r="955" ht="14.25" customHeight="1">
      <c r="J955" s="19"/>
    </row>
    <row r="956" ht="14.25" customHeight="1">
      <c r="J956" s="19"/>
    </row>
    <row r="957" ht="14.25" customHeight="1">
      <c r="J957" s="19"/>
    </row>
    <row r="958" ht="14.25" customHeight="1">
      <c r="J958" s="19"/>
    </row>
    <row r="959" ht="14.25" customHeight="1">
      <c r="J959" s="19"/>
    </row>
    <row r="960" ht="14.25" customHeight="1">
      <c r="J960" s="19"/>
    </row>
    <row r="961" ht="14.25" customHeight="1">
      <c r="J961" s="19"/>
    </row>
    <row r="962" ht="14.25" customHeight="1">
      <c r="J962" s="19"/>
    </row>
    <row r="963" ht="14.25" customHeight="1">
      <c r="J963" s="19"/>
    </row>
    <row r="964" ht="14.25" customHeight="1">
      <c r="J964" s="19"/>
    </row>
    <row r="965" ht="14.25" customHeight="1">
      <c r="J965" s="19"/>
    </row>
    <row r="966" ht="14.25" customHeight="1">
      <c r="J966" s="19"/>
    </row>
    <row r="967" ht="14.25" customHeight="1">
      <c r="J967" s="19"/>
    </row>
    <row r="968" ht="14.25" customHeight="1">
      <c r="J968" s="19"/>
    </row>
    <row r="969" ht="14.25" customHeight="1">
      <c r="J969" s="19"/>
    </row>
    <row r="970" ht="14.25" customHeight="1">
      <c r="J970" s="19"/>
    </row>
    <row r="971" ht="14.25" customHeight="1">
      <c r="J971" s="19"/>
    </row>
    <row r="972" ht="14.25" customHeight="1">
      <c r="J972" s="19"/>
    </row>
    <row r="973" ht="14.25" customHeight="1">
      <c r="J973" s="19"/>
    </row>
    <row r="974" ht="14.25" customHeight="1">
      <c r="J974" s="19"/>
    </row>
  </sheetData>
  <mergeCells count="2">
    <mergeCell ref="A51:H51"/>
    <mergeCell ref="A52:H52"/>
  </mergeCells>
  <printOptions/>
  <pageMargins bottom="0.75" footer="0.0" header="0.0" left="0.7" right="0.7" top="0.75"/>
  <pageSetup paperSize="9" scale="7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26.29"/>
    <col customWidth="1" min="3" max="3" width="71.71"/>
    <col customWidth="1" hidden="1" min="4" max="4" width="11.86"/>
    <col customWidth="1" min="5" max="5" width="17.0"/>
    <col customWidth="1" min="6" max="6" width="7.86"/>
    <col customWidth="1" hidden="1" min="7" max="7" width="5.57"/>
    <col customWidth="1" hidden="1" min="8" max="8" width="8.71"/>
    <col customWidth="1" min="9" max="9" width="17.57"/>
    <col customWidth="1" min="10" max="12" width="12.86"/>
    <col customWidth="1" min="13" max="13" width="24.29"/>
    <col customWidth="1" min="14" max="14" width="11.0"/>
    <col customWidth="1" min="15" max="15" width="39.0"/>
    <col customWidth="1" min="16" max="18" width="8.71"/>
    <col customWidth="1" min="19" max="19" width="29.86"/>
    <col customWidth="1" min="20" max="21" width="8.71"/>
    <col customWidth="1" min="22" max="22" width="15.71"/>
    <col customWidth="1" min="23" max="30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98</v>
      </c>
      <c r="F1" s="1" t="s">
        <v>99</v>
      </c>
      <c r="G1" s="1" t="s">
        <v>4</v>
      </c>
      <c r="H1" s="1" t="s">
        <v>5</v>
      </c>
      <c r="I1" s="1" t="s">
        <v>107</v>
      </c>
      <c r="J1" s="2"/>
      <c r="K1" s="2" t="s">
        <v>7</v>
      </c>
      <c r="L1" s="1" t="s">
        <v>8</v>
      </c>
      <c r="M1" s="1" t="s">
        <v>9</v>
      </c>
      <c r="N1" s="1" t="s">
        <v>10</v>
      </c>
      <c r="O1" s="3"/>
      <c r="P1" s="3"/>
      <c r="Q1" s="3"/>
      <c r="R1" s="3"/>
      <c r="S1" s="4" t="s">
        <v>11</v>
      </c>
      <c r="T1" s="4" t="s">
        <v>12</v>
      </c>
      <c r="U1" s="4" t="s">
        <v>13</v>
      </c>
      <c r="V1" s="1" t="s">
        <v>14</v>
      </c>
      <c r="W1" s="3"/>
      <c r="X1" s="3"/>
      <c r="Y1" s="3"/>
      <c r="Z1" s="3"/>
      <c r="AA1" s="3"/>
      <c r="AB1" s="3"/>
      <c r="AC1" s="3"/>
      <c r="AD1" s="3"/>
    </row>
    <row r="2" ht="14.25" customHeight="1">
      <c r="A2" s="5">
        <v>1.0</v>
      </c>
      <c r="B2" s="5" t="s">
        <v>15</v>
      </c>
      <c r="C2" s="6" t="s">
        <v>16</v>
      </c>
      <c r="D2" s="5" t="s">
        <v>17</v>
      </c>
      <c r="E2" s="6" t="s">
        <v>101</v>
      </c>
      <c r="F2" s="6" t="s">
        <v>102</v>
      </c>
      <c r="G2" s="6">
        <v>56.0</v>
      </c>
      <c r="H2" s="6" t="s">
        <v>18</v>
      </c>
      <c r="I2" s="6">
        <v>10.0</v>
      </c>
      <c r="J2" s="7"/>
      <c r="K2" s="7">
        <f t="shared" ref="K2:K25" si="2">I2/1440</f>
        <v>0.006944444444</v>
      </c>
      <c r="L2" s="6">
        <v>1.0</v>
      </c>
      <c r="M2" s="5">
        <f>sum(I2:I4)</f>
        <v>40</v>
      </c>
      <c r="N2" s="8">
        <f>M2/(60*24)</f>
        <v>0.02777777778</v>
      </c>
      <c r="O2" s="9" t="s">
        <v>19</v>
      </c>
      <c r="S2" s="10" t="str">
        <f>B2</f>
        <v>Disposisi PR</v>
      </c>
      <c r="T2" s="10">
        <f t="shared" ref="T2:U2" si="1">M2</f>
        <v>40</v>
      </c>
      <c r="U2" s="11">
        <f t="shared" si="1"/>
        <v>0.02777777778</v>
      </c>
      <c r="V2" s="12">
        <f t="shared" ref="V2:V11" si="4">U2/$U$12</f>
        <v>0.0008200922604</v>
      </c>
      <c r="W2" s="12"/>
    </row>
    <row r="3" ht="14.25" customHeight="1">
      <c r="A3" s="6">
        <v>2.0</v>
      </c>
      <c r="C3" s="6" t="s">
        <v>20</v>
      </c>
      <c r="D3" s="6" t="s">
        <v>17</v>
      </c>
      <c r="E3" s="6" t="s">
        <v>101</v>
      </c>
      <c r="F3" s="6" t="s">
        <v>102</v>
      </c>
      <c r="G3" s="6">
        <v>56.0</v>
      </c>
      <c r="H3" s="6" t="s">
        <v>18</v>
      </c>
      <c r="I3" s="6">
        <v>20.0</v>
      </c>
      <c r="J3" s="7"/>
      <c r="K3" s="7">
        <f t="shared" si="2"/>
        <v>0.01388888889</v>
      </c>
      <c r="L3" s="6">
        <v>1.0</v>
      </c>
      <c r="N3" s="8"/>
      <c r="O3" s="13" t="s">
        <v>21</v>
      </c>
      <c r="S3" s="10" t="str">
        <f>B5</f>
        <v>Pembuatan Proposal Tender</v>
      </c>
      <c r="T3" s="10">
        <f t="shared" ref="T3:U3" si="3">M5</f>
        <v>40</v>
      </c>
      <c r="U3" s="11">
        <f t="shared" si="3"/>
        <v>0.02777777778</v>
      </c>
      <c r="V3" s="12">
        <f t="shared" si="4"/>
        <v>0.0008200922604</v>
      </c>
    </row>
    <row r="4" ht="14.25" customHeight="1">
      <c r="A4" s="5">
        <v>3.0</v>
      </c>
      <c r="C4" s="6" t="s">
        <v>22</v>
      </c>
      <c r="D4" s="5" t="s">
        <v>17</v>
      </c>
      <c r="E4" s="6" t="s">
        <v>101</v>
      </c>
      <c r="F4" s="6" t="s">
        <v>102</v>
      </c>
      <c r="G4" s="6">
        <v>56.0</v>
      </c>
      <c r="H4" s="6" t="s">
        <v>18</v>
      </c>
      <c r="I4" s="6">
        <v>10.0</v>
      </c>
      <c r="J4" s="7"/>
      <c r="K4" s="7">
        <f t="shared" si="2"/>
        <v>0.006944444444</v>
      </c>
      <c r="L4" s="6">
        <v>1.0</v>
      </c>
      <c r="N4" s="8"/>
      <c r="S4" s="10" t="str">
        <f>B10</f>
        <v>Pembuatan DUR &amp; Approval</v>
      </c>
      <c r="T4" s="10">
        <f t="shared" ref="T4:U4" si="5">M10</f>
        <v>8940</v>
      </c>
      <c r="U4" s="11">
        <f t="shared" si="5"/>
        <v>6.208333333</v>
      </c>
      <c r="V4" s="12">
        <f t="shared" si="4"/>
        <v>0.1832906202</v>
      </c>
    </row>
    <row r="5" ht="14.25" customHeight="1">
      <c r="A5" s="6">
        <v>4.0</v>
      </c>
      <c r="B5" s="5" t="s">
        <v>25</v>
      </c>
      <c r="C5" s="5" t="s">
        <v>26</v>
      </c>
      <c r="D5" s="5" t="s">
        <v>24</v>
      </c>
      <c r="E5" s="6" t="s">
        <v>101</v>
      </c>
      <c r="F5" s="6" t="s">
        <v>102</v>
      </c>
      <c r="G5" s="6">
        <v>56.0</v>
      </c>
      <c r="H5" s="6" t="s">
        <v>18</v>
      </c>
      <c r="I5" s="6">
        <v>5.0</v>
      </c>
      <c r="J5" s="7"/>
      <c r="K5" s="7">
        <f t="shared" si="2"/>
        <v>0.003472222222</v>
      </c>
      <c r="L5" s="6">
        <v>1.0</v>
      </c>
      <c r="M5" s="5">
        <f>sum(I5:I9)</f>
        <v>40</v>
      </c>
      <c r="N5" s="8">
        <f>M5/(60*24)</f>
        <v>0.02777777778</v>
      </c>
      <c r="S5" s="10" t="str">
        <f>B15</f>
        <v>Aanwijzing</v>
      </c>
      <c r="T5" s="10">
        <f t="shared" ref="T5:U5" si="6">M15</f>
        <v>4370</v>
      </c>
      <c r="U5" s="11">
        <f t="shared" si="6"/>
        <v>3.034722222</v>
      </c>
      <c r="V5" s="12">
        <f t="shared" si="4"/>
        <v>0.08959507945</v>
      </c>
    </row>
    <row r="6" ht="14.25" customHeight="1">
      <c r="A6" s="5">
        <v>5.0</v>
      </c>
      <c r="C6" s="5" t="s">
        <v>27</v>
      </c>
      <c r="D6" s="5" t="s">
        <v>24</v>
      </c>
      <c r="E6" s="6" t="s">
        <v>101</v>
      </c>
      <c r="F6" s="6" t="s">
        <v>102</v>
      </c>
      <c r="G6" s="6">
        <v>56.0</v>
      </c>
      <c r="H6" s="6" t="s">
        <v>18</v>
      </c>
      <c r="I6" s="6">
        <v>10.0</v>
      </c>
      <c r="J6" s="7"/>
      <c r="K6" s="7">
        <f t="shared" si="2"/>
        <v>0.006944444444</v>
      </c>
      <c r="L6" s="6">
        <v>1.0</v>
      </c>
      <c r="N6" s="8"/>
      <c r="S6" s="10" t="str">
        <f>B19</f>
        <v>Penawaran Rekanan</v>
      </c>
      <c r="T6" s="10">
        <f t="shared" ref="T6:U6" si="7">M19</f>
        <v>10090</v>
      </c>
      <c r="U6" s="11">
        <f t="shared" si="7"/>
        <v>7.006944444</v>
      </c>
      <c r="V6" s="12">
        <f t="shared" si="4"/>
        <v>0.2068682727</v>
      </c>
    </row>
    <row r="7" ht="14.25" customHeight="1">
      <c r="A7" s="6">
        <v>6.0</v>
      </c>
      <c r="C7" s="5" t="s">
        <v>28</v>
      </c>
      <c r="D7" s="5" t="s">
        <v>24</v>
      </c>
      <c r="E7" s="6" t="s">
        <v>101</v>
      </c>
      <c r="F7" s="6" t="s">
        <v>102</v>
      </c>
      <c r="G7" s="6">
        <v>56.0</v>
      </c>
      <c r="H7" s="6" t="s">
        <v>18</v>
      </c>
      <c r="I7" s="6">
        <v>10.0</v>
      </c>
      <c r="J7" s="7"/>
      <c r="K7" s="7">
        <f t="shared" si="2"/>
        <v>0.006944444444</v>
      </c>
      <c r="L7" s="6">
        <v>1.0</v>
      </c>
      <c r="N7" s="8"/>
      <c r="S7" s="10" t="str">
        <f>B21</f>
        <v>Evaluasi Teknis</v>
      </c>
      <c r="T7" s="10">
        <f t="shared" ref="T7:U7" si="8">M21</f>
        <v>5920</v>
      </c>
      <c r="U7" s="11">
        <f t="shared" si="8"/>
        <v>4.111111111</v>
      </c>
      <c r="V7" s="12">
        <f t="shared" si="4"/>
        <v>0.1213736545</v>
      </c>
    </row>
    <row r="8" ht="14.25" customHeight="1">
      <c r="A8" s="5">
        <v>7.0</v>
      </c>
      <c r="C8" s="5" t="s">
        <v>29</v>
      </c>
      <c r="D8" s="5" t="s">
        <v>24</v>
      </c>
      <c r="E8" s="6" t="s">
        <v>101</v>
      </c>
      <c r="F8" s="6" t="s">
        <v>102</v>
      </c>
      <c r="G8" s="6">
        <v>56.0</v>
      </c>
      <c r="H8" s="6" t="s">
        <v>18</v>
      </c>
      <c r="I8" s="6">
        <v>5.0</v>
      </c>
      <c r="J8" s="7"/>
      <c r="K8" s="7">
        <f t="shared" si="2"/>
        <v>0.003472222222</v>
      </c>
      <c r="L8" s="6">
        <v>1.0</v>
      </c>
      <c r="N8" s="8"/>
      <c r="S8" s="10" t="str">
        <f>B26</f>
        <v>Negosiasi</v>
      </c>
      <c r="T8" s="10">
        <f t="shared" ref="T8:U8" si="9">M27</f>
        <v>1510</v>
      </c>
      <c r="U8" s="11">
        <f t="shared" si="9"/>
        <v>1.048611111</v>
      </c>
      <c r="V8" s="12">
        <f t="shared" si="4"/>
        <v>0.03095848283</v>
      </c>
    </row>
    <row r="9" ht="14.25" customHeight="1">
      <c r="A9" s="6">
        <v>8.0</v>
      </c>
      <c r="C9" s="5" t="s">
        <v>30</v>
      </c>
      <c r="D9" s="5" t="s">
        <v>24</v>
      </c>
      <c r="E9" s="6" t="s">
        <v>101</v>
      </c>
      <c r="F9" s="6" t="s">
        <v>102</v>
      </c>
      <c r="G9" s="6">
        <v>56.0</v>
      </c>
      <c r="H9" s="6" t="s">
        <v>18</v>
      </c>
      <c r="I9" s="6">
        <v>10.0</v>
      </c>
      <c r="J9" s="7"/>
      <c r="K9" s="7">
        <f t="shared" si="2"/>
        <v>0.006944444444</v>
      </c>
      <c r="L9" s="6">
        <v>1.0</v>
      </c>
      <c r="N9" s="8"/>
      <c r="S9" s="10" t="str">
        <f>B33</f>
        <v>Usulan Pemenang</v>
      </c>
      <c r="T9" s="10">
        <f t="shared" ref="T9:U9" si="10">M33</f>
        <v>8930</v>
      </c>
      <c r="U9" s="11">
        <f t="shared" si="10"/>
        <v>6.201388889</v>
      </c>
      <c r="V9" s="12">
        <f t="shared" si="4"/>
        <v>0.1830855971</v>
      </c>
    </row>
    <row r="10" ht="14.25" customHeight="1">
      <c r="A10" s="5">
        <v>9.0</v>
      </c>
      <c r="B10" s="5" t="s">
        <v>31</v>
      </c>
      <c r="C10" s="5" t="s">
        <v>32</v>
      </c>
      <c r="D10" s="5" t="s">
        <v>24</v>
      </c>
      <c r="E10" s="6" t="s">
        <v>101</v>
      </c>
      <c r="F10" s="6" t="s">
        <v>102</v>
      </c>
      <c r="G10" s="6">
        <v>56.0</v>
      </c>
      <c r="H10" s="6" t="s">
        <v>18</v>
      </c>
      <c r="I10" s="6">
        <v>20.0</v>
      </c>
      <c r="J10" s="7"/>
      <c r="K10" s="7">
        <f t="shared" si="2"/>
        <v>0.01388888889</v>
      </c>
      <c r="L10" s="6">
        <v>1.0</v>
      </c>
      <c r="M10" s="5">
        <f>sum(I10:I14)</f>
        <v>8940</v>
      </c>
      <c r="N10" s="8">
        <f>M10/(60*24)</f>
        <v>6.208333333</v>
      </c>
      <c r="S10" s="10" t="str">
        <f>B38</f>
        <v>Purchase Order (PO)</v>
      </c>
      <c r="T10" s="10">
        <f t="shared" ref="T10:U10" si="11">M38</f>
        <v>8930</v>
      </c>
      <c r="U10" s="11">
        <f t="shared" si="11"/>
        <v>6.201388889</v>
      </c>
      <c r="V10" s="12">
        <f t="shared" si="4"/>
        <v>0.1830855971</v>
      </c>
    </row>
    <row r="11" ht="14.25" customHeight="1">
      <c r="A11" s="6">
        <v>10.0</v>
      </c>
      <c r="C11" s="5" t="s">
        <v>37</v>
      </c>
      <c r="D11" s="5" t="s">
        <v>38</v>
      </c>
      <c r="E11" s="6" t="s">
        <v>101</v>
      </c>
      <c r="F11" s="6" t="s">
        <v>102</v>
      </c>
      <c r="G11" s="6">
        <v>56.0</v>
      </c>
      <c r="H11" s="6" t="s">
        <v>18</v>
      </c>
      <c r="I11" s="6">
        <v>40.0</v>
      </c>
      <c r="J11" s="7"/>
      <c r="K11" s="7">
        <f t="shared" si="2"/>
        <v>0.02777777778</v>
      </c>
      <c r="L11" s="6">
        <v>1.0</v>
      </c>
      <c r="N11" s="8"/>
      <c r="S11" s="5" t="str">
        <f>B43</f>
        <v>Kirim PO</v>
      </c>
      <c r="T11" s="5">
        <f t="shared" ref="T11:U11" si="12">M43</f>
        <v>5</v>
      </c>
      <c r="U11" s="8">
        <f t="shared" si="12"/>
        <v>0.003472222222</v>
      </c>
      <c r="V11" s="12">
        <f t="shared" si="4"/>
        <v>0.0001025115325</v>
      </c>
    </row>
    <row r="12" ht="14.25" customHeight="1">
      <c r="A12" s="5">
        <v>11.0</v>
      </c>
      <c r="C12" s="5" t="s">
        <v>39</v>
      </c>
      <c r="D12" s="5" t="s">
        <v>38</v>
      </c>
      <c r="E12" s="6" t="s">
        <v>101</v>
      </c>
      <c r="F12" s="6" t="s">
        <v>102</v>
      </c>
      <c r="G12" s="6">
        <v>56.0</v>
      </c>
      <c r="H12" s="6" t="s">
        <v>18</v>
      </c>
      <c r="I12" s="6">
        <v>180.0</v>
      </c>
      <c r="J12" s="7"/>
      <c r="K12" s="7">
        <f t="shared" si="2"/>
        <v>0.125</v>
      </c>
      <c r="L12" s="6">
        <v>1.0</v>
      </c>
      <c r="N12" s="8"/>
      <c r="T12" s="5">
        <f t="shared" ref="T12:U12" si="13">sum(T2:T11)</f>
        <v>48775</v>
      </c>
      <c r="U12" s="8">
        <f t="shared" si="13"/>
        <v>33.87152778</v>
      </c>
    </row>
    <row r="13" ht="14.25" customHeight="1">
      <c r="A13" s="6">
        <v>12.0</v>
      </c>
      <c r="C13" s="5" t="s">
        <v>40</v>
      </c>
      <c r="D13" s="5" t="s">
        <v>38</v>
      </c>
      <c r="E13" s="6" t="s">
        <v>101</v>
      </c>
      <c r="F13" s="6" t="s">
        <v>102</v>
      </c>
      <c r="G13" s="6">
        <v>56.0</v>
      </c>
      <c r="H13" s="6" t="s">
        <v>18</v>
      </c>
      <c r="I13" s="6">
        <v>1500.0</v>
      </c>
      <c r="J13" s="7"/>
      <c r="K13" s="7">
        <f t="shared" si="2"/>
        <v>1.041666667</v>
      </c>
      <c r="L13" s="6">
        <v>1.0</v>
      </c>
      <c r="N13" s="8"/>
    </row>
    <row r="14" ht="14.25" customHeight="1">
      <c r="A14" s="5">
        <v>13.0</v>
      </c>
      <c r="C14" s="5" t="s">
        <v>41</v>
      </c>
      <c r="D14" s="5" t="s">
        <v>38</v>
      </c>
      <c r="E14" s="6" t="s">
        <v>101</v>
      </c>
      <c r="F14" s="6" t="s">
        <v>102</v>
      </c>
      <c r="G14" s="6">
        <v>56.0</v>
      </c>
      <c r="H14" s="6" t="s">
        <v>18</v>
      </c>
      <c r="I14" s="6">
        <v>7200.0</v>
      </c>
      <c r="J14" s="7"/>
      <c r="K14" s="7">
        <f t="shared" si="2"/>
        <v>5</v>
      </c>
      <c r="L14" s="6">
        <v>1.0</v>
      </c>
      <c r="N14" s="8"/>
    </row>
    <row r="15" ht="14.25" customHeight="1">
      <c r="A15" s="6">
        <v>14.0</v>
      </c>
      <c r="B15" s="5" t="s">
        <v>42</v>
      </c>
      <c r="C15" s="5" t="s">
        <v>43</v>
      </c>
      <c r="D15" s="5" t="s">
        <v>17</v>
      </c>
      <c r="E15" s="6" t="s">
        <v>101</v>
      </c>
      <c r="F15" s="6" t="s">
        <v>102</v>
      </c>
      <c r="G15" s="6">
        <v>56.0</v>
      </c>
      <c r="H15" s="6" t="s">
        <v>18</v>
      </c>
      <c r="I15" s="6">
        <v>10.0</v>
      </c>
      <c r="J15" s="7"/>
      <c r="K15" s="7">
        <f t="shared" si="2"/>
        <v>0.006944444444</v>
      </c>
      <c r="L15" s="6">
        <v>1.0</v>
      </c>
      <c r="M15" s="5">
        <f>sum(I15:I18)</f>
        <v>4370</v>
      </c>
      <c r="N15" s="8">
        <f>M15/(60*24)</f>
        <v>3.034722222</v>
      </c>
    </row>
    <row r="16" ht="14.25" customHeight="1">
      <c r="A16" s="5">
        <v>15.0</v>
      </c>
      <c r="C16" s="5" t="s">
        <v>44</v>
      </c>
      <c r="D16" s="5" t="s">
        <v>45</v>
      </c>
      <c r="E16" s="5" t="s">
        <v>45</v>
      </c>
      <c r="F16" s="6" t="s">
        <v>102</v>
      </c>
      <c r="G16" s="6">
        <v>56.0</v>
      </c>
      <c r="H16" s="6" t="s">
        <v>18</v>
      </c>
      <c r="I16" s="6">
        <v>4320.0</v>
      </c>
      <c r="J16" s="7"/>
      <c r="K16" s="7">
        <f t="shared" si="2"/>
        <v>3</v>
      </c>
      <c r="L16" s="6">
        <v>1.0</v>
      </c>
      <c r="N16" s="8"/>
    </row>
    <row r="17" ht="14.25" customHeight="1">
      <c r="A17" s="6">
        <v>16.0</v>
      </c>
      <c r="C17" s="6" t="s">
        <v>46</v>
      </c>
      <c r="D17" s="6" t="s">
        <v>47</v>
      </c>
      <c r="E17" s="6" t="s">
        <v>47</v>
      </c>
      <c r="F17" s="6" t="s">
        <v>102</v>
      </c>
      <c r="G17" s="6">
        <v>56.0</v>
      </c>
      <c r="H17" s="6" t="s">
        <v>18</v>
      </c>
      <c r="I17" s="6">
        <v>30.0</v>
      </c>
      <c r="J17" s="7"/>
      <c r="K17" s="7">
        <f t="shared" si="2"/>
        <v>0.02083333333</v>
      </c>
      <c r="L17" s="6">
        <v>1.0</v>
      </c>
      <c r="N17" s="8"/>
    </row>
    <row r="18" ht="14.25" customHeight="1">
      <c r="A18" s="5">
        <v>17.0</v>
      </c>
      <c r="C18" s="5" t="s">
        <v>48</v>
      </c>
      <c r="D18" s="6" t="s">
        <v>49</v>
      </c>
      <c r="E18" s="6" t="s">
        <v>49</v>
      </c>
      <c r="F18" s="6" t="s">
        <v>102</v>
      </c>
      <c r="G18" s="6">
        <v>56.0</v>
      </c>
      <c r="H18" s="6" t="s">
        <v>18</v>
      </c>
      <c r="I18" s="6">
        <v>10.0</v>
      </c>
      <c r="J18" s="7"/>
      <c r="K18" s="7">
        <f t="shared" si="2"/>
        <v>0.006944444444</v>
      </c>
      <c r="L18" s="6">
        <v>1.0</v>
      </c>
      <c r="N18" s="8"/>
    </row>
    <row r="19" ht="14.25" customHeight="1">
      <c r="A19" s="6">
        <v>18.0</v>
      </c>
      <c r="B19" s="21" t="s">
        <v>50</v>
      </c>
      <c r="C19" s="5" t="s">
        <v>51</v>
      </c>
      <c r="D19" s="5" t="s">
        <v>24</v>
      </c>
      <c r="E19" s="6" t="s">
        <v>101</v>
      </c>
      <c r="F19" s="6" t="s">
        <v>102</v>
      </c>
      <c r="G19" s="6">
        <v>56.0</v>
      </c>
      <c r="H19" s="6" t="s">
        <v>18</v>
      </c>
      <c r="I19" s="6">
        <v>10080.0</v>
      </c>
      <c r="J19" s="7"/>
      <c r="K19" s="7">
        <f t="shared" si="2"/>
        <v>7</v>
      </c>
      <c r="L19" s="6">
        <v>1.0</v>
      </c>
      <c r="M19" s="5">
        <f>sum(I19:I20)</f>
        <v>10090</v>
      </c>
      <c r="N19" s="8">
        <f>M19/(60*24)</f>
        <v>7.006944444</v>
      </c>
    </row>
    <row r="20" ht="14.25" customHeight="1">
      <c r="A20" s="5">
        <v>19.0</v>
      </c>
      <c r="C20" s="21" t="s">
        <v>52</v>
      </c>
      <c r="D20" s="5" t="s">
        <v>24</v>
      </c>
      <c r="E20" s="6" t="s">
        <v>101</v>
      </c>
      <c r="F20" s="6" t="s">
        <v>102</v>
      </c>
      <c r="G20" s="6">
        <v>56.0</v>
      </c>
      <c r="H20" s="6" t="s">
        <v>18</v>
      </c>
      <c r="I20" s="6">
        <v>10.0</v>
      </c>
      <c r="J20" s="7"/>
      <c r="K20" s="7">
        <f t="shared" si="2"/>
        <v>0.006944444444</v>
      </c>
      <c r="L20" s="6">
        <v>1.0</v>
      </c>
      <c r="N20" s="8"/>
    </row>
    <row r="21" ht="14.25" customHeight="1">
      <c r="A21" s="6">
        <v>20.0</v>
      </c>
      <c r="B21" s="22" t="s">
        <v>55</v>
      </c>
      <c r="C21" s="22" t="s">
        <v>105</v>
      </c>
      <c r="D21" s="5" t="s">
        <v>17</v>
      </c>
      <c r="E21" s="6" t="s">
        <v>101</v>
      </c>
      <c r="F21" s="6" t="s">
        <v>102</v>
      </c>
      <c r="G21" s="6">
        <v>56.0</v>
      </c>
      <c r="H21" s="6" t="s">
        <v>18</v>
      </c>
      <c r="I21" s="6">
        <v>20.0</v>
      </c>
      <c r="J21" s="7"/>
      <c r="K21" s="7">
        <f t="shared" si="2"/>
        <v>0.01388888889</v>
      </c>
      <c r="L21" s="6">
        <v>1.0</v>
      </c>
      <c r="M21" s="5">
        <f>sum(I21:I25)</f>
        <v>5920</v>
      </c>
      <c r="N21" s="8">
        <f>M21/(60*24)</f>
        <v>4.111111111</v>
      </c>
    </row>
    <row r="22" ht="14.25" customHeight="1">
      <c r="A22" s="5">
        <v>21.0</v>
      </c>
      <c r="B22" s="21"/>
      <c r="C22" s="21" t="s">
        <v>69</v>
      </c>
      <c r="D22" s="5" t="s">
        <v>17</v>
      </c>
      <c r="E22" s="6" t="s">
        <v>101</v>
      </c>
      <c r="F22" s="6" t="s">
        <v>102</v>
      </c>
      <c r="G22" s="6">
        <v>56.0</v>
      </c>
      <c r="H22" s="6" t="s">
        <v>18</v>
      </c>
      <c r="I22" s="6">
        <v>5760.0</v>
      </c>
      <c r="J22" s="7"/>
      <c r="K22" s="7">
        <f t="shared" si="2"/>
        <v>4</v>
      </c>
      <c r="L22" s="6">
        <v>1.0</v>
      </c>
      <c r="N22" s="8"/>
    </row>
    <row r="23" ht="14.25" customHeight="1">
      <c r="A23" s="6">
        <v>22.0</v>
      </c>
      <c r="B23" s="21"/>
      <c r="C23" s="22" t="s">
        <v>106</v>
      </c>
      <c r="D23" s="5" t="s">
        <v>17</v>
      </c>
      <c r="E23" s="6" t="s">
        <v>101</v>
      </c>
      <c r="F23" s="6" t="s">
        <v>102</v>
      </c>
      <c r="G23" s="6">
        <v>56.0</v>
      </c>
      <c r="H23" s="6" t="s">
        <v>18</v>
      </c>
      <c r="I23" s="6">
        <v>10.0</v>
      </c>
      <c r="J23" s="7"/>
      <c r="K23" s="7">
        <f t="shared" si="2"/>
        <v>0.006944444444</v>
      </c>
      <c r="L23" s="6">
        <v>1.0</v>
      </c>
      <c r="N23" s="8"/>
    </row>
    <row r="24" ht="14.25" customHeight="1">
      <c r="A24" s="5">
        <v>23.0</v>
      </c>
      <c r="B24" s="21"/>
      <c r="C24" s="21" t="s">
        <v>71</v>
      </c>
      <c r="D24" s="5" t="s">
        <v>17</v>
      </c>
      <c r="E24" s="6" t="s">
        <v>101</v>
      </c>
      <c r="F24" s="6" t="s">
        <v>102</v>
      </c>
      <c r="G24" s="6">
        <v>56.0</v>
      </c>
      <c r="H24" s="6" t="s">
        <v>18</v>
      </c>
      <c r="I24" s="6">
        <v>10.0</v>
      </c>
      <c r="J24" s="7"/>
      <c r="K24" s="7">
        <f t="shared" si="2"/>
        <v>0.006944444444</v>
      </c>
      <c r="L24" s="6">
        <v>1.0</v>
      </c>
      <c r="N24" s="8"/>
    </row>
    <row r="25" ht="14.25" customHeight="1">
      <c r="A25" s="6">
        <v>24.0</v>
      </c>
      <c r="B25" s="21"/>
      <c r="C25" s="21" t="s">
        <v>72</v>
      </c>
      <c r="D25" s="5" t="s">
        <v>17</v>
      </c>
      <c r="E25" s="6" t="s">
        <v>101</v>
      </c>
      <c r="F25" s="6" t="s">
        <v>102</v>
      </c>
      <c r="G25" s="6">
        <v>56.0</v>
      </c>
      <c r="H25" s="6" t="s">
        <v>18</v>
      </c>
      <c r="I25" s="6">
        <v>120.0</v>
      </c>
      <c r="J25" s="7"/>
      <c r="K25" s="7">
        <f t="shared" si="2"/>
        <v>0.08333333333</v>
      </c>
      <c r="L25" s="6">
        <v>1.0</v>
      </c>
      <c r="N25" s="8"/>
    </row>
    <row r="26" ht="14.25" customHeight="1">
      <c r="A26" s="5">
        <v>25.0</v>
      </c>
      <c r="B26" s="6" t="s">
        <v>77</v>
      </c>
      <c r="C26" s="6" t="s">
        <v>108</v>
      </c>
      <c r="E26" s="6" t="s">
        <v>101</v>
      </c>
      <c r="F26" s="6" t="s">
        <v>102</v>
      </c>
      <c r="G26" s="6"/>
      <c r="H26" s="6"/>
      <c r="I26" s="6">
        <v>5.0</v>
      </c>
      <c r="J26" s="7"/>
      <c r="K26" s="7"/>
      <c r="L26" s="6"/>
      <c r="N26" s="8"/>
    </row>
    <row r="27">
      <c r="A27" s="6">
        <v>26.0</v>
      </c>
      <c r="C27" s="5" t="s">
        <v>78</v>
      </c>
      <c r="D27" s="5" t="s">
        <v>24</v>
      </c>
      <c r="E27" s="6" t="s">
        <v>101</v>
      </c>
      <c r="F27" s="6" t="s">
        <v>102</v>
      </c>
      <c r="G27" s="6">
        <v>56.0</v>
      </c>
      <c r="H27" s="6" t="s">
        <v>18</v>
      </c>
      <c r="I27" s="6">
        <v>30.0</v>
      </c>
      <c r="J27" s="7"/>
      <c r="K27" s="7">
        <f t="shared" ref="K27:K43" si="14">I27/1440</f>
        <v>0.02083333333</v>
      </c>
      <c r="L27" s="6">
        <v>1.0</v>
      </c>
      <c r="M27" s="5">
        <f>sum(I27:I32)</f>
        <v>1510</v>
      </c>
      <c r="N27" s="8">
        <f>M27/(60*24)</f>
        <v>1.048611111</v>
      </c>
    </row>
    <row r="28" ht="14.25" customHeight="1">
      <c r="A28" s="5">
        <v>27.0</v>
      </c>
      <c r="C28" s="5" t="s">
        <v>79</v>
      </c>
      <c r="D28" s="5" t="s">
        <v>17</v>
      </c>
      <c r="E28" s="6" t="s">
        <v>101</v>
      </c>
      <c r="F28" s="6" t="s">
        <v>102</v>
      </c>
      <c r="G28" s="6">
        <v>56.0</v>
      </c>
      <c r="H28" s="6" t="s">
        <v>18</v>
      </c>
      <c r="I28" s="6">
        <v>10.0</v>
      </c>
      <c r="J28" s="7"/>
      <c r="K28" s="7">
        <f t="shared" si="14"/>
        <v>0.006944444444</v>
      </c>
      <c r="L28" s="6">
        <v>1.0</v>
      </c>
      <c r="N28" s="8"/>
    </row>
    <row r="29" ht="14.25" customHeight="1">
      <c r="A29" s="6">
        <v>28.0</v>
      </c>
      <c r="C29" s="5" t="s">
        <v>80</v>
      </c>
      <c r="D29" s="5" t="s">
        <v>17</v>
      </c>
      <c r="E29" s="6" t="s">
        <v>101</v>
      </c>
      <c r="F29" s="6" t="s">
        <v>102</v>
      </c>
      <c r="G29" s="6">
        <v>56.0</v>
      </c>
      <c r="H29" s="6" t="s">
        <v>18</v>
      </c>
      <c r="I29" s="6">
        <v>10.0</v>
      </c>
      <c r="J29" s="7"/>
      <c r="K29" s="7">
        <f t="shared" si="14"/>
        <v>0.006944444444</v>
      </c>
      <c r="L29" s="6">
        <v>1.0</v>
      </c>
      <c r="N29" s="8"/>
    </row>
    <row r="30" ht="14.25" customHeight="1">
      <c r="A30" s="5">
        <v>29.0</v>
      </c>
      <c r="C30" s="5" t="s">
        <v>81</v>
      </c>
      <c r="D30" s="5" t="s">
        <v>24</v>
      </c>
      <c r="E30" s="6" t="s">
        <v>101</v>
      </c>
      <c r="F30" s="6" t="s">
        <v>102</v>
      </c>
      <c r="G30" s="6">
        <v>56.0</v>
      </c>
      <c r="H30" s="6" t="s">
        <v>18</v>
      </c>
      <c r="I30" s="6">
        <v>10.0</v>
      </c>
      <c r="J30" s="7"/>
      <c r="K30" s="7">
        <f t="shared" si="14"/>
        <v>0.006944444444</v>
      </c>
      <c r="L30" s="6">
        <v>1.0</v>
      </c>
      <c r="N30" s="8"/>
    </row>
    <row r="31" ht="14.25" customHeight="1">
      <c r="A31" s="6">
        <v>30.0</v>
      </c>
      <c r="C31" s="5" t="s">
        <v>82</v>
      </c>
      <c r="D31" s="5" t="s">
        <v>24</v>
      </c>
      <c r="E31" s="6" t="s">
        <v>101</v>
      </c>
      <c r="F31" s="6" t="s">
        <v>102</v>
      </c>
      <c r="G31" s="6">
        <v>56.0</v>
      </c>
      <c r="H31" s="6" t="s">
        <v>18</v>
      </c>
      <c r="I31" s="6">
        <v>1440.0</v>
      </c>
      <c r="J31" s="7"/>
      <c r="K31" s="7">
        <f t="shared" si="14"/>
        <v>1</v>
      </c>
      <c r="L31" s="6">
        <v>1.0</v>
      </c>
      <c r="N31" s="8"/>
    </row>
    <row r="32" ht="14.25" customHeight="1">
      <c r="A32" s="5">
        <v>31.0</v>
      </c>
      <c r="C32" s="5" t="s">
        <v>85</v>
      </c>
      <c r="D32" s="5" t="s">
        <v>17</v>
      </c>
      <c r="E32" s="6" t="s">
        <v>101</v>
      </c>
      <c r="F32" s="6" t="s">
        <v>102</v>
      </c>
      <c r="G32" s="6">
        <v>56.0</v>
      </c>
      <c r="H32" s="6" t="s">
        <v>18</v>
      </c>
      <c r="I32" s="6">
        <v>10.0</v>
      </c>
      <c r="J32" s="7"/>
      <c r="K32" s="7">
        <f t="shared" si="14"/>
        <v>0.006944444444</v>
      </c>
      <c r="L32" s="6">
        <v>1.0</v>
      </c>
      <c r="N32" s="8"/>
    </row>
    <row r="33" ht="14.25" customHeight="1">
      <c r="A33" s="6">
        <v>32.0</v>
      </c>
      <c r="B33" s="6" t="s">
        <v>86</v>
      </c>
      <c r="C33" s="5" t="s">
        <v>87</v>
      </c>
      <c r="D33" s="5" t="s">
        <v>24</v>
      </c>
      <c r="E33" s="6" t="s">
        <v>101</v>
      </c>
      <c r="F33" s="6" t="s">
        <v>102</v>
      </c>
      <c r="G33" s="6">
        <v>56.0</v>
      </c>
      <c r="H33" s="6" t="s">
        <v>18</v>
      </c>
      <c r="I33" s="6">
        <v>10.0</v>
      </c>
      <c r="J33" s="7"/>
      <c r="K33" s="7">
        <f t="shared" si="14"/>
        <v>0.006944444444</v>
      </c>
      <c r="L33" s="6">
        <v>1.0</v>
      </c>
      <c r="M33" s="5">
        <f>sum(I33:I37)</f>
        <v>8930</v>
      </c>
      <c r="N33" s="8">
        <f>M33/(60*24)</f>
        <v>6.201388889</v>
      </c>
    </row>
    <row r="34" ht="14.25" customHeight="1">
      <c r="A34" s="5">
        <v>33.0</v>
      </c>
      <c r="C34" s="5" t="s">
        <v>37</v>
      </c>
      <c r="D34" s="5" t="s">
        <v>38</v>
      </c>
      <c r="E34" s="6" t="s">
        <v>101</v>
      </c>
      <c r="F34" s="6" t="s">
        <v>102</v>
      </c>
      <c r="G34" s="6">
        <v>56.0</v>
      </c>
      <c r="H34" s="6" t="s">
        <v>18</v>
      </c>
      <c r="I34" s="6">
        <v>40.0</v>
      </c>
      <c r="J34" s="7"/>
      <c r="K34" s="7">
        <f t="shared" si="14"/>
        <v>0.02777777778</v>
      </c>
      <c r="L34" s="6">
        <v>1.0</v>
      </c>
      <c r="N34" s="8"/>
    </row>
    <row r="35" ht="14.25" customHeight="1">
      <c r="A35" s="6">
        <v>34.0</v>
      </c>
      <c r="C35" s="5" t="s">
        <v>39</v>
      </c>
      <c r="D35" s="5" t="s">
        <v>38</v>
      </c>
      <c r="E35" s="6" t="s">
        <v>101</v>
      </c>
      <c r="F35" s="6" t="s">
        <v>102</v>
      </c>
      <c r="G35" s="6">
        <v>56.0</v>
      </c>
      <c r="H35" s="6" t="s">
        <v>18</v>
      </c>
      <c r="I35" s="6">
        <v>180.0</v>
      </c>
      <c r="J35" s="7"/>
      <c r="K35" s="7">
        <f t="shared" si="14"/>
        <v>0.125</v>
      </c>
      <c r="L35" s="6">
        <v>1.0</v>
      </c>
      <c r="N35" s="8"/>
    </row>
    <row r="36" ht="14.25" customHeight="1">
      <c r="A36" s="5">
        <v>35.0</v>
      </c>
      <c r="C36" s="5" t="s">
        <v>40</v>
      </c>
      <c r="D36" s="5" t="s">
        <v>38</v>
      </c>
      <c r="E36" s="6" t="s">
        <v>101</v>
      </c>
      <c r="F36" s="6" t="s">
        <v>102</v>
      </c>
      <c r="G36" s="6">
        <v>56.0</v>
      </c>
      <c r="H36" s="6" t="s">
        <v>18</v>
      </c>
      <c r="I36" s="6">
        <v>1500.0</v>
      </c>
      <c r="J36" s="7"/>
      <c r="K36" s="7">
        <f t="shared" si="14"/>
        <v>1.041666667</v>
      </c>
      <c r="L36" s="6">
        <v>1.0</v>
      </c>
      <c r="N36" s="8"/>
    </row>
    <row r="37" ht="14.25" customHeight="1">
      <c r="A37" s="6">
        <v>36.0</v>
      </c>
      <c r="C37" s="5" t="s">
        <v>41</v>
      </c>
      <c r="D37" s="5" t="s">
        <v>38</v>
      </c>
      <c r="E37" s="6" t="s">
        <v>101</v>
      </c>
      <c r="F37" s="6" t="s">
        <v>102</v>
      </c>
      <c r="G37" s="6">
        <v>56.0</v>
      </c>
      <c r="H37" s="6" t="s">
        <v>18</v>
      </c>
      <c r="I37" s="6">
        <v>7200.0</v>
      </c>
      <c r="J37" s="7"/>
      <c r="K37" s="7">
        <f t="shared" si="14"/>
        <v>5</v>
      </c>
      <c r="L37" s="6">
        <v>1.0</v>
      </c>
      <c r="N37" s="8"/>
    </row>
    <row r="38" ht="14.25" customHeight="1">
      <c r="A38" s="5">
        <v>37.0</v>
      </c>
      <c r="B38" s="6" t="s">
        <v>88</v>
      </c>
      <c r="C38" s="5" t="s">
        <v>89</v>
      </c>
      <c r="D38" s="5" t="s">
        <v>90</v>
      </c>
      <c r="E38" s="6" t="s">
        <v>101</v>
      </c>
      <c r="F38" s="6" t="s">
        <v>102</v>
      </c>
      <c r="G38" s="6">
        <v>56.0</v>
      </c>
      <c r="H38" s="6" t="s">
        <v>91</v>
      </c>
      <c r="I38" s="6">
        <v>10.0</v>
      </c>
      <c r="J38" s="7"/>
      <c r="K38" s="7">
        <f t="shared" si="14"/>
        <v>0.006944444444</v>
      </c>
      <c r="L38" s="6">
        <v>1.0</v>
      </c>
      <c r="M38" s="5">
        <f>sum(I38:I42)</f>
        <v>8930</v>
      </c>
      <c r="N38" s="8">
        <f>M38/(60*24)</f>
        <v>6.201388889</v>
      </c>
    </row>
    <row r="39" ht="14.25" customHeight="1">
      <c r="A39" s="6">
        <v>38.0</v>
      </c>
      <c r="C39" s="5" t="s">
        <v>37</v>
      </c>
      <c r="D39" s="5" t="s">
        <v>17</v>
      </c>
      <c r="E39" s="6" t="s">
        <v>101</v>
      </c>
      <c r="F39" s="6" t="s">
        <v>102</v>
      </c>
      <c r="G39" s="6">
        <v>56.0</v>
      </c>
      <c r="H39" s="6" t="s">
        <v>91</v>
      </c>
      <c r="I39" s="6">
        <v>40.0</v>
      </c>
      <c r="J39" s="7"/>
      <c r="K39" s="7">
        <f t="shared" si="14"/>
        <v>0.02777777778</v>
      </c>
      <c r="L39" s="6">
        <v>1.0</v>
      </c>
      <c r="N39" s="8"/>
    </row>
    <row r="40" ht="14.25" customHeight="1">
      <c r="A40" s="5">
        <v>39.0</v>
      </c>
      <c r="C40" s="5" t="s">
        <v>39</v>
      </c>
      <c r="D40" s="5" t="s">
        <v>17</v>
      </c>
      <c r="E40" s="6" t="s">
        <v>101</v>
      </c>
      <c r="F40" s="6" t="s">
        <v>102</v>
      </c>
      <c r="G40" s="6">
        <v>56.0</v>
      </c>
      <c r="H40" s="6" t="s">
        <v>91</v>
      </c>
      <c r="I40" s="6">
        <v>180.0</v>
      </c>
      <c r="J40" s="7"/>
      <c r="K40" s="7">
        <f t="shared" si="14"/>
        <v>0.125</v>
      </c>
      <c r="L40" s="6">
        <v>1.0</v>
      </c>
      <c r="N40" s="8"/>
    </row>
    <row r="41" ht="14.25" customHeight="1">
      <c r="A41" s="6">
        <v>40.0</v>
      </c>
      <c r="C41" s="5" t="s">
        <v>40</v>
      </c>
      <c r="D41" s="5" t="s">
        <v>17</v>
      </c>
      <c r="E41" s="6" t="s">
        <v>101</v>
      </c>
      <c r="F41" s="6" t="s">
        <v>102</v>
      </c>
      <c r="G41" s="6">
        <v>56.0</v>
      </c>
      <c r="H41" s="6" t="s">
        <v>91</v>
      </c>
      <c r="I41" s="6">
        <v>1500.0</v>
      </c>
      <c r="J41" s="7"/>
      <c r="K41" s="7">
        <f t="shared" si="14"/>
        <v>1.041666667</v>
      </c>
      <c r="L41" s="6">
        <v>1.0</v>
      </c>
      <c r="N41" s="8"/>
    </row>
    <row r="42" ht="14.25" customHeight="1">
      <c r="A42" s="5">
        <v>41.0</v>
      </c>
      <c r="C42" s="5" t="s">
        <v>41</v>
      </c>
      <c r="D42" s="5" t="s">
        <v>17</v>
      </c>
      <c r="E42" s="6" t="s">
        <v>101</v>
      </c>
      <c r="F42" s="6" t="s">
        <v>102</v>
      </c>
      <c r="G42" s="6">
        <v>56.0</v>
      </c>
      <c r="H42" s="6" t="s">
        <v>91</v>
      </c>
      <c r="I42" s="6">
        <v>7200.0</v>
      </c>
      <c r="J42" s="7"/>
      <c r="K42" s="7">
        <f t="shared" si="14"/>
        <v>5</v>
      </c>
      <c r="L42" s="6">
        <v>1.0</v>
      </c>
      <c r="N42" s="8"/>
    </row>
    <row r="43" ht="14.25" customHeight="1">
      <c r="A43" s="6">
        <v>42.0</v>
      </c>
      <c r="B43" s="6" t="s">
        <v>94</v>
      </c>
      <c r="C43" s="5" t="s">
        <v>95</v>
      </c>
      <c r="D43" s="5" t="s">
        <v>17</v>
      </c>
      <c r="E43" s="6" t="s">
        <v>101</v>
      </c>
      <c r="F43" s="6" t="s">
        <v>102</v>
      </c>
      <c r="G43" s="6">
        <v>56.0</v>
      </c>
      <c r="H43" s="6" t="s">
        <v>91</v>
      </c>
      <c r="I43" s="6">
        <v>5.0</v>
      </c>
      <c r="J43" s="7"/>
      <c r="K43" s="7">
        <f t="shared" si="14"/>
        <v>0.003472222222</v>
      </c>
      <c r="L43" s="6">
        <v>1.0</v>
      </c>
      <c r="M43" s="5">
        <f>sum(I43)</f>
        <v>5</v>
      </c>
      <c r="N43" s="8">
        <f t="shared" ref="N43:N45" si="15">M43/(60*24)</f>
        <v>0.003472222222</v>
      </c>
    </row>
    <row r="44" ht="14.25" customHeight="1">
      <c r="A44" s="17" t="s">
        <v>96</v>
      </c>
      <c r="I44" s="18">
        <f>sum(I2:I43)</f>
        <v>48780</v>
      </c>
      <c r="J44" s="19"/>
      <c r="K44" s="19"/>
      <c r="M44" s="18">
        <f>sum(M2:M43)</f>
        <v>48775</v>
      </c>
      <c r="N44" s="5">
        <f t="shared" si="15"/>
        <v>33.87152778</v>
      </c>
    </row>
    <row r="45" ht="14.25" customHeight="1">
      <c r="A45" s="17" t="s">
        <v>97</v>
      </c>
      <c r="I45" s="20">
        <f>I44/1440</f>
        <v>33.875</v>
      </c>
      <c r="J45" s="19"/>
      <c r="K45" s="19"/>
      <c r="M45" s="20">
        <f>M44/1440</f>
        <v>33.87152778</v>
      </c>
      <c r="N45" s="5">
        <f t="shared" si="15"/>
        <v>0.02352189429</v>
      </c>
    </row>
    <row r="46" ht="14.25" customHeight="1">
      <c r="J46" s="19"/>
      <c r="K46" s="19"/>
    </row>
    <row r="47" ht="14.25" customHeight="1">
      <c r="J47" s="19"/>
      <c r="K47" s="19"/>
    </row>
    <row r="48" ht="14.25" customHeight="1">
      <c r="J48" s="19"/>
      <c r="K48" s="19"/>
    </row>
    <row r="49" ht="14.25" customHeight="1">
      <c r="F49" s="6" t="s">
        <v>104</v>
      </c>
      <c r="I49" s="5">
        <f>I45/I45*100</f>
        <v>100</v>
      </c>
      <c r="J49" s="19"/>
      <c r="K49" s="19"/>
    </row>
    <row r="50" ht="14.25" customHeight="1">
      <c r="J50" s="19"/>
      <c r="K50" s="19"/>
    </row>
    <row r="51" ht="14.25" customHeight="1">
      <c r="J51" s="19"/>
      <c r="K51" s="19"/>
    </row>
    <row r="52" ht="14.25" customHeight="1">
      <c r="J52" s="19"/>
      <c r="K52" s="19"/>
    </row>
    <row r="53" ht="14.25" customHeight="1">
      <c r="J53" s="19"/>
      <c r="K53" s="19"/>
    </row>
    <row r="54" ht="14.25" customHeight="1">
      <c r="J54" s="19"/>
      <c r="K54" s="19"/>
    </row>
    <row r="55" ht="14.25" customHeight="1">
      <c r="J55" s="19"/>
      <c r="K55" s="19"/>
    </row>
    <row r="56" ht="14.25" customHeight="1">
      <c r="J56" s="19"/>
      <c r="K56" s="19"/>
    </row>
    <row r="57" ht="14.25" customHeight="1">
      <c r="J57" s="19"/>
      <c r="K57" s="19"/>
    </row>
    <row r="58" ht="14.25" customHeight="1">
      <c r="J58" s="19"/>
      <c r="K58" s="19"/>
    </row>
    <row r="59" ht="14.25" customHeight="1">
      <c r="J59" s="19"/>
      <c r="K59" s="19"/>
    </row>
    <row r="60" ht="14.25" customHeight="1">
      <c r="J60" s="19"/>
      <c r="K60" s="19"/>
    </row>
    <row r="61" ht="14.25" customHeight="1">
      <c r="J61" s="19"/>
      <c r="K61" s="19"/>
    </row>
    <row r="62" ht="14.25" customHeight="1">
      <c r="J62" s="19"/>
      <c r="K62" s="19"/>
    </row>
    <row r="63" ht="14.25" customHeight="1">
      <c r="J63" s="19"/>
      <c r="K63" s="19"/>
    </row>
    <row r="64" ht="14.25" customHeight="1">
      <c r="J64" s="19"/>
      <c r="K64" s="19"/>
    </row>
    <row r="65" ht="14.25" customHeight="1">
      <c r="J65" s="19"/>
      <c r="K65" s="19"/>
    </row>
    <row r="66" ht="14.25" customHeight="1">
      <c r="J66" s="19"/>
      <c r="K66" s="19"/>
    </row>
    <row r="67" ht="14.25" customHeight="1">
      <c r="J67" s="19"/>
      <c r="K67" s="19"/>
    </row>
    <row r="68" ht="14.25" customHeight="1">
      <c r="J68" s="19"/>
      <c r="K68" s="19"/>
    </row>
    <row r="69" ht="14.25" customHeight="1">
      <c r="J69" s="19"/>
      <c r="K69" s="19"/>
    </row>
    <row r="70" ht="14.25" customHeight="1">
      <c r="J70" s="19"/>
      <c r="K70" s="19"/>
    </row>
    <row r="71" ht="14.25" customHeight="1">
      <c r="J71" s="19"/>
      <c r="K71" s="19"/>
    </row>
    <row r="72" ht="14.25" customHeight="1">
      <c r="J72" s="19"/>
      <c r="K72" s="19"/>
    </row>
    <row r="73" ht="14.25" customHeight="1">
      <c r="J73" s="19"/>
      <c r="K73" s="19"/>
    </row>
    <row r="74" ht="14.25" customHeight="1">
      <c r="J74" s="19"/>
      <c r="K74" s="19"/>
    </row>
    <row r="75" ht="14.25" customHeight="1">
      <c r="J75" s="19"/>
      <c r="K75" s="19"/>
    </row>
    <row r="76" ht="14.25" customHeight="1">
      <c r="J76" s="19"/>
      <c r="K76" s="19"/>
    </row>
    <row r="77" ht="14.25" customHeight="1">
      <c r="J77" s="19"/>
      <c r="K77" s="19"/>
    </row>
    <row r="78" ht="14.25" customHeight="1">
      <c r="J78" s="19"/>
      <c r="K78" s="19"/>
    </row>
    <row r="79" ht="14.25" customHeight="1">
      <c r="J79" s="19"/>
      <c r="K79" s="19"/>
    </row>
    <row r="80" ht="14.25" customHeight="1">
      <c r="J80" s="19"/>
      <c r="K80" s="19"/>
    </row>
    <row r="81" ht="14.25" customHeight="1">
      <c r="J81" s="19"/>
      <c r="K81" s="19"/>
    </row>
    <row r="82" ht="14.25" customHeight="1">
      <c r="J82" s="19"/>
      <c r="K82" s="19"/>
    </row>
    <row r="83" ht="14.25" customHeight="1">
      <c r="J83" s="19"/>
      <c r="K83" s="19"/>
    </row>
    <row r="84" ht="14.25" customHeight="1">
      <c r="J84" s="19"/>
      <c r="K84" s="19"/>
    </row>
    <row r="85" ht="14.25" customHeight="1">
      <c r="J85" s="19"/>
      <c r="K85" s="19"/>
    </row>
    <row r="86" ht="14.25" customHeight="1">
      <c r="J86" s="19"/>
      <c r="K86" s="19"/>
    </row>
    <row r="87" ht="14.25" customHeight="1">
      <c r="J87" s="19"/>
      <c r="K87" s="19"/>
    </row>
    <row r="88" ht="14.25" customHeight="1">
      <c r="J88" s="19"/>
      <c r="K88" s="19"/>
    </row>
    <row r="89" ht="14.25" customHeight="1">
      <c r="J89" s="19"/>
      <c r="K89" s="19"/>
    </row>
    <row r="90" ht="14.25" customHeight="1">
      <c r="J90" s="19"/>
      <c r="K90" s="19"/>
    </row>
    <row r="91" ht="14.25" customHeight="1">
      <c r="J91" s="19"/>
      <c r="K91" s="19"/>
    </row>
    <row r="92" ht="14.25" customHeight="1">
      <c r="J92" s="19"/>
      <c r="K92" s="19"/>
    </row>
    <row r="93" ht="14.25" customHeight="1">
      <c r="J93" s="19"/>
      <c r="K93" s="19"/>
    </row>
    <row r="94" ht="14.25" customHeight="1">
      <c r="J94" s="19"/>
      <c r="K94" s="19"/>
    </row>
    <row r="95" ht="14.25" customHeight="1">
      <c r="J95" s="19"/>
      <c r="K95" s="19"/>
    </row>
    <row r="96" ht="14.25" customHeight="1">
      <c r="J96" s="19"/>
      <c r="K96" s="19"/>
    </row>
    <row r="97" ht="14.25" customHeight="1">
      <c r="J97" s="19"/>
      <c r="K97" s="19"/>
    </row>
    <row r="98" ht="14.25" customHeight="1">
      <c r="J98" s="19"/>
      <c r="K98" s="19"/>
    </row>
    <row r="99" ht="14.25" customHeight="1">
      <c r="J99" s="19"/>
      <c r="K99" s="19"/>
    </row>
    <row r="100" ht="14.25" customHeight="1">
      <c r="J100" s="19"/>
      <c r="K100" s="19"/>
    </row>
    <row r="101" ht="14.25" customHeight="1">
      <c r="J101" s="19"/>
      <c r="K101" s="19"/>
    </row>
    <row r="102" ht="14.25" customHeight="1">
      <c r="J102" s="19"/>
      <c r="K102" s="19"/>
    </row>
    <row r="103" ht="14.25" customHeight="1">
      <c r="J103" s="19"/>
      <c r="K103" s="19"/>
    </row>
    <row r="104" ht="14.25" customHeight="1">
      <c r="J104" s="19"/>
      <c r="K104" s="19"/>
    </row>
    <row r="105" ht="14.25" customHeight="1">
      <c r="J105" s="19"/>
      <c r="K105" s="19"/>
    </row>
    <row r="106" ht="14.25" customHeight="1">
      <c r="J106" s="19"/>
      <c r="K106" s="19"/>
    </row>
    <row r="107" ht="14.25" customHeight="1">
      <c r="J107" s="19"/>
      <c r="K107" s="19"/>
    </row>
    <row r="108" ht="14.25" customHeight="1">
      <c r="J108" s="19"/>
      <c r="K108" s="19"/>
    </row>
    <row r="109" ht="14.25" customHeight="1">
      <c r="J109" s="19"/>
      <c r="K109" s="19"/>
    </row>
    <row r="110" ht="14.25" customHeight="1">
      <c r="J110" s="19"/>
      <c r="K110" s="19"/>
    </row>
    <row r="111" ht="14.25" customHeight="1">
      <c r="J111" s="19"/>
      <c r="K111" s="19"/>
    </row>
    <row r="112" ht="14.25" customHeight="1">
      <c r="J112" s="19"/>
      <c r="K112" s="19"/>
    </row>
    <row r="113" ht="14.25" customHeight="1">
      <c r="J113" s="19"/>
      <c r="K113" s="19"/>
    </row>
    <row r="114" ht="14.25" customHeight="1">
      <c r="J114" s="19"/>
      <c r="K114" s="19"/>
    </row>
    <row r="115" ht="14.25" customHeight="1">
      <c r="J115" s="19"/>
      <c r="K115" s="19"/>
    </row>
    <row r="116" ht="14.25" customHeight="1">
      <c r="J116" s="19"/>
      <c r="K116" s="19"/>
    </row>
    <row r="117" ht="14.25" customHeight="1">
      <c r="J117" s="19"/>
      <c r="K117" s="19"/>
    </row>
    <row r="118" ht="14.25" customHeight="1">
      <c r="J118" s="19"/>
      <c r="K118" s="19"/>
    </row>
    <row r="119" ht="14.25" customHeight="1">
      <c r="J119" s="19"/>
      <c r="K119" s="19"/>
    </row>
    <row r="120" ht="14.25" customHeight="1">
      <c r="J120" s="19"/>
      <c r="K120" s="19"/>
    </row>
    <row r="121" ht="14.25" customHeight="1">
      <c r="J121" s="19"/>
      <c r="K121" s="19"/>
    </row>
    <row r="122" ht="14.25" customHeight="1">
      <c r="J122" s="19"/>
      <c r="K122" s="19"/>
    </row>
    <row r="123" ht="14.25" customHeight="1">
      <c r="J123" s="19"/>
      <c r="K123" s="19"/>
    </row>
    <row r="124" ht="14.25" customHeight="1">
      <c r="J124" s="19"/>
      <c r="K124" s="19"/>
    </row>
    <row r="125" ht="14.25" customHeight="1">
      <c r="J125" s="19"/>
      <c r="K125" s="19"/>
    </row>
    <row r="126" ht="14.25" customHeight="1">
      <c r="J126" s="19"/>
      <c r="K126" s="19"/>
    </row>
    <row r="127" ht="14.25" customHeight="1">
      <c r="J127" s="19"/>
      <c r="K127" s="19"/>
    </row>
    <row r="128" ht="14.25" customHeight="1">
      <c r="J128" s="19"/>
      <c r="K128" s="19"/>
    </row>
    <row r="129" ht="14.25" customHeight="1">
      <c r="J129" s="19"/>
      <c r="K129" s="19"/>
    </row>
    <row r="130" ht="14.25" customHeight="1">
      <c r="J130" s="19"/>
      <c r="K130" s="19"/>
    </row>
    <row r="131" ht="14.25" customHeight="1">
      <c r="J131" s="19"/>
      <c r="K131" s="19"/>
    </row>
    <row r="132" ht="14.25" customHeight="1">
      <c r="J132" s="19"/>
      <c r="K132" s="19"/>
    </row>
    <row r="133" ht="14.25" customHeight="1">
      <c r="J133" s="19"/>
      <c r="K133" s="19"/>
    </row>
    <row r="134" ht="14.25" customHeight="1">
      <c r="J134" s="19"/>
      <c r="K134" s="19"/>
    </row>
    <row r="135" ht="14.25" customHeight="1">
      <c r="J135" s="19"/>
      <c r="K135" s="19"/>
    </row>
    <row r="136" ht="14.25" customHeight="1">
      <c r="J136" s="19"/>
      <c r="K136" s="19"/>
    </row>
    <row r="137" ht="14.25" customHeight="1">
      <c r="J137" s="19"/>
      <c r="K137" s="19"/>
    </row>
    <row r="138" ht="14.25" customHeight="1">
      <c r="J138" s="19"/>
      <c r="K138" s="19"/>
    </row>
    <row r="139" ht="14.25" customHeight="1">
      <c r="J139" s="19"/>
      <c r="K139" s="19"/>
    </row>
    <row r="140" ht="14.25" customHeight="1">
      <c r="J140" s="19"/>
      <c r="K140" s="19"/>
    </row>
    <row r="141" ht="14.25" customHeight="1">
      <c r="J141" s="19"/>
      <c r="K141" s="19"/>
    </row>
    <row r="142" ht="14.25" customHeight="1">
      <c r="J142" s="19"/>
      <c r="K142" s="19"/>
    </row>
    <row r="143" ht="14.25" customHeight="1">
      <c r="J143" s="19"/>
      <c r="K143" s="19"/>
    </row>
    <row r="144" ht="14.25" customHeight="1">
      <c r="J144" s="19"/>
      <c r="K144" s="19"/>
    </row>
    <row r="145" ht="14.25" customHeight="1">
      <c r="J145" s="19"/>
      <c r="K145" s="19"/>
    </row>
    <row r="146" ht="14.25" customHeight="1">
      <c r="J146" s="19"/>
      <c r="K146" s="19"/>
    </row>
    <row r="147" ht="14.25" customHeight="1">
      <c r="J147" s="19"/>
      <c r="K147" s="19"/>
    </row>
    <row r="148" ht="14.25" customHeight="1">
      <c r="J148" s="19"/>
      <c r="K148" s="19"/>
    </row>
    <row r="149" ht="14.25" customHeight="1">
      <c r="J149" s="19"/>
      <c r="K149" s="19"/>
    </row>
    <row r="150" ht="14.25" customHeight="1">
      <c r="J150" s="19"/>
      <c r="K150" s="19"/>
    </row>
    <row r="151" ht="14.25" customHeight="1">
      <c r="J151" s="19"/>
      <c r="K151" s="19"/>
    </row>
    <row r="152" ht="14.25" customHeight="1">
      <c r="J152" s="19"/>
      <c r="K152" s="19"/>
    </row>
    <row r="153" ht="14.25" customHeight="1">
      <c r="J153" s="19"/>
      <c r="K153" s="19"/>
    </row>
    <row r="154" ht="14.25" customHeight="1">
      <c r="J154" s="19"/>
      <c r="K154" s="19"/>
    </row>
    <row r="155" ht="14.25" customHeight="1">
      <c r="J155" s="19"/>
      <c r="K155" s="19"/>
    </row>
    <row r="156" ht="14.25" customHeight="1">
      <c r="J156" s="19"/>
      <c r="K156" s="19"/>
    </row>
    <row r="157" ht="14.25" customHeight="1">
      <c r="J157" s="19"/>
      <c r="K157" s="19"/>
    </row>
    <row r="158" ht="14.25" customHeight="1">
      <c r="J158" s="19"/>
      <c r="K158" s="19"/>
    </row>
    <row r="159" ht="14.25" customHeight="1">
      <c r="J159" s="19"/>
      <c r="K159" s="19"/>
    </row>
    <row r="160" ht="14.25" customHeight="1">
      <c r="J160" s="19"/>
      <c r="K160" s="19"/>
    </row>
    <row r="161" ht="14.25" customHeight="1">
      <c r="J161" s="19"/>
      <c r="K161" s="19"/>
    </row>
    <row r="162" ht="14.25" customHeight="1">
      <c r="J162" s="19"/>
      <c r="K162" s="19"/>
    </row>
    <row r="163" ht="14.25" customHeight="1">
      <c r="J163" s="19"/>
      <c r="K163" s="19"/>
    </row>
    <row r="164" ht="14.25" customHeight="1">
      <c r="J164" s="19"/>
      <c r="K164" s="19"/>
    </row>
    <row r="165" ht="14.25" customHeight="1">
      <c r="J165" s="19"/>
      <c r="K165" s="19"/>
    </row>
    <row r="166" ht="14.25" customHeight="1">
      <c r="J166" s="19"/>
      <c r="K166" s="19"/>
    </row>
    <row r="167" ht="14.25" customHeight="1">
      <c r="J167" s="19"/>
      <c r="K167" s="19"/>
    </row>
    <row r="168" ht="14.25" customHeight="1">
      <c r="J168" s="19"/>
      <c r="K168" s="19"/>
    </row>
    <row r="169" ht="14.25" customHeight="1">
      <c r="J169" s="19"/>
      <c r="K169" s="19"/>
    </row>
    <row r="170" ht="14.25" customHeight="1">
      <c r="J170" s="19"/>
      <c r="K170" s="19"/>
    </row>
    <row r="171" ht="14.25" customHeight="1">
      <c r="J171" s="19"/>
      <c r="K171" s="19"/>
    </row>
    <row r="172" ht="14.25" customHeight="1">
      <c r="J172" s="19"/>
      <c r="K172" s="19"/>
    </row>
    <row r="173" ht="14.25" customHeight="1">
      <c r="J173" s="19"/>
      <c r="K173" s="19"/>
    </row>
    <row r="174" ht="14.25" customHeight="1">
      <c r="J174" s="19"/>
      <c r="K174" s="19"/>
    </row>
    <row r="175" ht="14.25" customHeight="1">
      <c r="J175" s="19"/>
      <c r="K175" s="19"/>
    </row>
    <row r="176" ht="14.25" customHeight="1">
      <c r="J176" s="19"/>
      <c r="K176" s="19"/>
    </row>
    <row r="177" ht="14.25" customHeight="1">
      <c r="J177" s="19"/>
      <c r="K177" s="19"/>
    </row>
    <row r="178" ht="14.25" customHeight="1">
      <c r="J178" s="19"/>
      <c r="K178" s="19"/>
    </row>
    <row r="179" ht="14.25" customHeight="1">
      <c r="J179" s="19"/>
      <c r="K179" s="19"/>
    </row>
    <row r="180" ht="14.25" customHeight="1">
      <c r="J180" s="19"/>
      <c r="K180" s="19"/>
    </row>
    <row r="181" ht="14.25" customHeight="1">
      <c r="J181" s="19"/>
      <c r="K181" s="19"/>
    </row>
    <row r="182" ht="14.25" customHeight="1">
      <c r="J182" s="19"/>
      <c r="K182" s="19"/>
    </row>
    <row r="183" ht="14.25" customHeight="1">
      <c r="J183" s="19"/>
      <c r="K183" s="19"/>
    </row>
    <row r="184" ht="14.25" customHeight="1">
      <c r="J184" s="19"/>
      <c r="K184" s="19"/>
    </row>
    <row r="185" ht="14.25" customHeight="1">
      <c r="J185" s="19"/>
      <c r="K185" s="19"/>
    </row>
    <row r="186" ht="14.25" customHeight="1">
      <c r="J186" s="19"/>
      <c r="K186" s="19"/>
    </row>
    <row r="187" ht="14.25" customHeight="1">
      <c r="J187" s="19"/>
      <c r="K187" s="19"/>
    </row>
    <row r="188" ht="14.25" customHeight="1">
      <c r="J188" s="19"/>
      <c r="K188" s="19"/>
    </row>
    <row r="189" ht="14.25" customHeight="1">
      <c r="J189" s="19"/>
      <c r="K189" s="19"/>
    </row>
    <row r="190" ht="14.25" customHeight="1">
      <c r="J190" s="19"/>
      <c r="K190" s="19"/>
    </row>
    <row r="191" ht="14.25" customHeight="1">
      <c r="J191" s="19"/>
      <c r="K191" s="19"/>
    </row>
    <row r="192" ht="14.25" customHeight="1">
      <c r="J192" s="19"/>
      <c r="K192" s="19"/>
    </row>
    <row r="193" ht="14.25" customHeight="1">
      <c r="J193" s="19"/>
      <c r="K193" s="19"/>
    </row>
    <row r="194" ht="14.25" customHeight="1">
      <c r="J194" s="19"/>
      <c r="K194" s="19"/>
    </row>
    <row r="195" ht="14.25" customHeight="1">
      <c r="J195" s="19"/>
      <c r="K195" s="19"/>
    </row>
    <row r="196" ht="14.25" customHeight="1">
      <c r="J196" s="19"/>
      <c r="K196" s="19"/>
    </row>
    <row r="197" ht="14.25" customHeight="1">
      <c r="J197" s="19"/>
      <c r="K197" s="19"/>
    </row>
    <row r="198" ht="14.25" customHeight="1">
      <c r="J198" s="19"/>
      <c r="K198" s="19"/>
    </row>
    <row r="199" ht="14.25" customHeight="1">
      <c r="J199" s="19"/>
      <c r="K199" s="19"/>
    </row>
    <row r="200" ht="14.25" customHeight="1">
      <c r="J200" s="19"/>
      <c r="K200" s="19"/>
    </row>
    <row r="201" ht="14.25" customHeight="1">
      <c r="J201" s="19"/>
      <c r="K201" s="19"/>
    </row>
    <row r="202" ht="14.25" customHeight="1">
      <c r="J202" s="19"/>
      <c r="K202" s="19"/>
    </row>
    <row r="203" ht="14.25" customHeight="1">
      <c r="J203" s="19"/>
      <c r="K203" s="19"/>
    </row>
    <row r="204" ht="14.25" customHeight="1">
      <c r="J204" s="19"/>
      <c r="K204" s="19"/>
    </row>
    <row r="205" ht="14.25" customHeight="1">
      <c r="J205" s="19"/>
      <c r="K205" s="19"/>
    </row>
    <row r="206" ht="14.25" customHeight="1">
      <c r="J206" s="19"/>
      <c r="K206" s="19"/>
    </row>
    <row r="207" ht="14.25" customHeight="1">
      <c r="J207" s="19"/>
      <c r="K207" s="19"/>
    </row>
    <row r="208" ht="14.25" customHeight="1">
      <c r="J208" s="19"/>
      <c r="K208" s="19"/>
    </row>
    <row r="209" ht="14.25" customHeight="1">
      <c r="J209" s="19"/>
      <c r="K209" s="19"/>
    </row>
    <row r="210" ht="14.25" customHeight="1">
      <c r="J210" s="19"/>
      <c r="K210" s="19"/>
    </row>
    <row r="211" ht="14.25" customHeight="1">
      <c r="J211" s="19"/>
      <c r="K211" s="19"/>
    </row>
    <row r="212" ht="14.25" customHeight="1">
      <c r="J212" s="19"/>
      <c r="K212" s="19"/>
    </row>
    <row r="213" ht="14.25" customHeight="1">
      <c r="J213" s="19"/>
      <c r="K213" s="19"/>
    </row>
    <row r="214" ht="14.25" customHeight="1">
      <c r="J214" s="19"/>
      <c r="K214" s="19"/>
    </row>
    <row r="215" ht="14.25" customHeight="1">
      <c r="J215" s="19"/>
      <c r="K215" s="19"/>
    </row>
    <row r="216" ht="14.25" customHeight="1">
      <c r="J216" s="19"/>
      <c r="K216" s="19"/>
    </row>
    <row r="217" ht="14.25" customHeight="1">
      <c r="J217" s="19"/>
      <c r="K217" s="19"/>
    </row>
    <row r="218" ht="14.25" customHeight="1">
      <c r="J218" s="19"/>
      <c r="K218" s="19"/>
    </row>
    <row r="219" ht="14.25" customHeight="1">
      <c r="J219" s="19"/>
      <c r="K219" s="19"/>
    </row>
    <row r="220" ht="14.25" customHeight="1">
      <c r="J220" s="19"/>
      <c r="K220" s="19"/>
    </row>
    <row r="221" ht="14.25" customHeight="1">
      <c r="J221" s="19"/>
      <c r="K221" s="19"/>
    </row>
    <row r="222" ht="14.25" customHeight="1">
      <c r="J222" s="19"/>
      <c r="K222" s="19"/>
    </row>
    <row r="223" ht="14.25" customHeight="1">
      <c r="J223" s="19"/>
      <c r="K223" s="19"/>
    </row>
    <row r="224" ht="14.25" customHeight="1">
      <c r="J224" s="19"/>
      <c r="K224" s="19"/>
    </row>
    <row r="225" ht="14.25" customHeight="1">
      <c r="J225" s="19"/>
      <c r="K225" s="19"/>
    </row>
    <row r="226" ht="14.25" customHeight="1">
      <c r="J226" s="19"/>
      <c r="K226" s="19"/>
    </row>
    <row r="227" ht="14.25" customHeight="1">
      <c r="J227" s="19"/>
      <c r="K227" s="19"/>
    </row>
    <row r="228" ht="14.25" customHeight="1">
      <c r="J228" s="19"/>
      <c r="K228" s="19"/>
    </row>
    <row r="229" ht="14.25" customHeight="1">
      <c r="J229" s="19"/>
      <c r="K229" s="19"/>
    </row>
    <row r="230" ht="14.25" customHeight="1">
      <c r="J230" s="19"/>
      <c r="K230" s="19"/>
    </row>
    <row r="231" ht="14.25" customHeight="1">
      <c r="J231" s="19"/>
      <c r="K231" s="19"/>
    </row>
    <row r="232" ht="14.25" customHeight="1">
      <c r="J232" s="19"/>
      <c r="K232" s="19"/>
    </row>
    <row r="233" ht="14.25" customHeight="1">
      <c r="J233" s="19"/>
      <c r="K233" s="19"/>
    </row>
    <row r="234" ht="14.25" customHeight="1">
      <c r="J234" s="19"/>
      <c r="K234" s="19"/>
    </row>
    <row r="235" ht="14.25" customHeight="1">
      <c r="J235" s="19"/>
      <c r="K235" s="19"/>
    </row>
    <row r="236" ht="14.25" customHeight="1">
      <c r="J236" s="19"/>
      <c r="K236" s="19"/>
    </row>
    <row r="237" ht="14.25" customHeight="1">
      <c r="J237" s="19"/>
      <c r="K237" s="19"/>
    </row>
    <row r="238" ht="14.25" customHeight="1">
      <c r="J238" s="19"/>
      <c r="K238" s="19"/>
    </row>
    <row r="239" ht="14.25" customHeight="1">
      <c r="J239" s="19"/>
      <c r="K239" s="19"/>
    </row>
    <row r="240" ht="14.25" customHeight="1">
      <c r="J240" s="19"/>
      <c r="K240" s="19"/>
    </row>
    <row r="241" ht="14.25" customHeight="1">
      <c r="J241" s="19"/>
      <c r="K241" s="19"/>
    </row>
    <row r="242" ht="14.25" customHeight="1">
      <c r="J242" s="19"/>
      <c r="K242" s="19"/>
    </row>
    <row r="243" ht="14.25" customHeight="1">
      <c r="J243" s="19"/>
      <c r="K243" s="19"/>
    </row>
    <row r="244" ht="14.25" customHeight="1">
      <c r="J244" s="19"/>
      <c r="K244" s="19"/>
    </row>
    <row r="245" ht="14.25" customHeight="1">
      <c r="J245" s="19"/>
      <c r="K245" s="19"/>
    </row>
    <row r="246" ht="14.25" customHeight="1">
      <c r="J246" s="19"/>
      <c r="K246" s="19"/>
    </row>
    <row r="247" ht="14.25" customHeight="1">
      <c r="J247" s="19"/>
      <c r="K247" s="19"/>
    </row>
    <row r="248" ht="14.25" customHeight="1">
      <c r="J248" s="19"/>
      <c r="K248" s="19"/>
    </row>
    <row r="249" ht="14.25" customHeight="1">
      <c r="J249" s="19"/>
      <c r="K249" s="19"/>
    </row>
    <row r="250" ht="14.25" customHeight="1">
      <c r="J250" s="19"/>
      <c r="K250" s="19"/>
    </row>
    <row r="251" ht="14.25" customHeight="1">
      <c r="J251" s="19"/>
      <c r="K251" s="19"/>
    </row>
    <row r="252" ht="14.25" customHeight="1">
      <c r="J252" s="19"/>
      <c r="K252" s="19"/>
    </row>
    <row r="253" ht="14.25" customHeight="1">
      <c r="J253" s="19"/>
      <c r="K253" s="19"/>
    </row>
    <row r="254" ht="14.25" customHeight="1">
      <c r="J254" s="19"/>
      <c r="K254" s="19"/>
    </row>
    <row r="255" ht="14.25" customHeight="1">
      <c r="J255" s="19"/>
      <c r="K255" s="19"/>
    </row>
    <row r="256" ht="14.25" customHeight="1">
      <c r="J256" s="19"/>
      <c r="K256" s="19"/>
    </row>
    <row r="257" ht="14.25" customHeight="1">
      <c r="J257" s="19"/>
      <c r="K257" s="19"/>
    </row>
    <row r="258" ht="14.25" customHeight="1">
      <c r="J258" s="19"/>
      <c r="K258" s="19"/>
    </row>
    <row r="259" ht="14.25" customHeight="1">
      <c r="J259" s="19"/>
      <c r="K259" s="19"/>
    </row>
    <row r="260" ht="14.25" customHeight="1">
      <c r="J260" s="19"/>
      <c r="K260" s="19"/>
    </row>
    <row r="261" ht="14.25" customHeight="1">
      <c r="J261" s="19"/>
      <c r="K261" s="19"/>
    </row>
    <row r="262" ht="14.25" customHeight="1">
      <c r="J262" s="19"/>
      <c r="K262" s="19"/>
    </row>
    <row r="263" ht="14.25" customHeight="1">
      <c r="J263" s="19"/>
      <c r="K263" s="19"/>
    </row>
    <row r="264" ht="14.25" customHeight="1">
      <c r="J264" s="19"/>
      <c r="K264" s="19"/>
    </row>
    <row r="265" ht="14.25" customHeight="1">
      <c r="J265" s="19"/>
      <c r="K265" s="19"/>
    </row>
    <row r="266" ht="14.25" customHeight="1">
      <c r="J266" s="19"/>
      <c r="K266" s="19"/>
    </row>
    <row r="267" ht="14.25" customHeight="1">
      <c r="J267" s="19"/>
      <c r="K267" s="19"/>
    </row>
    <row r="268" ht="14.25" customHeight="1">
      <c r="J268" s="19"/>
      <c r="K268" s="19"/>
    </row>
    <row r="269" ht="14.25" customHeight="1">
      <c r="J269" s="19"/>
      <c r="K269" s="19"/>
    </row>
    <row r="270" ht="14.25" customHeight="1">
      <c r="J270" s="19"/>
      <c r="K270" s="19"/>
    </row>
    <row r="271" ht="14.25" customHeight="1">
      <c r="J271" s="19"/>
      <c r="K271" s="19"/>
    </row>
    <row r="272" ht="14.25" customHeight="1">
      <c r="J272" s="19"/>
      <c r="K272" s="19"/>
    </row>
    <row r="273" ht="14.25" customHeight="1">
      <c r="J273" s="19"/>
      <c r="K273" s="19"/>
    </row>
    <row r="274" ht="14.25" customHeight="1">
      <c r="J274" s="19"/>
      <c r="K274" s="19"/>
    </row>
    <row r="275" ht="14.25" customHeight="1">
      <c r="J275" s="19"/>
      <c r="K275" s="19"/>
    </row>
    <row r="276" ht="14.25" customHeight="1">
      <c r="J276" s="19"/>
      <c r="K276" s="19"/>
    </row>
    <row r="277" ht="14.25" customHeight="1">
      <c r="J277" s="19"/>
      <c r="K277" s="19"/>
    </row>
    <row r="278" ht="14.25" customHeight="1">
      <c r="J278" s="19"/>
      <c r="K278" s="19"/>
    </row>
    <row r="279" ht="14.25" customHeight="1">
      <c r="J279" s="19"/>
      <c r="K279" s="19"/>
    </row>
    <row r="280" ht="14.25" customHeight="1">
      <c r="J280" s="19"/>
      <c r="K280" s="19"/>
    </row>
    <row r="281" ht="14.25" customHeight="1">
      <c r="J281" s="19"/>
      <c r="K281" s="19"/>
    </row>
    <row r="282" ht="14.25" customHeight="1">
      <c r="J282" s="19"/>
      <c r="K282" s="19"/>
    </row>
    <row r="283" ht="14.25" customHeight="1">
      <c r="J283" s="19"/>
      <c r="K283" s="19"/>
    </row>
    <row r="284" ht="14.25" customHeight="1">
      <c r="J284" s="19"/>
      <c r="K284" s="19"/>
    </row>
    <row r="285" ht="14.25" customHeight="1">
      <c r="J285" s="19"/>
      <c r="K285" s="19"/>
    </row>
    <row r="286" ht="14.25" customHeight="1">
      <c r="J286" s="19"/>
      <c r="K286" s="19"/>
    </row>
    <row r="287" ht="14.25" customHeight="1">
      <c r="J287" s="19"/>
      <c r="K287" s="19"/>
    </row>
    <row r="288" ht="14.25" customHeight="1">
      <c r="J288" s="19"/>
      <c r="K288" s="19"/>
    </row>
    <row r="289" ht="14.25" customHeight="1">
      <c r="J289" s="19"/>
      <c r="K289" s="19"/>
    </row>
    <row r="290" ht="14.25" customHeight="1">
      <c r="J290" s="19"/>
      <c r="K290" s="19"/>
    </row>
    <row r="291" ht="14.25" customHeight="1">
      <c r="J291" s="19"/>
      <c r="K291" s="19"/>
    </row>
    <row r="292" ht="14.25" customHeight="1">
      <c r="J292" s="19"/>
      <c r="K292" s="19"/>
    </row>
    <row r="293" ht="14.25" customHeight="1">
      <c r="J293" s="19"/>
      <c r="K293" s="19"/>
    </row>
    <row r="294" ht="14.25" customHeight="1">
      <c r="J294" s="19"/>
      <c r="K294" s="19"/>
    </row>
    <row r="295" ht="14.25" customHeight="1">
      <c r="J295" s="19"/>
      <c r="K295" s="19"/>
    </row>
    <row r="296" ht="14.25" customHeight="1">
      <c r="J296" s="19"/>
      <c r="K296" s="19"/>
    </row>
    <row r="297" ht="14.25" customHeight="1">
      <c r="J297" s="19"/>
      <c r="K297" s="19"/>
    </row>
    <row r="298" ht="14.25" customHeight="1">
      <c r="J298" s="19"/>
      <c r="K298" s="19"/>
    </row>
    <row r="299" ht="14.25" customHeight="1">
      <c r="J299" s="19"/>
      <c r="K299" s="19"/>
    </row>
    <row r="300" ht="14.25" customHeight="1">
      <c r="J300" s="19"/>
      <c r="K300" s="19"/>
    </row>
    <row r="301" ht="14.25" customHeight="1">
      <c r="J301" s="19"/>
      <c r="K301" s="19"/>
    </row>
    <row r="302" ht="14.25" customHeight="1">
      <c r="J302" s="19"/>
      <c r="K302" s="19"/>
    </row>
    <row r="303" ht="14.25" customHeight="1">
      <c r="J303" s="19"/>
      <c r="K303" s="19"/>
    </row>
    <row r="304" ht="14.25" customHeight="1">
      <c r="J304" s="19"/>
      <c r="K304" s="19"/>
    </row>
    <row r="305" ht="14.25" customHeight="1">
      <c r="J305" s="19"/>
      <c r="K305" s="19"/>
    </row>
    <row r="306" ht="14.25" customHeight="1">
      <c r="J306" s="19"/>
      <c r="K306" s="19"/>
    </row>
    <row r="307" ht="14.25" customHeight="1">
      <c r="J307" s="19"/>
      <c r="K307" s="19"/>
    </row>
    <row r="308" ht="14.25" customHeight="1">
      <c r="J308" s="19"/>
      <c r="K308" s="19"/>
    </row>
    <row r="309" ht="14.25" customHeight="1">
      <c r="J309" s="19"/>
      <c r="K309" s="19"/>
    </row>
    <row r="310" ht="14.25" customHeight="1">
      <c r="J310" s="19"/>
      <c r="K310" s="19"/>
    </row>
    <row r="311" ht="14.25" customHeight="1">
      <c r="J311" s="19"/>
      <c r="K311" s="19"/>
    </row>
    <row r="312" ht="14.25" customHeight="1">
      <c r="J312" s="19"/>
      <c r="K312" s="19"/>
    </row>
    <row r="313" ht="14.25" customHeight="1">
      <c r="J313" s="19"/>
      <c r="K313" s="19"/>
    </row>
    <row r="314" ht="14.25" customHeight="1">
      <c r="J314" s="19"/>
      <c r="K314" s="19"/>
    </row>
    <row r="315" ht="14.25" customHeight="1">
      <c r="J315" s="19"/>
      <c r="K315" s="19"/>
    </row>
    <row r="316" ht="14.25" customHeight="1">
      <c r="J316" s="19"/>
      <c r="K316" s="19"/>
    </row>
    <row r="317" ht="14.25" customHeight="1">
      <c r="J317" s="19"/>
      <c r="K317" s="19"/>
    </row>
    <row r="318" ht="14.25" customHeight="1">
      <c r="J318" s="19"/>
      <c r="K318" s="19"/>
    </row>
    <row r="319" ht="14.25" customHeight="1">
      <c r="J319" s="19"/>
      <c r="K319" s="19"/>
    </row>
    <row r="320" ht="14.25" customHeight="1">
      <c r="J320" s="19"/>
      <c r="K320" s="19"/>
    </row>
    <row r="321" ht="14.25" customHeight="1">
      <c r="J321" s="19"/>
      <c r="K321" s="19"/>
    </row>
    <row r="322" ht="14.25" customHeight="1">
      <c r="J322" s="19"/>
      <c r="K322" s="19"/>
    </row>
    <row r="323" ht="14.25" customHeight="1">
      <c r="J323" s="19"/>
      <c r="K323" s="19"/>
    </row>
    <row r="324" ht="14.25" customHeight="1">
      <c r="J324" s="19"/>
      <c r="K324" s="19"/>
    </row>
    <row r="325" ht="14.25" customHeight="1">
      <c r="J325" s="19"/>
      <c r="K325" s="19"/>
    </row>
    <row r="326" ht="14.25" customHeight="1">
      <c r="J326" s="19"/>
      <c r="K326" s="19"/>
    </row>
    <row r="327" ht="14.25" customHeight="1">
      <c r="J327" s="19"/>
      <c r="K327" s="19"/>
    </row>
    <row r="328" ht="14.25" customHeight="1">
      <c r="J328" s="19"/>
      <c r="K328" s="19"/>
    </row>
    <row r="329" ht="14.25" customHeight="1">
      <c r="J329" s="19"/>
      <c r="K329" s="19"/>
    </row>
    <row r="330" ht="14.25" customHeight="1">
      <c r="J330" s="19"/>
      <c r="K330" s="19"/>
    </row>
    <row r="331" ht="14.25" customHeight="1">
      <c r="J331" s="19"/>
      <c r="K331" s="19"/>
    </row>
    <row r="332" ht="14.25" customHeight="1">
      <c r="J332" s="19"/>
      <c r="K332" s="19"/>
    </row>
    <row r="333" ht="14.25" customHeight="1">
      <c r="J333" s="19"/>
      <c r="K333" s="19"/>
    </row>
    <row r="334" ht="14.25" customHeight="1">
      <c r="J334" s="19"/>
      <c r="K334" s="19"/>
    </row>
    <row r="335" ht="14.25" customHeight="1">
      <c r="J335" s="19"/>
      <c r="K335" s="19"/>
    </row>
    <row r="336" ht="14.25" customHeight="1">
      <c r="J336" s="19"/>
      <c r="K336" s="19"/>
    </row>
    <row r="337" ht="14.25" customHeight="1">
      <c r="J337" s="19"/>
      <c r="K337" s="19"/>
    </row>
    <row r="338" ht="14.25" customHeight="1">
      <c r="J338" s="19"/>
      <c r="K338" s="19"/>
    </row>
    <row r="339" ht="14.25" customHeight="1">
      <c r="J339" s="19"/>
      <c r="K339" s="19"/>
    </row>
    <row r="340" ht="14.25" customHeight="1">
      <c r="J340" s="19"/>
      <c r="K340" s="19"/>
    </row>
    <row r="341" ht="14.25" customHeight="1">
      <c r="J341" s="19"/>
      <c r="K341" s="19"/>
    </row>
    <row r="342" ht="14.25" customHeight="1">
      <c r="J342" s="19"/>
      <c r="K342" s="19"/>
    </row>
    <row r="343" ht="14.25" customHeight="1">
      <c r="J343" s="19"/>
      <c r="K343" s="19"/>
    </row>
    <row r="344" ht="14.25" customHeight="1">
      <c r="J344" s="19"/>
      <c r="K344" s="19"/>
    </row>
    <row r="345" ht="14.25" customHeight="1">
      <c r="J345" s="19"/>
      <c r="K345" s="19"/>
    </row>
    <row r="346" ht="14.25" customHeight="1">
      <c r="J346" s="19"/>
      <c r="K346" s="19"/>
    </row>
    <row r="347" ht="14.25" customHeight="1">
      <c r="J347" s="19"/>
      <c r="K347" s="19"/>
    </row>
    <row r="348" ht="14.25" customHeight="1">
      <c r="J348" s="19"/>
      <c r="K348" s="19"/>
    </row>
    <row r="349" ht="14.25" customHeight="1">
      <c r="J349" s="19"/>
      <c r="K349" s="19"/>
    </row>
    <row r="350" ht="14.25" customHeight="1">
      <c r="J350" s="19"/>
      <c r="K350" s="19"/>
    </row>
    <row r="351" ht="14.25" customHeight="1">
      <c r="J351" s="19"/>
      <c r="K351" s="19"/>
    </row>
    <row r="352" ht="14.25" customHeight="1">
      <c r="J352" s="19"/>
      <c r="K352" s="19"/>
    </row>
    <row r="353" ht="14.25" customHeight="1">
      <c r="J353" s="19"/>
      <c r="K353" s="19"/>
    </row>
    <row r="354" ht="14.25" customHeight="1">
      <c r="J354" s="19"/>
      <c r="K354" s="19"/>
    </row>
    <row r="355" ht="14.25" customHeight="1">
      <c r="J355" s="19"/>
      <c r="K355" s="19"/>
    </row>
    <row r="356" ht="14.25" customHeight="1">
      <c r="J356" s="19"/>
      <c r="K356" s="19"/>
    </row>
    <row r="357" ht="14.25" customHeight="1">
      <c r="J357" s="19"/>
      <c r="K357" s="19"/>
    </row>
    <row r="358" ht="14.25" customHeight="1">
      <c r="J358" s="19"/>
      <c r="K358" s="19"/>
    </row>
    <row r="359" ht="14.25" customHeight="1">
      <c r="J359" s="19"/>
      <c r="K359" s="19"/>
    </row>
    <row r="360" ht="14.25" customHeight="1">
      <c r="J360" s="19"/>
      <c r="K360" s="19"/>
    </row>
    <row r="361" ht="14.25" customHeight="1">
      <c r="J361" s="19"/>
      <c r="K361" s="19"/>
    </row>
    <row r="362" ht="14.25" customHeight="1">
      <c r="J362" s="19"/>
      <c r="K362" s="19"/>
    </row>
    <row r="363" ht="14.25" customHeight="1">
      <c r="J363" s="19"/>
      <c r="K363" s="19"/>
    </row>
    <row r="364" ht="14.25" customHeight="1">
      <c r="J364" s="19"/>
      <c r="K364" s="19"/>
    </row>
    <row r="365" ht="14.25" customHeight="1">
      <c r="J365" s="19"/>
      <c r="K365" s="19"/>
    </row>
    <row r="366" ht="14.25" customHeight="1">
      <c r="J366" s="19"/>
      <c r="K366" s="19"/>
    </row>
    <row r="367" ht="14.25" customHeight="1">
      <c r="J367" s="19"/>
      <c r="K367" s="19"/>
    </row>
    <row r="368" ht="14.25" customHeight="1">
      <c r="J368" s="19"/>
      <c r="K368" s="19"/>
    </row>
    <row r="369" ht="14.25" customHeight="1">
      <c r="J369" s="19"/>
      <c r="K369" s="19"/>
    </row>
    <row r="370" ht="14.25" customHeight="1">
      <c r="J370" s="19"/>
      <c r="K370" s="19"/>
    </row>
    <row r="371" ht="14.25" customHeight="1">
      <c r="J371" s="19"/>
      <c r="K371" s="19"/>
    </row>
    <row r="372" ht="14.25" customHeight="1">
      <c r="J372" s="19"/>
      <c r="K372" s="19"/>
    </row>
    <row r="373" ht="14.25" customHeight="1">
      <c r="J373" s="19"/>
      <c r="K373" s="19"/>
    </row>
    <row r="374" ht="14.25" customHeight="1">
      <c r="J374" s="19"/>
      <c r="K374" s="19"/>
    </row>
    <row r="375" ht="14.25" customHeight="1">
      <c r="J375" s="19"/>
      <c r="K375" s="19"/>
    </row>
    <row r="376" ht="14.25" customHeight="1">
      <c r="J376" s="19"/>
      <c r="K376" s="19"/>
    </row>
    <row r="377" ht="14.25" customHeight="1">
      <c r="J377" s="19"/>
      <c r="K377" s="19"/>
    </row>
    <row r="378" ht="14.25" customHeight="1">
      <c r="J378" s="19"/>
      <c r="K378" s="19"/>
    </row>
    <row r="379" ht="14.25" customHeight="1">
      <c r="J379" s="19"/>
      <c r="K379" s="19"/>
    </row>
    <row r="380" ht="14.25" customHeight="1">
      <c r="J380" s="19"/>
      <c r="K380" s="19"/>
    </row>
    <row r="381" ht="14.25" customHeight="1">
      <c r="J381" s="19"/>
      <c r="K381" s="19"/>
    </row>
    <row r="382" ht="14.25" customHeight="1">
      <c r="J382" s="19"/>
      <c r="K382" s="19"/>
    </row>
    <row r="383" ht="14.25" customHeight="1">
      <c r="J383" s="19"/>
      <c r="K383" s="19"/>
    </row>
    <row r="384" ht="14.25" customHeight="1">
      <c r="J384" s="19"/>
      <c r="K384" s="19"/>
    </row>
    <row r="385" ht="14.25" customHeight="1">
      <c r="J385" s="19"/>
      <c r="K385" s="19"/>
    </row>
    <row r="386" ht="14.25" customHeight="1">
      <c r="J386" s="19"/>
      <c r="K386" s="19"/>
    </row>
    <row r="387" ht="14.25" customHeight="1">
      <c r="J387" s="19"/>
      <c r="K387" s="19"/>
    </row>
    <row r="388" ht="14.25" customHeight="1">
      <c r="J388" s="19"/>
      <c r="K388" s="19"/>
    </row>
    <row r="389" ht="14.25" customHeight="1">
      <c r="J389" s="19"/>
      <c r="K389" s="19"/>
    </row>
    <row r="390" ht="14.25" customHeight="1">
      <c r="J390" s="19"/>
      <c r="K390" s="19"/>
    </row>
    <row r="391" ht="14.25" customHeight="1">
      <c r="J391" s="19"/>
      <c r="K391" s="19"/>
    </row>
    <row r="392" ht="14.25" customHeight="1">
      <c r="J392" s="19"/>
      <c r="K392" s="19"/>
    </row>
    <row r="393" ht="14.25" customHeight="1">
      <c r="J393" s="19"/>
      <c r="K393" s="19"/>
    </row>
    <row r="394" ht="14.25" customHeight="1">
      <c r="J394" s="19"/>
      <c r="K394" s="19"/>
    </row>
    <row r="395" ht="14.25" customHeight="1">
      <c r="J395" s="19"/>
      <c r="K395" s="19"/>
    </row>
    <row r="396" ht="14.25" customHeight="1">
      <c r="J396" s="19"/>
      <c r="K396" s="19"/>
    </row>
    <row r="397" ht="14.25" customHeight="1">
      <c r="J397" s="19"/>
      <c r="K397" s="19"/>
    </row>
    <row r="398" ht="14.25" customHeight="1">
      <c r="J398" s="19"/>
      <c r="K398" s="19"/>
    </row>
    <row r="399" ht="14.25" customHeight="1">
      <c r="J399" s="19"/>
      <c r="K399" s="19"/>
    </row>
    <row r="400" ht="14.25" customHeight="1">
      <c r="J400" s="19"/>
      <c r="K400" s="19"/>
    </row>
    <row r="401" ht="14.25" customHeight="1">
      <c r="J401" s="19"/>
      <c r="K401" s="19"/>
    </row>
    <row r="402" ht="14.25" customHeight="1">
      <c r="J402" s="19"/>
      <c r="K402" s="19"/>
    </row>
    <row r="403" ht="14.25" customHeight="1">
      <c r="J403" s="19"/>
      <c r="K403" s="19"/>
    </row>
    <row r="404" ht="14.25" customHeight="1">
      <c r="J404" s="19"/>
      <c r="K404" s="19"/>
    </row>
    <row r="405" ht="14.25" customHeight="1">
      <c r="J405" s="19"/>
      <c r="K405" s="19"/>
    </row>
    <row r="406" ht="14.25" customHeight="1">
      <c r="J406" s="19"/>
      <c r="K406" s="19"/>
    </row>
    <row r="407" ht="14.25" customHeight="1">
      <c r="J407" s="19"/>
      <c r="K407" s="19"/>
    </row>
    <row r="408" ht="14.25" customHeight="1">
      <c r="J408" s="19"/>
      <c r="K408" s="19"/>
    </row>
    <row r="409" ht="14.25" customHeight="1">
      <c r="J409" s="19"/>
      <c r="K409" s="19"/>
    </row>
    <row r="410" ht="14.25" customHeight="1">
      <c r="J410" s="19"/>
      <c r="K410" s="19"/>
    </row>
    <row r="411" ht="14.25" customHeight="1">
      <c r="J411" s="19"/>
      <c r="K411" s="19"/>
    </row>
    <row r="412" ht="14.25" customHeight="1">
      <c r="J412" s="19"/>
      <c r="K412" s="19"/>
    </row>
    <row r="413" ht="14.25" customHeight="1">
      <c r="J413" s="19"/>
      <c r="K413" s="19"/>
    </row>
    <row r="414" ht="14.25" customHeight="1">
      <c r="J414" s="19"/>
      <c r="K414" s="19"/>
    </row>
    <row r="415" ht="14.25" customHeight="1">
      <c r="J415" s="19"/>
      <c r="K415" s="19"/>
    </row>
    <row r="416" ht="14.25" customHeight="1">
      <c r="J416" s="19"/>
      <c r="K416" s="19"/>
    </row>
    <row r="417" ht="14.25" customHeight="1">
      <c r="J417" s="19"/>
      <c r="K417" s="19"/>
    </row>
    <row r="418" ht="14.25" customHeight="1">
      <c r="J418" s="19"/>
      <c r="K418" s="19"/>
    </row>
    <row r="419" ht="14.25" customHeight="1">
      <c r="J419" s="19"/>
      <c r="K419" s="19"/>
    </row>
    <row r="420" ht="14.25" customHeight="1">
      <c r="J420" s="19"/>
      <c r="K420" s="19"/>
    </row>
    <row r="421" ht="14.25" customHeight="1">
      <c r="J421" s="19"/>
      <c r="K421" s="19"/>
    </row>
    <row r="422" ht="14.25" customHeight="1">
      <c r="J422" s="19"/>
      <c r="K422" s="19"/>
    </row>
    <row r="423" ht="14.25" customHeight="1">
      <c r="J423" s="19"/>
      <c r="K423" s="19"/>
    </row>
    <row r="424" ht="14.25" customHeight="1">
      <c r="J424" s="19"/>
      <c r="K424" s="19"/>
    </row>
    <row r="425" ht="14.25" customHeight="1">
      <c r="J425" s="19"/>
      <c r="K425" s="19"/>
    </row>
    <row r="426" ht="14.25" customHeight="1">
      <c r="J426" s="19"/>
      <c r="K426" s="19"/>
    </row>
    <row r="427" ht="14.25" customHeight="1">
      <c r="J427" s="19"/>
      <c r="K427" s="19"/>
    </row>
    <row r="428" ht="14.25" customHeight="1">
      <c r="J428" s="19"/>
      <c r="K428" s="19"/>
    </row>
    <row r="429" ht="14.25" customHeight="1">
      <c r="J429" s="19"/>
      <c r="K429" s="19"/>
    </row>
    <row r="430" ht="14.25" customHeight="1">
      <c r="J430" s="19"/>
      <c r="K430" s="19"/>
    </row>
    <row r="431" ht="14.25" customHeight="1">
      <c r="J431" s="19"/>
      <c r="K431" s="19"/>
    </row>
    <row r="432" ht="14.25" customHeight="1">
      <c r="J432" s="19"/>
      <c r="K432" s="19"/>
    </row>
    <row r="433" ht="14.25" customHeight="1">
      <c r="J433" s="19"/>
      <c r="K433" s="19"/>
    </row>
    <row r="434" ht="14.25" customHeight="1">
      <c r="J434" s="19"/>
      <c r="K434" s="19"/>
    </row>
    <row r="435" ht="14.25" customHeight="1">
      <c r="J435" s="19"/>
      <c r="K435" s="19"/>
    </row>
    <row r="436" ht="14.25" customHeight="1">
      <c r="J436" s="19"/>
      <c r="K436" s="19"/>
    </row>
    <row r="437" ht="14.25" customHeight="1">
      <c r="J437" s="19"/>
      <c r="K437" s="19"/>
    </row>
    <row r="438" ht="14.25" customHeight="1">
      <c r="J438" s="19"/>
      <c r="K438" s="19"/>
    </row>
    <row r="439" ht="14.25" customHeight="1">
      <c r="J439" s="19"/>
      <c r="K439" s="19"/>
    </row>
    <row r="440" ht="14.25" customHeight="1">
      <c r="J440" s="19"/>
      <c r="K440" s="19"/>
    </row>
    <row r="441" ht="14.25" customHeight="1">
      <c r="J441" s="19"/>
      <c r="K441" s="19"/>
    </row>
    <row r="442" ht="14.25" customHeight="1">
      <c r="J442" s="19"/>
      <c r="K442" s="19"/>
    </row>
    <row r="443" ht="14.25" customHeight="1">
      <c r="J443" s="19"/>
      <c r="K443" s="19"/>
    </row>
    <row r="444" ht="14.25" customHeight="1">
      <c r="J444" s="19"/>
      <c r="K444" s="19"/>
    </row>
    <row r="445" ht="14.25" customHeight="1">
      <c r="J445" s="19"/>
      <c r="K445" s="19"/>
    </row>
    <row r="446" ht="14.25" customHeight="1">
      <c r="J446" s="19"/>
      <c r="K446" s="19"/>
    </row>
    <row r="447" ht="14.25" customHeight="1">
      <c r="J447" s="19"/>
      <c r="K447" s="19"/>
    </row>
    <row r="448" ht="14.25" customHeight="1">
      <c r="J448" s="19"/>
      <c r="K448" s="19"/>
    </row>
    <row r="449" ht="14.25" customHeight="1">
      <c r="J449" s="19"/>
      <c r="K449" s="19"/>
    </row>
    <row r="450" ht="14.25" customHeight="1">
      <c r="J450" s="19"/>
      <c r="K450" s="19"/>
    </row>
    <row r="451" ht="14.25" customHeight="1">
      <c r="J451" s="19"/>
      <c r="K451" s="19"/>
    </row>
    <row r="452" ht="14.25" customHeight="1">
      <c r="J452" s="19"/>
      <c r="K452" s="19"/>
    </row>
    <row r="453" ht="14.25" customHeight="1">
      <c r="J453" s="19"/>
      <c r="K453" s="19"/>
    </row>
    <row r="454" ht="14.25" customHeight="1">
      <c r="J454" s="19"/>
      <c r="K454" s="19"/>
    </row>
    <row r="455" ht="14.25" customHeight="1">
      <c r="J455" s="19"/>
      <c r="K455" s="19"/>
    </row>
    <row r="456" ht="14.25" customHeight="1">
      <c r="J456" s="19"/>
      <c r="K456" s="19"/>
    </row>
    <row r="457" ht="14.25" customHeight="1">
      <c r="J457" s="19"/>
      <c r="K457" s="19"/>
    </row>
    <row r="458" ht="14.25" customHeight="1">
      <c r="J458" s="19"/>
      <c r="K458" s="19"/>
    </row>
    <row r="459" ht="14.25" customHeight="1">
      <c r="J459" s="19"/>
      <c r="K459" s="19"/>
    </row>
    <row r="460" ht="14.25" customHeight="1">
      <c r="J460" s="19"/>
      <c r="K460" s="19"/>
    </row>
    <row r="461" ht="14.25" customHeight="1">
      <c r="J461" s="19"/>
      <c r="K461" s="19"/>
    </row>
    <row r="462" ht="14.25" customHeight="1">
      <c r="J462" s="19"/>
      <c r="K462" s="19"/>
    </row>
    <row r="463" ht="14.25" customHeight="1">
      <c r="J463" s="19"/>
      <c r="K463" s="19"/>
    </row>
    <row r="464" ht="14.25" customHeight="1">
      <c r="J464" s="19"/>
      <c r="K464" s="19"/>
    </row>
    <row r="465" ht="14.25" customHeight="1">
      <c r="J465" s="19"/>
      <c r="K465" s="19"/>
    </row>
    <row r="466" ht="14.25" customHeight="1">
      <c r="J466" s="19"/>
      <c r="K466" s="19"/>
    </row>
    <row r="467" ht="14.25" customHeight="1">
      <c r="J467" s="19"/>
      <c r="K467" s="19"/>
    </row>
    <row r="468" ht="14.25" customHeight="1">
      <c r="J468" s="19"/>
      <c r="K468" s="19"/>
    </row>
    <row r="469" ht="14.25" customHeight="1">
      <c r="J469" s="19"/>
      <c r="K469" s="19"/>
    </row>
    <row r="470" ht="14.25" customHeight="1">
      <c r="J470" s="19"/>
      <c r="K470" s="19"/>
    </row>
    <row r="471" ht="14.25" customHeight="1">
      <c r="J471" s="19"/>
      <c r="K471" s="19"/>
    </row>
    <row r="472" ht="14.25" customHeight="1">
      <c r="J472" s="19"/>
      <c r="K472" s="19"/>
    </row>
    <row r="473" ht="14.25" customHeight="1">
      <c r="J473" s="19"/>
      <c r="K473" s="19"/>
    </row>
    <row r="474" ht="14.25" customHeight="1">
      <c r="J474" s="19"/>
      <c r="K474" s="19"/>
    </row>
    <row r="475" ht="14.25" customHeight="1">
      <c r="J475" s="19"/>
      <c r="K475" s="19"/>
    </row>
    <row r="476" ht="14.25" customHeight="1">
      <c r="J476" s="19"/>
      <c r="K476" s="19"/>
    </row>
    <row r="477" ht="14.25" customHeight="1">
      <c r="J477" s="19"/>
      <c r="K477" s="19"/>
    </row>
    <row r="478" ht="14.25" customHeight="1">
      <c r="J478" s="19"/>
      <c r="K478" s="19"/>
    </row>
    <row r="479" ht="14.25" customHeight="1">
      <c r="J479" s="19"/>
      <c r="K479" s="19"/>
    </row>
    <row r="480" ht="14.25" customHeight="1">
      <c r="J480" s="19"/>
      <c r="K480" s="19"/>
    </row>
    <row r="481" ht="14.25" customHeight="1">
      <c r="J481" s="19"/>
      <c r="K481" s="19"/>
    </row>
    <row r="482" ht="14.25" customHeight="1">
      <c r="J482" s="19"/>
      <c r="K482" s="19"/>
    </row>
    <row r="483" ht="14.25" customHeight="1">
      <c r="J483" s="19"/>
      <c r="K483" s="19"/>
    </row>
    <row r="484" ht="14.25" customHeight="1">
      <c r="J484" s="19"/>
      <c r="K484" s="19"/>
    </row>
    <row r="485" ht="14.25" customHeight="1">
      <c r="J485" s="19"/>
      <c r="K485" s="19"/>
    </row>
    <row r="486" ht="14.25" customHeight="1">
      <c r="J486" s="19"/>
      <c r="K486" s="19"/>
    </row>
    <row r="487" ht="14.25" customHeight="1">
      <c r="J487" s="19"/>
      <c r="K487" s="19"/>
    </row>
    <row r="488" ht="14.25" customHeight="1">
      <c r="J488" s="19"/>
      <c r="K488" s="19"/>
    </row>
    <row r="489" ht="14.25" customHeight="1">
      <c r="J489" s="19"/>
      <c r="K489" s="19"/>
    </row>
    <row r="490" ht="14.25" customHeight="1">
      <c r="J490" s="19"/>
      <c r="K490" s="19"/>
    </row>
    <row r="491" ht="14.25" customHeight="1">
      <c r="J491" s="19"/>
      <c r="K491" s="19"/>
    </row>
    <row r="492" ht="14.25" customHeight="1">
      <c r="J492" s="19"/>
      <c r="K492" s="19"/>
    </row>
    <row r="493" ht="14.25" customHeight="1">
      <c r="J493" s="19"/>
      <c r="K493" s="19"/>
    </row>
    <row r="494" ht="14.25" customHeight="1">
      <c r="J494" s="19"/>
      <c r="K494" s="19"/>
    </row>
    <row r="495" ht="14.25" customHeight="1">
      <c r="J495" s="19"/>
      <c r="K495" s="19"/>
    </row>
    <row r="496" ht="14.25" customHeight="1">
      <c r="J496" s="19"/>
      <c r="K496" s="19"/>
    </row>
    <row r="497" ht="14.25" customHeight="1">
      <c r="J497" s="19"/>
      <c r="K497" s="19"/>
    </row>
    <row r="498" ht="14.25" customHeight="1">
      <c r="J498" s="19"/>
      <c r="K498" s="19"/>
    </row>
    <row r="499" ht="14.25" customHeight="1">
      <c r="J499" s="19"/>
      <c r="K499" s="19"/>
    </row>
    <row r="500" ht="14.25" customHeight="1">
      <c r="J500" s="19"/>
      <c r="K500" s="19"/>
    </row>
    <row r="501" ht="14.25" customHeight="1">
      <c r="J501" s="19"/>
      <c r="K501" s="19"/>
    </row>
    <row r="502" ht="14.25" customHeight="1">
      <c r="J502" s="19"/>
      <c r="K502" s="19"/>
    </row>
    <row r="503" ht="14.25" customHeight="1">
      <c r="J503" s="19"/>
      <c r="K503" s="19"/>
    </row>
    <row r="504" ht="14.25" customHeight="1">
      <c r="J504" s="19"/>
      <c r="K504" s="19"/>
    </row>
    <row r="505" ht="14.25" customHeight="1">
      <c r="J505" s="19"/>
      <c r="K505" s="19"/>
    </row>
    <row r="506" ht="14.25" customHeight="1">
      <c r="J506" s="19"/>
      <c r="K506" s="19"/>
    </row>
    <row r="507" ht="14.25" customHeight="1">
      <c r="J507" s="19"/>
      <c r="K507" s="19"/>
    </row>
    <row r="508" ht="14.25" customHeight="1">
      <c r="J508" s="19"/>
      <c r="K508" s="19"/>
    </row>
    <row r="509" ht="14.25" customHeight="1">
      <c r="J509" s="19"/>
      <c r="K509" s="19"/>
    </row>
    <row r="510" ht="14.25" customHeight="1">
      <c r="J510" s="19"/>
      <c r="K510" s="19"/>
    </row>
    <row r="511" ht="14.25" customHeight="1">
      <c r="J511" s="19"/>
      <c r="K511" s="19"/>
    </row>
    <row r="512" ht="14.25" customHeight="1">
      <c r="J512" s="19"/>
      <c r="K512" s="19"/>
    </row>
    <row r="513" ht="14.25" customHeight="1">
      <c r="J513" s="19"/>
      <c r="K513" s="19"/>
    </row>
    <row r="514" ht="14.25" customHeight="1">
      <c r="J514" s="19"/>
      <c r="K514" s="19"/>
    </row>
    <row r="515" ht="14.25" customHeight="1">
      <c r="J515" s="19"/>
      <c r="K515" s="19"/>
    </row>
    <row r="516" ht="14.25" customHeight="1">
      <c r="J516" s="19"/>
      <c r="K516" s="19"/>
    </row>
    <row r="517" ht="14.25" customHeight="1">
      <c r="J517" s="19"/>
      <c r="K517" s="19"/>
    </row>
    <row r="518" ht="14.25" customHeight="1">
      <c r="J518" s="19"/>
      <c r="K518" s="19"/>
    </row>
    <row r="519" ht="14.25" customHeight="1">
      <c r="J519" s="19"/>
      <c r="K519" s="19"/>
    </row>
    <row r="520" ht="14.25" customHeight="1">
      <c r="J520" s="19"/>
      <c r="K520" s="19"/>
    </row>
    <row r="521" ht="14.25" customHeight="1">
      <c r="J521" s="19"/>
      <c r="K521" s="19"/>
    </row>
    <row r="522" ht="14.25" customHeight="1">
      <c r="J522" s="19"/>
      <c r="K522" s="19"/>
    </row>
    <row r="523" ht="14.25" customHeight="1">
      <c r="J523" s="19"/>
      <c r="K523" s="19"/>
    </row>
    <row r="524" ht="14.25" customHeight="1">
      <c r="J524" s="19"/>
      <c r="K524" s="19"/>
    </row>
    <row r="525" ht="14.25" customHeight="1">
      <c r="J525" s="19"/>
      <c r="K525" s="19"/>
    </row>
    <row r="526" ht="14.25" customHeight="1">
      <c r="J526" s="19"/>
      <c r="K526" s="19"/>
    </row>
    <row r="527" ht="14.25" customHeight="1">
      <c r="J527" s="19"/>
      <c r="K527" s="19"/>
    </row>
    <row r="528" ht="14.25" customHeight="1">
      <c r="J528" s="19"/>
      <c r="K528" s="19"/>
    </row>
    <row r="529" ht="14.25" customHeight="1">
      <c r="J529" s="19"/>
      <c r="K529" s="19"/>
    </row>
    <row r="530" ht="14.25" customHeight="1">
      <c r="J530" s="19"/>
      <c r="K530" s="19"/>
    </row>
    <row r="531" ht="14.25" customHeight="1">
      <c r="J531" s="19"/>
      <c r="K531" s="19"/>
    </row>
    <row r="532" ht="14.25" customHeight="1">
      <c r="J532" s="19"/>
      <c r="K532" s="19"/>
    </row>
    <row r="533" ht="14.25" customHeight="1">
      <c r="J533" s="19"/>
      <c r="K533" s="19"/>
    </row>
    <row r="534" ht="14.25" customHeight="1">
      <c r="J534" s="19"/>
      <c r="K534" s="19"/>
    </row>
    <row r="535" ht="14.25" customHeight="1">
      <c r="J535" s="19"/>
      <c r="K535" s="19"/>
    </row>
    <row r="536" ht="14.25" customHeight="1">
      <c r="J536" s="19"/>
      <c r="K536" s="19"/>
    </row>
    <row r="537" ht="14.25" customHeight="1">
      <c r="J537" s="19"/>
      <c r="K537" s="19"/>
    </row>
    <row r="538" ht="14.25" customHeight="1">
      <c r="J538" s="19"/>
      <c r="K538" s="19"/>
    </row>
    <row r="539" ht="14.25" customHeight="1">
      <c r="J539" s="19"/>
      <c r="K539" s="19"/>
    </row>
    <row r="540" ht="14.25" customHeight="1">
      <c r="J540" s="19"/>
      <c r="K540" s="19"/>
    </row>
    <row r="541" ht="14.25" customHeight="1">
      <c r="J541" s="19"/>
      <c r="K541" s="19"/>
    </row>
    <row r="542" ht="14.25" customHeight="1">
      <c r="J542" s="19"/>
      <c r="K542" s="19"/>
    </row>
    <row r="543" ht="14.25" customHeight="1">
      <c r="J543" s="19"/>
      <c r="K543" s="19"/>
    </row>
    <row r="544" ht="14.25" customHeight="1">
      <c r="J544" s="19"/>
      <c r="K544" s="19"/>
    </row>
    <row r="545" ht="14.25" customHeight="1">
      <c r="J545" s="19"/>
      <c r="K545" s="19"/>
    </row>
    <row r="546" ht="14.25" customHeight="1">
      <c r="J546" s="19"/>
      <c r="K546" s="19"/>
    </row>
    <row r="547" ht="14.25" customHeight="1">
      <c r="J547" s="19"/>
      <c r="K547" s="19"/>
    </row>
    <row r="548" ht="14.25" customHeight="1">
      <c r="J548" s="19"/>
      <c r="K548" s="19"/>
    </row>
    <row r="549" ht="14.25" customHeight="1">
      <c r="J549" s="19"/>
      <c r="K549" s="19"/>
    </row>
    <row r="550" ht="14.25" customHeight="1">
      <c r="J550" s="19"/>
      <c r="K550" s="19"/>
    </row>
    <row r="551" ht="14.25" customHeight="1">
      <c r="J551" s="19"/>
      <c r="K551" s="19"/>
    </row>
    <row r="552" ht="14.25" customHeight="1">
      <c r="J552" s="19"/>
      <c r="K552" s="19"/>
    </row>
    <row r="553" ht="14.25" customHeight="1">
      <c r="J553" s="19"/>
      <c r="K553" s="19"/>
    </row>
    <row r="554" ht="14.25" customHeight="1">
      <c r="J554" s="19"/>
      <c r="K554" s="19"/>
    </row>
    <row r="555" ht="14.25" customHeight="1">
      <c r="J555" s="19"/>
      <c r="K555" s="19"/>
    </row>
    <row r="556" ht="14.25" customHeight="1">
      <c r="J556" s="19"/>
      <c r="K556" s="19"/>
    </row>
    <row r="557" ht="14.25" customHeight="1">
      <c r="J557" s="19"/>
      <c r="K557" s="19"/>
    </row>
    <row r="558" ht="14.25" customHeight="1">
      <c r="J558" s="19"/>
      <c r="K558" s="19"/>
    </row>
    <row r="559" ht="14.25" customHeight="1">
      <c r="J559" s="19"/>
      <c r="K559" s="19"/>
    </row>
    <row r="560" ht="14.25" customHeight="1">
      <c r="J560" s="19"/>
      <c r="K560" s="19"/>
    </row>
    <row r="561" ht="14.25" customHeight="1">
      <c r="J561" s="19"/>
      <c r="K561" s="19"/>
    </row>
    <row r="562" ht="14.25" customHeight="1">
      <c r="J562" s="19"/>
      <c r="K562" s="19"/>
    </row>
    <row r="563" ht="14.25" customHeight="1">
      <c r="J563" s="19"/>
      <c r="K563" s="19"/>
    </row>
    <row r="564" ht="14.25" customHeight="1">
      <c r="J564" s="19"/>
      <c r="K564" s="19"/>
    </row>
    <row r="565" ht="14.25" customHeight="1">
      <c r="J565" s="19"/>
      <c r="K565" s="19"/>
    </row>
    <row r="566" ht="14.25" customHeight="1">
      <c r="J566" s="19"/>
      <c r="K566" s="19"/>
    </row>
    <row r="567" ht="14.25" customHeight="1">
      <c r="J567" s="19"/>
      <c r="K567" s="19"/>
    </row>
    <row r="568" ht="14.25" customHeight="1">
      <c r="J568" s="19"/>
      <c r="K568" s="19"/>
    </row>
    <row r="569" ht="14.25" customHeight="1">
      <c r="J569" s="19"/>
      <c r="K569" s="19"/>
    </row>
    <row r="570" ht="14.25" customHeight="1">
      <c r="J570" s="19"/>
      <c r="K570" s="19"/>
    </row>
    <row r="571" ht="14.25" customHeight="1">
      <c r="J571" s="19"/>
      <c r="K571" s="19"/>
    </row>
    <row r="572" ht="14.25" customHeight="1">
      <c r="J572" s="19"/>
      <c r="K572" s="19"/>
    </row>
    <row r="573" ht="14.25" customHeight="1">
      <c r="J573" s="19"/>
      <c r="K573" s="19"/>
    </row>
    <row r="574" ht="14.25" customHeight="1">
      <c r="J574" s="19"/>
      <c r="K574" s="19"/>
    </row>
    <row r="575" ht="14.25" customHeight="1">
      <c r="J575" s="19"/>
      <c r="K575" s="19"/>
    </row>
    <row r="576" ht="14.25" customHeight="1">
      <c r="J576" s="19"/>
      <c r="K576" s="19"/>
    </row>
    <row r="577" ht="14.25" customHeight="1">
      <c r="J577" s="19"/>
      <c r="K577" s="19"/>
    </row>
    <row r="578" ht="14.25" customHeight="1">
      <c r="J578" s="19"/>
      <c r="K578" s="19"/>
    </row>
    <row r="579" ht="14.25" customHeight="1">
      <c r="J579" s="19"/>
      <c r="K579" s="19"/>
    </row>
    <row r="580" ht="14.25" customHeight="1">
      <c r="J580" s="19"/>
      <c r="K580" s="19"/>
    </row>
    <row r="581" ht="14.25" customHeight="1">
      <c r="J581" s="19"/>
      <c r="K581" s="19"/>
    </row>
    <row r="582" ht="14.25" customHeight="1">
      <c r="J582" s="19"/>
      <c r="K582" s="19"/>
    </row>
    <row r="583" ht="14.25" customHeight="1">
      <c r="J583" s="19"/>
      <c r="K583" s="19"/>
    </row>
    <row r="584" ht="14.25" customHeight="1">
      <c r="J584" s="19"/>
      <c r="K584" s="19"/>
    </row>
    <row r="585" ht="14.25" customHeight="1">
      <c r="J585" s="19"/>
      <c r="K585" s="19"/>
    </row>
    <row r="586" ht="14.25" customHeight="1">
      <c r="J586" s="19"/>
      <c r="K586" s="19"/>
    </row>
    <row r="587" ht="14.25" customHeight="1">
      <c r="J587" s="19"/>
      <c r="K587" s="19"/>
    </row>
    <row r="588" ht="14.25" customHeight="1">
      <c r="J588" s="19"/>
      <c r="K588" s="19"/>
    </row>
    <row r="589" ht="14.25" customHeight="1">
      <c r="J589" s="19"/>
      <c r="K589" s="19"/>
    </row>
    <row r="590" ht="14.25" customHeight="1">
      <c r="J590" s="19"/>
      <c r="K590" s="19"/>
    </row>
    <row r="591" ht="14.25" customHeight="1">
      <c r="J591" s="19"/>
      <c r="K591" s="19"/>
    </row>
    <row r="592" ht="14.25" customHeight="1">
      <c r="J592" s="19"/>
      <c r="K592" s="19"/>
    </row>
    <row r="593" ht="14.25" customHeight="1">
      <c r="J593" s="19"/>
      <c r="K593" s="19"/>
    </row>
    <row r="594" ht="14.25" customHeight="1">
      <c r="J594" s="19"/>
      <c r="K594" s="19"/>
    </row>
    <row r="595" ht="14.25" customHeight="1">
      <c r="J595" s="19"/>
      <c r="K595" s="19"/>
    </row>
    <row r="596" ht="14.25" customHeight="1">
      <c r="J596" s="19"/>
      <c r="K596" s="19"/>
    </row>
    <row r="597" ht="14.25" customHeight="1">
      <c r="J597" s="19"/>
      <c r="K597" s="19"/>
    </row>
    <row r="598" ht="14.25" customHeight="1">
      <c r="J598" s="19"/>
      <c r="K598" s="19"/>
    </row>
    <row r="599" ht="14.25" customHeight="1">
      <c r="J599" s="19"/>
      <c r="K599" s="19"/>
    </row>
    <row r="600" ht="14.25" customHeight="1">
      <c r="J600" s="19"/>
      <c r="K600" s="19"/>
    </row>
    <row r="601" ht="14.25" customHeight="1">
      <c r="J601" s="19"/>
      <c r="K601" s="19"/>
    </row>
    <row r="602" ht="14.25" customHeight="1">
      <c r="J602" s="19"/>
      <c r="K602" s="19"/>
    </row>
    <row r="603" ht="14.25" customHeight="1">
      <c r="J603" s="19"/>
      <c r="K603" s="19"/>
    </row>
    <row r="604" ht="14.25" customHeight="1">
      <c r="J604" s="19"/>
      <c r="K604" s="19"/>
    </row>
    <row r="605" ht="14.25" customHeight="1">
      <c r="J605" s="19"/>
      <c r="K605" s="19"/>
    </row>
    <row r="606" ht="14.25" customHeight="1">
      <c r="J606" s="19"/>
      <c r="K606" s="19"/>
    </row>
    <row r="607" ht="14.25" customHeight="1">
      <c r="J607" s="19"/>
      <c r="K607" s="19"/>
    </row>
    <row r="608" ht="14.25" customHeight="1">
      <c r="J608" s="19"/>
      <c r="K608" s="19"/>
    </row>
    <row r="609" ht="14.25" customHeight="1">
      <c r="J609" s="19"/>
      <c r="K609" s="19"/>
    </row>
    <row r="610" ht="14.25" customHeight="1">
      <c r="J610" s="19"/>
      <c r="K610" s="19"/>
    </row>
    <row r="611" ht="14.25" customHeight="1">
      <c r="J611" s="19"/>
      <c r="K611" s="19"/>
    </row>
    <row r="612" ht="14.25" customHeight="1">
      <c r="J612" s="19"/>
      <c r="K612" s="19"/>
    </row>
    <row r="613" ht="14.25" customHeight="1">
      <c r="J613" s="19"/>
      <c r="K613" s="19"/>
    </row>
    <row r="614" ht="14.25" customHeight="1">
      <c r="J614" s="19"/>
      <c r="K614" s="19"/>
    </row>
    <row r="615" ht="14.25" customHeight="1">
      <c r="J615" s="19"/>
      <c r="K615" s="19"/>
    </row>
    <row r="616" ht="14.25" customHeight="1">
      <c r="J616" s="19"/>
      <c r="K616" s="19"/>
    </row>
    <row r="617" ht="14.25" customHeight="1">
      <c r="J617" s="19"/>
      <c r="K617" s="19"/>
    </row>
    <row r="618" ht="14.25" customHeight="1">
      <c r="J618" s="19"/>
      <c r="K618" s="19"/>
    </row>
    <row r="619" ht="14.25" customHeight="1">
      <c r="J619" s="19"/>
      <c r="K619" s="19"/>
    </row>
    <row r="620" ht="14.25" customHeight="1">
      <c r="J620" s="19"/>
      <c r="K620" s="19"/>
    </row>
    <row r="621" ht="14.25" customHeight="1">
      <c r="J621" s="19"/>
      <c r="K621" s="19"/>
    </row>
    <row r="622" ht="14.25" customHeight="1">
      <c r="J622" s="19"/>
      <c r="K622" s="19"/>
    </row>
    <row r="623" ht="14.25" customHeight="1">
      <c r="J623" s="19"/>
      <c r="K623" s="19"/>
    </row>
    <row r="624" ht="14.25" customHeight="1">
      <c r="J624" s="19"/>
      <c r="K624" s="19"/>
    </row>
    <row r="625" ht="14.25" customHeight="1">
      <c r="J625" s="19"/>
      <c r="K625" s="19"/>
    </row>
    <row r="626" ht="14.25" customHeight="1">
      <c r="J626" s="19"/>
      <c r="K626" s="19"/>
    </row>
    <row r="627" ht="14.25" customHeight="1">
      <c r="J627" s="19"/>
      <c r="K627" s="19"/>
    </row>
    <row r="628" ht="14.25" customHeight="1">
      <c r="J628" s="19"/>
      <c r="K628" s="19"/>
    </row>
    <row r="629" ht="14.25" customHeight="1">
      <c r="J629" s="19"/>
      <c r="K629" s="19"/>
    </row>
    <row r="630" ht="14.25" customHeight="1">
      <c r="J630" s="19"/>
      <c r="K630" s="19"/>
    </row>
    <row r="631" ht="14.25" customHeight="1">
      <c r="J631" s="19"/>
      <c r="K631" s="19"/>
    </row>
    <row r="632" ht="14.25" customHeight="1">
      <c r="J632" s="19"/>
      <c r="K632" s="19"/>
    </row>
    <row r="633" ht="14.25" customHeight="1">
      <c r="J633" s="19"/>
      <c r="K633" s="19"/>
    </row>
    <row r="634" ht="14.25" customHeight="1">
      <c r="J634" s="19"/>
      <c r="K634" s="19"/>
    </row>
    <row r="635" ht="14.25" customHeight="1">
      <c r="J635" s="19"/>
      <c r="K635" s="19"/>
    </row>
    <row r="636" ht="14.25" customHeight="1">
      <c r="J636" s="19"/>
      <c r="K636" s="19"/>
    </row>
    <row r="637" ht="14.25" customHeight="1">
      <c r="J637" s="19"/>
      <c r="K637" s="19"/>
    </row>
    <row r="638" ht="14.25" customHeight="1">
      <c r="J638" s="19"/>
      <c r="K638" s="19"/>
    </row>
    <row r="639" ht="14.25" customHeight="1">
      <c r="J639" s="19"/>
      <c r="K639" s="19"/>
    </row>
    <row r="640" ht="14.25" customHeight="1">
      <c r="J640" s="19"/>
      <c r="K640" s="19"/>
    </row>
    <row r="641" ht="14.25" customHeight="1">
      <c r="J641" s="19"/>
      <c r="K641" s="19"/>
    </row>
    <row r="642" ht="14.25" customHeight="1">
      <c r="J642" s="19"/>
      <c r="K642" s="19"/>
    </row>
    <row r="643" ht="14.25" customHeight="1">
      <c r="J643" s="19"/>
      <c r="K643" s="19"/>
    </row>
    <row r="644" ht="14.25" customHeight="1">
      <c r="J644" s="19"/>
      <c r="K644" s="19"/>
    </row>
    <row r="645" ht="14.25" customHeight="1">
      <c r="J645" s="19"/>
      <c r="K645" s="19"/>
    </row>
    <row r="646" ht="14.25" customHeight="1">
      <c r="J646" s="19"/>
      <c r="K646" s="19"/>
    </row>
    <row r="647" ht="14.25" customHeight="1">
      <c r="J647" s="19"/>
      <c r="K647" s="19"/>
    </row>
    <row r="648" ht="14.25" customHeight="1">
      <c r="J648" s="19"/>
      <c r="K648" s="19"/>
    </row>
    <row r="649" ht="14.25" customHeight="1">
      <c r="J649" s="19"/>
      <c r="K649" s="19"/>
    </row>
    <row r="650" ht="14.25" customHeight="1">
      <c r="J650" s="19"/>
      <c r="K650" s="19"/>
    </row>
    <row r="651" ht="14.25" customHeight="1">
      <c r="J651" s="19"/>
      <c r="K651" s="19"/>
    </row>
    <row r="652" ht="14.25" customHeight="1">
      <c r="J652" s="19"/>
      <c r="K652" s="19"/>
    </row>
    <row r="653" ht="14.25" customHeight="1">
      <c r="J653" s="19"/>
      <c r="K653" s="19"/>
    </row>
    <row r="654" ht="14.25" customHeight="1">
      <c r="J654" s="19"/>
      <c r="K654" s="19"/>
    </row>
    <row r="655" ht="14.25" customHeight="1">
      <c r="J655" s="19"/>
      <c r="K655" s="19"/>
    </row>
    <row r="656" ht="14.25" customHeight="1">
      <c r="J656" s="19"/>
      <c r="K656" s="19"/>
    </row>
    <row r="657" ht="14.25" customHeight="1">
      <c r="J657" s="19"/>
      <c r="K657" s="19"/>
    </row>
    <row r="658" ht="14.25" customHeight="1">
      <c r="J658" s="19"/>
      <c r="K658" s="19"/>
    </row>
    <row r="659" ht="14.25" customHeight="1">
      <c r="J659" s="19"/>
      <c r="K659" s="19"/>
    </row>
    <row r="660" ht="14.25" customHeight="1">
      <c r="J660" s="19"/>
      <c r="K660" s="19"/>
    </row>
    <row r="661" ht="14.25" customHeight="1">
      <c r="J661" s="19"/>
      <c r="K661" s="19"/>
    </row>
    <row r="662" ht="14.25" customHeight="1">
      <c r="J662" s="19"/>
      <c r="K662" s="19"/>
    </row>
    <row r="663" ht="14.25" customHeight="1">
      <c r="J663" s="19"/>
      <c r="K663" s="19"/>
    </row>
    <row r="664" ht="14.25" customHeight="1">
      <c r="J664" s="19"/>
      <c r="K664" s="19"/>
    </row>
    <row r="665" ht="14.25" customHeight="1">
      <c r="J665" s="19"/>
      <c r="K665" s="19"/>
    </row>
    <row r="666" ht="14.25" customHeight="1">
      <c r="J666" s="19"/>
      <c r="K666" s="19"/>
    </row>
    <row r="667" ht="14.25" customHeight="1">
      <c r="J667" s="19"/>
      <c r="K667" s="19"/>
    </row>
    <row r="668" ht="14.25" customHeight="1">
      <c r="J668" s="19"/>
      <c r="K668" s="19"/>
    </row>
    <row r="669" ht="14.25" customHeight="1">
      <c r="J669" s="19"/>
      <c r="K669" s="19"/>
    </row>
    <row r="670" ht="14.25" customHeight="1">
      <c r="J670" s="19"/>
      <c r="K670" s="19"/>
    </row>
    <row r="671" ht="14.25" customHeight="1">
      <c r="J671" s="19"/>
      <c r="K671" s="19"/>
    </row>
    <row r="672" ht="14.25" customHeight="1">
      <c r="J672" s="19"/>
      <c r="K672" s="19"/>
    </row>
    <row r="673" ht="14.25" customHeight="1">
      <c r="J673" s="19"/>
      <c r="K673" s="19"/>
    </row>
    <row r="674" ht="14.25" customHeight="1">
      <c r="J674" s="19"/>
      <c r="K674" s="19"/>
    </row>
    <row r="675" ht="14.25" customHeight="1">
      <c r="J675" s="19"/>
      <c r="K675" s="19"/>
    </row>
    <row r="676" ht="14.25" customHeight="1">
      <c r="J676" s="19"/>
      <c r="K676" s="19"/>
    </row>
    <row r="677" ht="14.25" customHeight="1">
      <c r="J677" s="19"/>
      <c r="K677" s="19"/>
    </row>
    <row r="678" ht="14.25" customHeight="1">
      <c r="J678" s="19"/>
      <c r="K678" s="19"/>
    </row>
    <row r="679" ht="14.25" customHeight="1">
      <c r="J679" s="19"/>
      <c r="K679" s="19"/>
    </row>
    <row r="680" ht="14.25" customHeight="1">
      <c r="J680" s="19"/>
      <c r="K680" s="19"/>
    </row>
    <row r="681" ht="14.25" customHeight="1">
      <c r="J681" s="19"/>
      <c r="K681" s="19"/>
    </row>
    <row r="682" ht="14.25" customHeight="1">
      <c r="J682" s="19"/>
      <c r="K682" s="19"/>
    </row>
    <row r="683" ht="14.25" customHeight="1">
      <c r="J683" s="19"/>
      <c r="K683" s="19"/>
    </row>
    <row r="684" ht="14.25" customHeight="1">
      <c r="J684" s="19"/>
      <c r="K684" s="19"/>
    </row>
    <row r="685" ht="14.25" customHeight="1">
      <c r="J685" s="19"/>
      <c r="K685" s="19"/>
    </row>
    <row r="686" ht="14.25" customHeight="1">
      <c r="J686" s="19"/>
      <c r="K686" s="19"/>
    </row>
    <row r="687" ht="14.25" customHeight="1">
      <c r="J687" s="19"/>
      <c r="K687" s="19"/>
    </row>
    <row r="688" ht="14.25" customHeight="1">
      <c r="J688" s="19"/>
      <c r="K688" s="19"/>
    </row>
    <row r="689" ht="14.25" customHeight="1">
      <c r="J689" s="19"/>
      <c r="K689" s="19"/>
    </row>
    <row r="690" ht="14.25" customHeight="1">
      <c r="J690" s="19"/>
      <c r="K690" s="19"/>
    </row>
    <row r="691" ht="14.25" customHeight="1">
      <c r="J691" s="19"/>
      <c r="K691" s="19"/>
    </row>
    <row r="692" ht="14.25" customHeight="1">
      <c r="J692" s="19"/>
      <c r="K692" s="19"/>
    </row>
    <row r="693" ht="14.25" customHeight="1">
      <c r="J693" s="19"/>
      <c r="K693" s="19"/>
    </row>
    <row r="694" ht="14.25" customHeight="1">
      <c r="J694" s="19"/>
      <c r="K694" s="19"/>
    </row>
    <row r="695" ht="14.25" customHeight="1">
      <c r="J695" s="19"/>
      <c r="K695" s="19"/>
    </row>
    <row r="696" ht="14.25" customHeight="1">
      <c r="J696" s="19"/>
      <c r="K696" s="19"/>
    </row>
    <row r="697" ht="14.25" customHeight="1">
      <c r="J697" s="19"/>
      <c r="K697" s="19"/>
    </row>
    <row r="698" ht="14.25" customHeight="1">
      <c r="J698" s="19"/>
      <c r="K698" s="19"/>
    </row>
    <row r="699" ht="14.25" customHeight="1">
      <c r="J699" s="19"/>
      <c r="K699" s="19"/>
    </row>
    <row r="700" ht="14.25" customHeight="1">
      <c r="J700" s="19"/>
      <c r="K700" s="19"/>
    </row>
    <row r="701" ht="14.25" customHeight="1">
      <c r="J701" s="19"/>
      <c r="K701" s="19"/>
    </row>
    <row r="702" ht="14.25" customHeight="1">
      <c r="J702" s="19"/>
      <c r="K702" s="19"/>
    </row>
    <row r="703" ht="14.25" customHeight="1">
      <c r="J703" s="19"/>
      <c r="K703" s="19"/>
    </row>
    <row r="704" ht="14.25" customHeight="1">
      <c r="J704" s="19"/>
      <c r="K704" s="19"/>
    </row>
    <row r="705" ht="14.25" customHeight="1">
      <c r="J705" s="19"/>
      <c r="K705" s="19"/>
    </row>
    <row r="706" ht="14.25" customHeight="1">
      <c r="J706" s="19"/>
      <c r="K706" s="19"/>
    </row>
    <row r="707" ht="14.25" customHeight="1">
      <c r="J707" s="19"/>
      <c r="K707" s="19"/>
    </row>
    <row r="708" ht="14.25" customHeight="1">
      <c r="J708" s="19"/>
      <c r="K708" s="19"/>
    </row>
    <row r="709" ht="14.25" customHeight="1">
      <c r="J709" s="19"/>
      <c r="K709" s="19"/>
    </row>
    <row r="710" ht="14.25" customHeight="1">
      <c r="J710" s="19"/>
      <c r="K710" s="19"/>
    </row>
    <row r="711" ht="14.25" customHeight="1">
      <c r="J711" s="19"/>
      <c r="K711" s="19"/>
    </row>
    <row r="712" ht="14.25" customHeight="1">
      <c r="J712" s="19"/>
      <c r="K712" s="19"/>
    </row>
    <row r="713" ht="14.25" customHeight="1">
      <c r="J713" s="19"/>
      <c r="K713" s="19"/>
    </row>
    <row r="714" ht="14.25" customHeight="1">
      <c r="J714" s="19"/>
      <c r="K714" s="19"/>
    </row>
    <row r="715" ht="14.25" customHeight="1">
      <c r="J715" s="19"/>
      <c r="K715" s="19"/>
    </row>
    <row r="716" ht="14.25" customHeight="1">
      <c r="J716" s="19"/>
      <c r="K716" s="19"/>
    </row>
    <row r="717" ht="14.25" customHeight="1">
      <c r="J717" s="19"/>
      <c r="K717" s="19"/>
    </row>
    <row r="718" ht="14.25" customHeight="1">
      <c r="J718" s="19"/>
      <c r="K718" s="19"/>
    </row>
    <row r="719" ht="14.25" customHeight="1">
      <c r="J719" s="19"/>
      <c r="K719" s="19"/>
    </row>
    <row r="720" ht="14.25" customHeight="1">
      <c r="J720" s="19"/>
      <c r="K720" s="19"/>
    </row>
    <row r="721" ht="14.25" customHeight="1">
      <c r="J721" s="19"/>
      <c r="K721" s="19"/>
    </row>
    <row r="722" ht="14.25" customHeight="1">
      <c r="J722" s="19"/>
      <c r="K722" s="19"/>
    </row>
    <row r="723" ht="14.25" customHeight="1">
      <c r="J723" s="19"/>
      <c r="K723" s="19"/>
    </row>
    <row r="724" ht="14.25" customHeight="1">
      <c r="J724" s="19"/>
      <c r="K724" s="19"/>
    </row>
    <row r="725" ht="14.25" customHeight="1">
      <c r="J725" s="19"/>
      <c r="K725" s="19"/>
    </row>
    <row r="726" ht="14.25" customHeight="1">
      <c r="J726" s="19"/>
      <c r="K726" s="19"/>
    </row>
    <row r="727" ht="14.25" customHeight="1">
      <c r="J727" s="19"/>
      <c r="K727" s="19"/>
    </row>
    <row r="728" ht="14.25" customHeight="1">
      <c r="J728" s="19"/>
      <c r="K728" s="19"/>
    </row>
    <row r="729" ht="14.25" customHeight="1">
      <c r="J729" s="19"/>
      <c r="K729" s="19"/>
    </row>
    <row r="730" ht="14.25" customHeight="1">
      <c r="J730" s="19"/>
      <c r="K730" s="19"/>
    </row>
    <row r="731" ht="14.25" customHeight="1">
      <c r="J731" s="19"/>
      <c r="K731" s="19"/>
    </row>
    <row r="732" ht="14.25" customHeight="1">
      <c r="J732" s="19"/>
      <c r="K732" s="19"/>
    </row>
    <row r="733" ht="14.25" customHeight="1">
      <c r="J733" s="19"/>
      <c r="K733" s="19"/>
    </row>
    <row r="734" ht="14.25" customHeight="1">
      <c r="J734" s="19"/>
      <c r="K734" s="19"/>
    </row>
    <row r="735" ht="14.25" customHeight="1">
      <c r="J735" s="19"/>
      <c r="K735" s="19"/>
    </row>
    <row r="736" ht="14.25" customHeight="1">
      <c r="J736" s="19"/>
      <c r="K736" s="19"/>
    </row>
    <row r="737" ht="14.25" customHeight="1">
      <c r="J737" s="19"/>
      <c r="K737" s="19"/>
    </row>
    <row r="738" ht="14.25" customHeight="1">
      <c r="J738" s="19"/>
      <c r="K738" s="19"/>
    </row>
    <row r="739" ht="14.25" customHeight="1">
      <c r="J739" s="19"/>
      <c r="K739" s="19"/>
    </row>
    <row r="740" ht="14.25" customHeight="1">
      <c r="J740" s="19"/>
      <c r="K740" s="19"/>
    </row>
    <row r="741" ht="14.25" customHeight="1">
      <c r="J741" s="19"/>
      <c r="K741" s="19"/>
    </row>
    <row r="742" ht="14.25" customHeight="1">
      <c r="J742" s="19"/>
      <c r="K742" s="19"/>
    </row>
    <row r="743" ht="14.25" customHeight="1">
      <c r="J743" s="19"/>
      <c r="K743" s="19"/>
    </row>
    <row r="744" ht="14.25" customHeight="1">
      <c r="J744" s="19"/>
      <c r="K744" s="19"/>
    </row>
    <row r="745" ht="14.25" customHeight="1">
      <c r="J745" s="19"/>
      <c r="K745" s="19"/>
    </row>
    <row r="746" ht="14.25" customHeight="1">
      <c r="J746" s="19"/>
      <c r="K746" s="19"/>
    </row>
    <row r="747" ht="14.25" customHeight="1">
      <c r="J747" s="19"/>
      <c r="K747" s="19"/>
    </row>
    <row r="748" ht="14.25" customHeight="1">
      <c r="J748" s="19"/>
      <c r="K748" s="19"/>
    </row>
    <row r="749" ht="14.25" customHeight="1">
      <c r="J749" s="19"/>
      <c r="K749" s="19"/>
    </row>
    <row r="750" ht="14.25" customHeight="1">
      <c r="J750" s="19"/>
      <c r="K750" s="19"/>
    </row>
    <row r="751" ht="14.25" customHeight="1">
      <c r="J751" s="19"/>
      <c r="K751" s="19"/>
    </row>
    <row r="752" ht="14.25" customHeight="1">
      <c r="J752" s="19"/>
      <c r="K752" s="19"/>
    </row>
    <row r="753" ht="14.25" customHeight="1">
      <c r="J753" s="19"/>
      <c r="K753" s="19"/>
    </row>
    <row r="754" ht="14.25" customHeight="1">
      <c r="J754" s="19"/>
      <c r="K754" s="19"/>
    </row>
    <row r="755" ht="14.25" customHeight="1">
      <c r="J755" s="19"/>
      <c r="K755" s="19"/>
    </row>
    <row r="756" ht="14.25" customHeight="1">
      <c r="J756" s="19"/>
      <c r="K756" s="19"/>
    </row>
    <row r="757" ht="14.25" customHeight="1">
      <c r="J757" s="19"/>
      <c r="K757" s="19"/>
    </row>
    <row r="758" ht="14.25" customHeight="1">
      <c r="J758" s="19"/>
      <c r="K758" s="19"/>
    </row>
    <row r="759" ht="14.25" customHeight="1">
      <c r="J759" s="19"/>
      <c r="K759" s="19"/>
    </row>
    <row r="760" ht="14.25" customHeight="1">
      <c r="J760" s="19"/>
      <c r="K760" s="19"/>
    </row>
    <row r="761" ht="14.25" customHeight="1">
      <c r="J761" s="19"/>
      <c r="K761" s="19"/>
    </row>
    <row r="762" ht="14.25" customHeight="1">
      <c r="J762" s="19"/>
      <c r="K762" s="19"/>
    </row>
    <row r="763" ht="14.25" customHeight="1">
      <c r="J763" s="19"/>
      <c r="K763" s="19"/>
    </row>
    <row r="764" ht="14.25" customHeight="1">
      <c r="J764" s="19"/>
      <c r="K764" s="19"/>
    </row>
    <row r="765" ht="14.25" customHeight="1">
      <c r="J765" s="19"/>
      <c r="K765" s="19"/>
    </row>
    <row r="766" ht="14.25" customHeight="1">
      <c r="J766" s="19"/>
      <c r="K766" s="19"/>
    </row>
    <row r="767" ht="14.25" customHeight="1">
      <c r="J767" s="19"/>
      <c r="K767" s="19"/>
    </row>
    <row r="768" ht="14.25" customHeight="1">
      <c r="J768" s="19"/>
      <c r="K768" s="19"/>
    </row>
    <row r="769" ht="14.25" customHeight="1">
      <c r="J769" s="19"/>
      <c r="K769" s="19"/>
    </row>
    <row r="770" ht="14.25" customHeight="1">
      <c r="J770" s="19"/>
      <c r="K770" s="19"/>
    </row>
    <row r="771" ht="14.25" customHeight="1">
      <c r="J771" s="19"/>
      <c r="K771" s="19"/>
    </row>
    <row r="772" ht="14.25" customHeight="1">
      <c r="J772" s="19"/>
      <c r="K772" s="19"/>
    </row>
    <row r="773" ht="14.25" customHeight="1">
      <c r="J773" s="19"/>
      <c r="K773" s="19"/>
    </row>
    <row r="774" ht="14.25" customHeight="1">
      <c r="J774" s="19"/>
      <c r="K774" s="19"/>
    </row>
    <row r="775" ht="14.25" customHeight="1">
      <c r="J775" s="19"/>
      <c r="K775" s="19"/>
    </row>
    <row r="776" ht="14.25" customHeight="1">
      <c r="J776" s="19"/>
      <c r="K776" s="19"/>
    </row>
    <row r="777" ht="14.25" customHeight="1">
      <c r="J777" s="19"/>
      <c r="K777" s="19"/>
    </row>
    <row r="778" ht="14.25" customHeight="1">
      <c r="J778" s="19"/>
      <c r="K778" s="19"/>
    </row>
    <row r="779" ht="14.25" customHeight="1">
      <c r="J779" s="19"/>
      <c r="K779" s="19"/>
    </row>
    <row r="780" ht="14.25" customHeight="1">
      <c r="J780" s="19"/>
      <c r="K780" s="19"/>
    </row>
    <row r="781" ht="14.25" customHeight="1">
      <c r="J781" s="19"/>
      <c r="K781" s="19"/>
    </row>
    <row r="782" ht="14.25" customHeight="1">
      <c r="J782" s="19"/>
      <c r="K782" s="19"/>
    </row>
    <row r="783" ht="14.25" customHeight="1">
      <c r="J783" s="19"/>
      <c r="K783" s="19"/>
    </row>
    <row r="784" ht="14.25" customHeight="1">
      <c r="J784" s="19"/>
      <c r="K784" s="19"/>
    </row>
    <row r="785" ht="14.25" customHeight="1">
      <c r="J785" s="19"/>
      <c r="K785" s="19"/>
    </row>
    <row r="786" ht="14.25" customHeight="1">
      <c r="J786" s="19"/>
      <c r="K786" s="19"/>
    </row>
    <row r="787" ht="14.25" customHeight="1">
      <c r="J787" s="19"/>
      <c r="K787" s="19"/>
    </row>
    <row r="788" ht="14.25" customHeight="1">
      <c r="J788" s="19"/>
      <c r="K788" s="19"/>
    </row>
    <row r="789" ht="14.25" customHeight="1">
      <c r="J789" s="19"/>
      <c r="K789" s="19"/>
    </row>
    <row r="790" ht="14.25" customHeight="1">
      <c r="J790" s="19"/>
      <c r="K790" s="19"/>
    </row>
    <row r="791" ht="14.25" customHeight="1">
      <c r="J791" s="19"/>
      <c r="K791" s="19"/>
    </row>
    <row r="792" ht="14.25" customHeight="1">
      <c r="J792" s="19"/>
      <c r="K792" s="19"/>
    </row>
    <row r="793" ht="14.25" customHeight="1">
      <c r="J793" s="19"/>
      <c r="K793" s="19"/>
    </row>
    <row r="794" ht="14.25" customHeight="1">
      <c r="J794" s="19"/>
      <c r="K794" s="19"/>
    </row>
    <row r="795" ht="14.25" customHeight="1">
      <c r="J795" s="19"/>
      <c r="K795" s="19"/>
    </row>
    <row r="796" ht="14.25" customHeight="1">
      <c r="J796" s="19"/>
      <c r="K796" s="19"/>
    </row>
    <row r="797" ht="14.25" customHeight="1">
      <c r="J797" s="19"/>
      <c r="K797" s="19"/>
    </row>
    <row r="798" ht="14.25" customHeight="1">
      <c r="J798" s="19"/>
      <c r="K798" s="19"/>
    </row>
    <row r="799" ht="14.25" customHeight="1">
      <c r="J799" s="19"/>
      <c r="K799" s="19"/>
    </row>
    <row r="800" ht="14.25" customHeight="1">
      <c r="J800" s="19"/>
      <c r="K800" s="19"/>
    </row>
    <row r="801" ht="14.25" customHeight="1">
      <c r="J801" s="19"/>
      <c r="K801" s="19"/>
    </row>
    <row r="802" ht="14.25" customHeight="1">
      <c r="J802" s="19"/>
      <c r="K802" s="19"/>
    </row>
    <row r="803" ht="14.25" customHeight="1">
      <c r="J803" s="19"/>
      <c r="K803" s="19"/>
    </row>
    <row r="804" ht="14.25" customHeight="1">
      <c r="J804" s="19"/>
      <c r="K804" s="19"/>
    </row>
    <row r="805" ht="14.25" customHeight="1">
      <c r="J805" s="19"/>
      <c r="K805" s="19"/>
    </row>
    <row r="806" ht="14.25" customHeight="1">
      <c r="J806" s="19"/>
      <c r="K806" s="19"/>
    </row>
    <row r="807" ht="14.25" customHeight="1">
      <c r="J807" s="19"/>
      <c r="K807" s="19"/>
    </row>
    <row r="808" ht="14.25" customHeight="1">
      <c r="J808" s="19"/>
      <c r="K808" s="19"/>
    </row>
    <row r="809" ht="14.25" customHeight="1">
      <c r="J809" s="19"/>
      <c r="K809" s="19"/>
    </row>
    <row r="810" ht="14.25" customHeight="1">
      <c r="J810" s="19"/>
      <c r="K810" s="19"/>
    </row>
    <row r="811" ht="14.25" customHeight="1">
      <c r="J811" s="19"/>
      <c r="K811" s="19"/>
    </row>
    <row r="812" ht="14.25" customHeight="1">
      <c r="J812" s="19"/>
      <c r="K812" s="19"/>
    </row>
    <row r="813" ht="14.25" customHeight="1">
      <c r="J813" s="19"/>
      <c r="K813" s="19"/>
    </row>
    <row r="814" ht="14.25" customHeight="1">
      <c r="J814" s="19"/>
      <c r="K814" s="19"/>
    </row>
    <row r="815" ht="14.25" customHeight="1">
      <c r="J815" s="19"/>
      <c r="K815" s="19"/>
    </row>
    <row r="816" ht="14.25" customHeight="1">
      <c r="J816" s="19"/>
      <c r="K816" s="19"/>
    </row>
    <row r="817" ht="14.25" customHeight="1">
      <c r="J817" s="19"/>
      <c r="K817" s="19"/>
    </row>
    <row r="818" ht="14.25" customHeight="1">
      <c r="J818" s="19"/>
      <c r="K818" s="19"/>
    </row>
    <row r="819" ht="14.25" customHeight="1">
      <c r="J819" s="19"/>
      <c r="K819" s="19"/>
    </row>
    <row r="820" ht="14.25" customHeight="1">
      <c r="J820" s="19"/>
      <c r="K820" s="19"/>
    </row>
    <row r="821" ht="14.25" customHeight="1">
      <c r="J821" s="19"/>
      <c r="K821" s="19"/>
    </row>
    <row r="822" ht="14.25" customHeight="1">
      <c r="J822" s="19"/>
      <c r="K822" s="19"/>
    </row>
    <row r="823" ht="14.25" customHeight="1">
      <c r="J823" s="19"/>
      <c r="K823" s="19"/>
    </row>
    <row r="824" ht="14.25" customHeight="1">
      <c r="J824" s="19"/>
      <c r="K824" s="19"/>
    </row>
    <row r="825" ht="14.25" customHeight="1">
      <c r="J825" s="19"/>
      <c r="K825" s="19"/>
    </row>
    <row r="826" ht="14.25" customHeight="1">
      <c r="J826" s="19"/>
      <c r="K826" s="19"/>
    </row>
    <row r="827" ht="14.25" customHeight="1">
      <c r="J827" s="19"/>
      <c r="K827" s="19"/>
    </row>
    <row r="828" ht="14.25" customHeight="1">
      <c r="J828" s="19"/>
      <c r="K828" s="19"/>
    </row>
    <row r="829" ht="14.25" customHeight="1">
      <c r="J829" s="19"/>
      <c r="K829" s="19"/>
    </row>
    <row r="830" ht="14.25" customHeight="1">
      <c r="J830" s="19"/>
      <c r="K830" s="19"/>
    </row>
    <row r="831" ht="14.25" customHeight="1">
      <c r="J831" s="19"/>
      <c r="K831" s="19"/>
    </row>
    <row r="832" ht="14.25" customHeight="1">
      <c r="J832" s="19"/>
      <c r="K832" s="19"/>
    </row>
    <row r="833" ht="14.25" customHeight="1">
      <c r="J833" s="19"/>
      <c r="K833" s="19"/>
    </row>
    <row r="834" ht="14.25" customHeight="1">
      <c r="J834" s="19"/>
      <c r="K834" s="19"/>
    </row>
    <row r="835" ht="14.25" customHeight="1">
      <c r="J835" s="19"/>
      <c r="K835" s="19"/>
    </row>
    <row r="836" ht="14.25" customHeight="1">
      <c r="J836" s="19"/>
      <c r="K836" s="19"/>
    </row>
    <row r="837" ht="14.25" customHeight="1">
      <c r="J837" s="19"/>
      <c r="K837" s="19"/>
    </row>
    <row r="838" ht="14.25" customHeight="1">
      <c r="J838" s="19"/>
      <c r="K838" s="19"/>
    </row>
    <row r="839" ht="14.25" customHeight="1">
      <c r="J839" s="19"/>
      <c r="K839" s="19"/>
    </row>
    <row r="840" ht="14.25" customHeight="1">
      <c r="J840" s="19"/>
      <c r="K840" s="19"/>
    </row>
    <row r="841" ht="14.25" customHeight="1">
      <c r="J841" s="19"/>
      <c r="K841" s="19"/>
    </row>
    <row r="842" ht="14.25" customHeight="1">
      <c r="J842" s="19"/>
      <c r="K842" s="19"/>
    </row>
    <row r="843" ht="14.25" customHeight="1">
      <c r="J843" s="19"/>
      <c r="K843" s="19"/>
    </row>
    <row r="844" ht="14.25" customHeight="1">
      <c r="J844" s="19"/>
      <c r="K844" s="19"/>
    </row>
    <row r="845" ht="14.25" customHeight="1">
      <c r="J845" s="19"/>
      <c r="K845" s="19"/>
    </row>
    <row r="846" ht="14.25" customHeight="1">
      <c r="J846" s="19"/>
      <c r="K846" s="19"/>
    </row>
    <row r="847" ht="14.25" customHeight="1">
      <c r="J847" s="19"/>
      <c r="K847" s="19"/>
    </row>
    <row r="848" ht="14.25" customHeight="1">
      <c r="J848" s="19"/>
      <c r="K848" s="19"/>
    </row>
    <row r="849" ht="14.25" customHeight="1">
      <c r="J849" s="19"/>
      <c r="K849" s="19"/>
    </row>
    <row r="850" ht="14.25" customHeight="1">
      <c r="J850" s="19"/>
      <c r="K850" s="19"/>
    </row>
    <row r="851" ht="14.25" customHeight="1">
      <c r="J851" s="19"/>
      <c r="K851" s="19"/>
    </row>
    <row r="852" ht="14.25" customHeight="1">
      <c r="J852" s="19"/>
      <c r="K852" s="19"/>
    </row>
    <row r="853" ht="14.25" customHeight="1">
      <c r="J853" s="19"/>
      <c r="K853" s="19"/>
    </row>
    <row r="854" ht="14.25" customHeight="1">
      <c r="J854" s="19"/>
      <c r="K854" s="19"/>
    </row>
    <row r="855" ht="14.25" customHeight="1">
      <c r="J855" s="19"/>
      <c r="K855" s="19"/>
    </row>
    <row r="856" ht="14.25" customHeight="1">
      <c r="J856" s="19"/>
      <c r="K856" s="19"/>
    </row>
    <row r="857" ht="14.25" customHeight="1">
      <c r="J857" s="19"/>
      <c r="K857" s="19"/>
    </row>
    <row r="858" ht="14.25" customHeight="1">
      <c r="J858" s="19"/>
      <c r="K858" s="19"/>
    </row>
    <row r="859" ht="14.25" customHeight="1">
      <c r="J859" s="19"/>
      <c r="K859" s="19"/>
    </row>
    <row r="860" ht="14.25" customHeight="1">
      <c r="J860" s="19"/>
      <c r="K860" s="19"/>
    </row>
    <row r="861" ht="14.25" customHeight="1">
      <c r="J861" s="19"/>
      <c r="K861" s="19"/>
    </row>
    <row r="862" ht="14.25" customHeight="1">
      <c r="J862" s="19"/>
      <c r="K862" s="19"/>
    </row>
    <row r="863" ht="14.25" customHeight="1">
      <c r="J863" s="19"/>
      <c r="K863" s="19"/>
    </row>
    <row r="864" ht="14.25" customHeight="1">
      <c r="J864" s="19"/>
      <c r="K864" s="19"/>
    </row>
    <row r="865" ht="14.25" customHeight="1">
      <c r="J865" s="19"/>
      <c r="K865" s="19"/>
    </row>
    <row r="866" ht="14.25" customHeight="1">
      <c r="J866" s="19"/>
      <c r="K866" s="19"/>
    </row>
    <row r="867" ht="14.25" customHeight="1">
      <c r="J867" s="19"/>
      <c r="K867" s="19"/>
    </row>
    <row r="868" ht="14.25" customHeight="1">
      <c r="J868" s="19"/>
      <c r="K868" s="19"/>
    </row>
    <row r="869" ht="14.25" customHeight="1">
      <c r="J869" s="19"/>
      <c r="K869" s="19"/>
    </row>
    <row r="870" ht="14.25" customHeight="1">
      <c r="J870" s="19"/>
      <c r="K870" s="19"/>
    </row>
    <row r="871" ht="14.25" customHeight="1">
      <c r="J871" s="19"/>
      <c r="K871" s="19"/>
    </row>
    <row r="872" ht="14.25" customHeight="1">
      <c r="J872" s="19"/>
      <c r="K872" s="19"/>
    </row>
    <row r="873" ht="14.25" customHeight="1">
      <c r="J873" s="19"/>
      <c r="K873" s="19"/>
    </row>
    <row r="874" ht="14.25" customHeight="1">
      <c r="J874" s="19"/>
      <c r="K874" s="19"/>
    </row>
    <row r="875" ht="14.25" customHeight="1">
      <c r="J875" s="19"/>
      <c r="K875" s="19"/>
    </row>
    <row r="876" ht="14.25" customHeight="1">
      <c r="J876" s="19"/>
      <c r="K876" s="19"/>
    </row>
    <row r="877" ht="14.25" customHeight="1">
      <c r="J877" s="19"/>
      <c r="K877" s="19"/>
    </row>
    <row r="878" ht="14.25" customHeight="1">
      <c r="J878" s="19"/>
      <c r="K878" s="19"/>
    </row>
    <row r="879" ht="14.25" customHeight="1">
      <c r="J879" s="19"/>
      <c r="K879" s="19"/>
    </row>
    <row r="880" ht="14.25" customHeight="1">
      <c r="J880" s="19"/>
      <c r="K880" s="19"/>
    </row>
    <row r="881" ht="14.25" customHeight="1">
      <c r="J881" s="19"/>
      <c r="K881" s="19"/>
    </row>
    <row r="882" ht="14.25" customHeight="1">
      <c r="J882" s="19"/>
      <c r="K882" s="19"/>
    </row>
    <row r="883" ht="14.25" customHeight="1">
      <c r="J883" s="19"/>
      <c r="K883" s="19"/>
    </row>
    <row r="884" ht="14.25" customHeight="1">
      <c r="J884" s="19"/>
      <c r="K884" s="19"/>
    </row>
    <row r="885" ht="14.25" customHeight="1">
      <c r="J885" s="19"/>
      <c r="K885" s="19"/>
    </row>
    <row r="886" ht="14.25" customHeight="1">
      <c r="J886" s="19"/>
      <c r="K886" s="19"/>
    </row>
    <row r="887" ht="14.25" customHeight="1">
      <c r="J887" s="19"/>
      <c r="K887" s="19"/>
    </row>
    <row r="888" ht="14.25" customHeight="1">
      <c r="J888" s="19"/>
      <c r="K888" s="19"/>
    </row>
    <row r="889" ht="14.25" customHeight="1">
      <c r="J889" s="19"/>
      <c r="K889" s="19"/>
    </row>
    <row r="890" ht="14.25" customHeight="1">
      <c r="J890" s="19"/>
      <c r="K890" s="19"/>
    </row>
    <row r="891" ht="14.25" customHeight="1">
      <c r="J891" s="19"/>
      <c r="K891" s="19"/>
    </row>
    <row r="892" ht="14.25" customHeight="1">
      <c r="J892" s="19"/>
      <c r="K892" s="19"/>
    </row>
    <row r="893" ht="14.25" customHeight="1">
      <c r="J893" s="19"/>
      <c r="K893" s="19"/>
    </row>
    <row r="894" ht="14.25" customHeight="1">
      <c r="J894" s="19"/>
      <c r="K894" s="19"/>
    </row>
    <row r="895" ht="14.25" customHeight="1">
      <c r="J895" s="19"/>
      <c r="K895" s="19"/>
    </row>
    <row r="896" ht="14.25" customHeight="1">
      <c r="J896" s="19"/>
      <c r="K896" s="19"/>
    </row>
    <row r="897" ht="14.25" customHeight="1">
      <c r="J897" s="19"/>
      <c r="K897" s="19"/>
    </row>
    <row r="898" ht="14.25" customHeight="1">
      <c r="J898" s="19"/>
      <c r="K898" s="19"/>
    </row>
    <row r="899" ht="14.25" customHeight="1">
      <c r="J899" s="19"/>
      <c r="K899" s="19"/>
    </row>
    <row r="900" ht="14.25" customHeight="1">
      <c r="J900" s="19"/>
      <c r="K900" s="19"/>
    </row>
    <row r="901" ht="14.25" customHeight="1">
      <c r="J901" s="19"/>
      <c r="K901" s="19"/>
    </row>
    <row r="902" ht="14.25" customHeight="1">
      <c r="J902" s="19"/>
      <c r="K902" s="19"/>
    </row>
    <row r="903" ht="14.25" customHeight="1">
      <c r="J903" s="19"/>
      <c r="K903" s="19"/>
    </row>
    <row r="904" ht="14.25" customHeight="1">
      <c r="J904" s="19"/>
      <c r="K904" s="19"/>
    </row>
    <row r="905" ht="14.25" customHeight="1">
      <c r="J905" s="19"/>
      <c r="K905" s="19"/>
    </row>
    <row r="906" ht="14.25" customHeight="1">
      <c r="J906" s="19"/>
      <c r="K906" s="19"/>
    </row>
    <row r="907" ht="14.25" customHeight="1">
      <c r="J907" s="19"/>
      <c r="K907" s="19"/>
    </row>
    <row r="908" ht="14.25" customHeight="1">
      <c r="J908" s="19"/>
      <c r="K908" s="19"/>
    </row>
    <row r="909" ht="14.25" customHeight="1">
      <c r="J909" s="19"/>
      <c r="K909" s="19"/>
    </row>
    <row r="910" ht="14.25" customHeight="1">
      <c r="J910" s="19"/>
      <c r="K910" s="19"/>
    </row>
    <row r="911" ht="14.25" customHeight="1">
      <c r="J911" s="19"/>
      <c r="K911" s="19"/>
    </row>
    <row r="912" ht="14.25" customHeight="1">
      <c r="J912" s="19"/>
      <c r="K912" s="19"/>
    </row>
    <row r="913" ht="14.25" customHeight="1">
      <c r="J913" s="19"/>
      <c r="K913" s="19"/>
    </row>
    <row r="914" ht="14.25" customHeight="1">
      <c r="J914" s="19"/>
      <c r="K914" s="19"/>
    </row>
    <row r="915" ht="14.25" customHeight="1">
      <c r="J915" s="19"/>
      <c r="K915" s="19"/>
    </row>
    <row r="916" ht="14.25" customHeight="1">
      <c r="J916" s="19"/>
      <c r="K916" s="19"/>
    </row>
    <row r="917" ht="14.25" customHeight="1">
      <c r="J917" s="19"/>
      <c r="K917" s="19"/>
    </row>
    <row r="918" ht="14.25" customHeight="1">
      <c r="J918" s="19"/>
      <c r="K918" s="19"/>
    </row>
    <row r="919" ht="14.25" customHeight="1">
      <c r="J919" s="19"/>
      <c r="K919" s="19"/>
    </row>
    <row r="920" ht="14.25" customHeight="1">
      <c r="J920" s="19"/>
      <c r="K920" s="19"/>
    </row>
    <row r="921" ht="14.25" customHeight="1">
      <c r="J921" s="19"/>
      <c r="K921" s="19"/>
    </row>
    <row r="922" ht="14.25" customHeight="1">
      <c r="J922" s="19"/>
      <c r="K922" s="19"/>
    </row>
    <row r="923" ht="14.25" customHeight="1">
      <c r="J923" s="19"/>
      <c r="K923" s="19"/>
    </row>
    <row r="924" ht="14.25" customHeight="1">
      <c r="J924" s="19"/>
      <c r="K924" s="19"/>
    </row>
    <row r="925" ht="14.25" customHeight="1">
      <c r="J925" s="19"/>
      <c r="K925" s="19"/>
    </row>
    <row r="926" ht="14.25" customHeight="1">
      <c r="J926" s="19"/>
      <c r="K926" s="19"/>
    </row>
    <row r="927" ht="14.25" customHeight="1">
      <c r="J927" s="19"/>
      <c r="K927" s="19"/>
    </row>
    <row r="928" ht="14.25" customHeight="1">
      <c r="J928" s="19"/>
      <c r="K928" s="19"/>
    </row>
    <row r="929" ht="14.25" customHeight="1">
      <c r="J929" s="19"/>
      <c r="K929" s="19"/>
    </row>
    <row r="930" ht="14.25" customHeight="1">
      <c r="J930" s="19"/>
      <c r="K930" s="19"/>
    </row>
    <row r="931" ht="14.25" customHeight="1">
      <c r="J931" s="19"/>
      <c r="K931" s="19"/>
    </row>
    <row r="932" ht="14.25" customHeight="1">
      <c r="J932" s="19"/>
      <c r="K932" s="19"/>
    </row>
    <row r="933" ht="14.25" customHeight="1">
      <c r="J933" s="19"/>
      <c r="K933" s="19"/>
    </row>
    <row r="934" ht="14.25" customHeight="1">
      <c r="J934" s="19"/>
      <c r="K934" s="19"/>
    </row>
    <row r="935" ht="14.25" customHeight="1">
      <c r="J935" s="19"/>
      <c r="K935" s="19"/>
    </row>
    <row r="936" ht="14.25" customHeight="1">
      <c r="J936" s="19"/>
      <c r="K936" s="19"/>
    </row>
    <row r="937" ht="14.25" customHeight="1">
      <c r="J937" s="19"/>
      <c r="K937" s="19"/>
    </row>
    <row r="938" ht="14.25" customHeight="1">
      <c r="J938" s="19"/>
      <c r="K938" s="19"/>
    </row>
    <row r="939" ht="14.25" customHeight="1">
      <c r="J939" s="19"/>
      <c r="K939" s="19"/>
    </row>
    <row r="940" ht="14.25" customHeight="1">
      <c r="J940" s="19"/>
      <c r="K940" s="19"/>
    </row>
    <row r="941" ht="14.25" customHeight="1">
      <c r="J941" s="19"/>
      <c r="K941" s="19"/>
    </row>
    <row r="942" ht="14.25" customHeight="1">
      <c r="J942" s="19"/>
      <c r="K942" s="19"/>
    </row>
    <row r="943" ht="14.25" customHeight="1">
      <c r="J943" s="19"/>
      <c r="K943" s="19"/>
    </row>
    <row r="944" ht="14.25" customHeight="1">
      <c r="J944" s="19"/>
      <c r="K944" s="19"/>
    </row>
    <row r="945" ht="14.25" customHeight="1">
      <c r="J945" s="19"/>
      <c r="K945" s="19"/>
    </row>
    <row r="946" ht="14.25" customHeight="1">
      <c r="J946" s="19"/>
      <c r="K946" s="19"/>
    </row>
    <row r="947" ht="14.25" customHeight="1">
      <c r="J947" s="19"/>
      <c r="K947" s="19"/>
    </row>
    <row r="948" ht="14.25" customHeight="1">
      <c r="J948" s="19"/>
      <c r="K948" s="19"/>
    </row>
    <row r="949" ht="14.25" customHeight="1">
      <c r="J949" s="19"/>
      <c r="K949" s="19"/>
    </row>
    <row r="950" ht="14.25" customHeight="1">
      <c r="J950" s="19"/>
      <c r="K950" s="19"/>
    </row>
    <row r="951" ht="14.25" customHeight="1">
      <c r="J951" s="19"/>
      <c r="K951" s="19"/>
    </row>
    <row r="952" ht="14.25" customHeight="1">
      <c r="J952" s="19"/>
      <c r="K952" s="19"/>
    </row>
    <row r="953" ht="14.25" customHeight="1">
      <c r="J953" s="19"/>
      <c r="K953" s="19"/>
    </row>
    <row r="954" ht="14.25" customHeight="1">
      <c r="J954" s="19"/>
      <c r="K954" s="19"/>
    </row>
    <row r="955" ht="14.25" customHeight="1">
      <c r="J955" s="19"/>
      <c r="K955" s="19"/>
    </row>
    <row r="956" ht="14.25" customHeight="1">
      <c r="J956" s="19"/>
      <c r="K956" s="19"/>
    </row>
    <row r="957" ht="14.25" customHeight="1">
      <c r="J957" s="19"/>
      <c r="K957" s="19"/>
    </row>
    <row r="958" ht="14.25" customHeight="1">
      <c r="J958" s="19"/>
      <c r="K958" s="19"/>
    </row>
    <row r="959" ht="14.25" customHeight="1">
      <c r="J959" s="19"/>
      <c r="K959" s="19"/>
    </row>
    <row r="960" ht="14.25" customHeight="1">
      <c r="J960" s="19"/>
      <c r="K960" s="19"/>
    </row>
    <row r="961" ht="14.25" customHeight="1">
      <c r="J961" s="19"/>
      <c r="K961" s="19"/>
    </row>
    <row r="962" ht="14.25" customHeight="1">
      <c r="J962" s="19"/>
      <c r="K962" s="19"/>
    </row>
    <row r="963" ht="14.25" customHeight="1">
      <c r="J963" s="19"/>
      <c r="K963" s="19"/>
    </row>
    <row r="964" ht="14.25" customHeight="1">
      <c r="J964" s="19"/>
      <c r="K964" s="19"/>
    </row>
    <row r="965" ht="14.25" customHeight="1">
      <c r="J965" s="19"/>
      <c r="K965" s="19"/>
    </row>
    <row r="966" ht="14.25" customHeight="1">
      <c r="J966" s="19"/>
      <c r="K966" s="19"/>
    </row>
    <row r="967" ht="14.25" customHeight="1">
      <c r="J967" s="19"/>
      <c r="K967" s="19"/>
    </row>
  </sheetData>
  <mergeCells count="2">
    <mergeCell ref="A44:H44"/>
    <mergeCell ref="A45:H45"/>
  </mergeCells>
  <printOptions/>
  <pageMargins bottom="0.75" footer="0.0" header="0.0" left="0.7" right="0.7" top="0.75"/>
  <pageSetup paperSize="9" scale="7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hidden="1" min="1" max="1" width="18.14"/>
    <col customWidth="1" hidden="1" min="2" max="2" width="20.86"/>
    <col customWidth="1" min="3" max="3" width="11.71"/>
    <col customWidth="1" hidden="1" min="4" max="4" width="7.71"/>
    <col customWidth="1" hidden="1" min="5" max="5" width="6.86"/>
    <col customWidth="1" hidden="1" min="6" max="6" width="16.14"/>
    <col customWidth="1" hidden="1" min="7" max="7" width="75.57"/>
    <col customWidth="1" hidden="1" min="8" max="8" width="16.43"/>
    <col customWidth="1" min="9" max="9" width="15.43"/>
    <col customWidth="1" min="10" max="10" width="12.43"/>
    <col customWidth="1" min="11" max="11" width="21.29"/>
    <col customWidth="1" min="12" max="12" width="27.14"/>
    <col customWidth="1" min="13" max="13" width="30.86"/>
    <col customWidth="1" min="14" max="14" width="26.43"/>
    <col customWidth="1" min="15" max="15" width="29.86"/>
    <col customWidth="1" min="16" max="16" width="33.29"/>
    <col customWidth="1" min="17" max="17" width="23.86"/>
    <col customWidth="1" min="18" max="18" width="26.57"/>
    <col customWidth="1" min="19" max="19" width="20.86"/>
    <col customWidth="1" min="20" max="21" width="10.86"/>
    <col customWidth="1" hidden="1" min="22" max="22" width="10.86"/>
    <col customWidth="1" hidden="1" min="23" max="23" width="13.71"/>
    <col customWidth="1" min="24" max="24" width="7.29"/>
    <col customWidth="1" min="25" max="26" width="11.71"/>
    <col customWidth="1" hidden="1" min="27" max="27" width="8.43"/>
    <col customWidth="1" hidden="1" min="28" max="28" width="17.71"/>
    <col customWidth="1" hidden="1" min="29" max="29" width="19.57"/>
    <col customWidth="1" min="30" max="30" width="12.57"/>
    <col customWidth="1" min="31" max="31" width="12.29"/>
    <col customWidth="1" min="32" max="33" width="8.71"/>
    <col customWidth="1" min="34" max="34" width="25.14"/>
    <col customWidth="1" min="35" max="36" width="16.0"/>
    <col customWidth="1" min="37" max="37" width="16.57"/>
    <col customWidth="1" min="38" max="38" width="28.0"/>
    <col customWidth="1" min="39" max="39" width="32.43"/>
  </cols>
  <sheetData>
    <row r="1">
      <c r="A1" s="23" t="s">
        <v>109</v>
      </c>
      <c r="B1" s="23" t="s">
        <v>110</v>
      </c>
      <c r="C1" s="23" t="s">
        <v>111</v>
      </c>
      <c r="D1" s="23" t="s">
        <v>112</v>
      </c>
      <c r="E1" s="23" t="s">
        <v>113</v>
      </c>
      <c r="F1" s="23" t="s">
        <v>114</v>
      </c>
      <c r="G1" s="23" t="s">
        <v>115</v>
      </c>
      <c r="H1" s="23" t="s">
        <v>116</v>
      </c>
      <c r="I1" s="23" t="s">
        <v>117</v>
      </c>
      <c r="J1" s="23" t="s">
        <v>118</v>
      </c>
      <c r="K1" s="23" t="s">
        <v>119</v>
      </c>
      <c r="L1" s="24" t="s">
        <v>120</v>
      </c>
      <c r="M1" s="25" t="s">
        <v>121</v>
      </c>
      <c r="N1" s="24" t="s">
        <v>122</v>
      </c>
      <c r="O1" s="25" t="s">
        <v>123</v>
      </c>
      <c r="P1" s="24" t="s">
        <v>124</v>
      </c>
      <c r="Q1" s="25" t="s">
        <v>125</v>
      </c>
      <c r="R1" s="24" t="s">
        <v>126</v>
      </c>
      <c r="S1" s="25" t="s">
        <v>127</v>
      </c>
      <c r="T1" s="26" t="s">
        <v>128</v>
      </c>
      <c r="U1" s="26" t="s">
        <v>129</v>
      </c>
      <c r="V1" s="23" t="s">
        <v>130</v>
      </c>
      <c r="W1" s="23" t="s">
        <v>131</v>
      </c>
      <c r="X1" s="23" t="s">
        <v>132</v>
      </c>
      <c r="Y1" s="23" t="s">
        <v>129</v>
      </c>
      <c r="Z1" s="23" t="s">
        <v>133</v>
      </c>
      <c r="AA1" s="23" t="s">
        <v>134</v>
      </c>
      <c r="AB1" s="23" t="s">
        <v>135</v>
      </c>
      <c r="AC1" s="23" t="s">
        <v>136</v>
      </c>
      <c r="AD1" s="23" t="s">
        <v>137</v>
      </c>
      <c r="AE1" s="23" t="s">
        <v>138</v>
      </c>
      <c r="AF1" s="26" t="s">
        <v>139</v>
      </c>
      <c r="AG1" s="23" t="s">
        <v>140</v>
      </c>
      <c r="AH1" s="23" t="s">
        <v>141</v>
      </c>
      <c r="AI1" s="23" t="s">
        <v>142</v>
      </c>
      <c r="AJ1" s="23" t="s">
        <v>143</v>
      </c>
      <c r="AK1" s="23" t="s">
        <v>144</v>
      </c>
      <c r="AL1" s="23" t="s">
        <v>145</v>
      </c>
      <c r="AM1" s="23" t="s">
        <v>146</v>
      </c>
    </row>
    <row r="2">
      <c r="A2" s="27"/>
      <c r="B2" s="28"/>
      <c r="C2" s="27"/>
      <c r="D2" s="27"/>
      <c r="E2" s="28"/>
      <c r="F2" s="28"/>
      <c r="G2" s="28"/>
      <c r="H2" s="28"/>
      <c r="I2" s="27"/>
      <c r="J2" s="27"/>
      <c r="K2" s="29"/>
      <c r="L2" s="30">
        <v>7.0</v>
      </c>
      <c r="M2" s="28"/>
      <c r="N2" s="28">
        <v>8.0</v>
      </c>
      <c r="O2" s="28"/>
      <c r="P2" s="28">
        <v>12.0</v>
      </c>
      <c r="Q2" s="28">
        <v>16.0</v>
      </c>
      <c r="R2" s="28"/>
      <c r="S2" s="28">
        <v>19.0</v>
      </c>
      <c r="T2" s="29"/>
      <c r="U2" s="29"/>
      <c r="V2" s="29"/>
      <c r="W2" s="28"/>
      <c r="X2" s="28"/>
      <c r="Y2" s="27"/>
      <c r="Z2" s="27"/>
      <c r="AA2" s="28"/>
      <c r="AB2" s="31"/>
      <c r="AC2" s="28"/>
      <c r="AD2" s="28"/>
      <c r="AE2" s="28"/>
      <c r="AF2" s="27"/>
      <c r="AG2" s="27"/>
      <c r="AH2" s="28"/>
      <c r="AI2" s="28"/>
      <c r="AJ2" s="28"/>
      <c r="AK2" s="28"/>
      <c r="AL2" s="28"/>
      <c r="AM2" s="27"/>
    </row>
    <row r="3">
      <c r="A3" s="27">
        <v>2166575.0</v>
      </c>
      <c r="B3" s="28" t="s">
        <v>147</v>
      </c>
      <c r="C3" s="27">
        <v>2.20009748E9</v>
      </c>
      <c r="D3" s="27">
        <v>10.0</v>
      </c>
      <c r="E3" s="28" t="s">
        <v>148</v>
      </c>
      <c r="F3" s="28" t="s">
        <v>149</v>
      </c>
      <c r="G3" s="28" t="s">
        <v>150</v>
      </c>
      <c r="H3" s="28" t="s">
        <v>151</v>
      </c>
      <c r="I3" s="27" t="s">
        <v>152</v>
      </c>
      <c r="J3" s="30"/>
      <c r="K3" s="29" t="s">
        <v>153</v>
      </c>
      <c r="L3" s="5">
        <f>Value(left(vlookup(Z3,dayspo,7,0),1))</f>
        <v>1</v>
      </c>
      <c r="M3" s="28">
        <f>roundup(Y3*'Days Sesion'!$S$2,0)</f>
        <v>1</v>
      </c>
      <c r="N3" s="28">
        <f>roundup(Y3*'Days Sesion'!$S$3,0)</f>
        <v>1</v>
      </c>
      <c r="O3" s="28">
        <f>roundup(Y3*'Days Sesion'!$S$5,0)</f>
        <v>2</v>
      </c>
      <c r="P3" s="28">
        <f>Value(left(vlookup(Z3,dayspo,7,0),1))</f>
        <v>1</v>
      </c>
      <c r="Q3" s="28">
        <f>value(left(vlookup(Z3,dayspo,8,0),1))</f>
        <v>6</v>
      </c>
      <c r="R3" s="28">
        <f>roundup(Y3*'Days Sesion'!$S$8,0)</f>
        <v>1</v>
      </c>
      <c r="S3" s="28">
        <f>(value(left(vlookup(Z3,dayspo,19,0),1)))</f>
        <v>4</v>
      </c>
      <c r="T3" s="29">
        <f t="shared" ref="T3:T58" si="1">roundup(sum(L3:S3),0)</f>
        <v>17</v>
      </c>
      <c r="U3" s="29">
        <f t="shared" ref="U3:U58" si="2">T3-AF3</f>
        <v>6</v>
      </c>
      <c r="V3" s="29" t="s">
        <v>154</v>
      </c>
      <c r="W3" s="28" t="s">
        <v>155</v>
      </c>
      <c r="X3" s="28" t="s">
        <v>156</v>
      </c>
      <c r="Y3" s="27">
        <f t="shared" ref="Y3:Y58" si="3">value(left(X3,2))</f>
        <v>13</v>
      </c>
      <c r="Z3" s="27">
        <v>5.100134537E9</v>
      </c>
      <c r="AA3" s="28" t="s">
        <v>157</v>
      </c>
      <c r="AB3" s="31"/>
      <c r="AC3" s="28" t="s">
        <v>158</v>
      </c>
      <c r="AD3" s="28" t="s">
        <v>159</v>
      </c>
      <c r="AE3" s="28" t="s">
        <v>160</v>
      </c>
      <c r="AF3" s="27">
        <f t="shared" ref="AF3:AF58" si="4">value(left(AE3,2))</f>
        <v>11</v>
      </c>
      <c r="AG3" s="27">
        <v>1.0</v>
      </c>
      <c r="AH3" s="28" t="s">
        <v>161</v>
      </c>
      <c r="AI3" s="28" t="s">
        <v>162</v>
      </c>
      <c r="AJ3" s="28" t="s">
        <v>163</v>
      </c>
      <c r="AK3" s="28" t="s">
        <v>164</v>
      </c>
      <c r="AL3" s="28" t="s">
        <v>165</v>
      </c>
      <c r="AM3" s="27">
        <v>1.0</v>
      </c>
    </row>
    <row r="4">
      <c r="A4" s="27">
        <v>2166575.0</v>
      </c>
      <c r="B4" s="28" t="s">
        <v>147</v>
      </c>
      <c r="C4" s="27">
        <v>2.20009891E9</v>
      </c>
      <c r="D4" s="27">
        <v>10.0</v>
      </c>
      <c r="E4" s="28" t="s">
        <v>148</v>
      </c>
      <c r="F4" s="28" t="s">
        <v>166</v>
      </c>
      <c r="G4" s="28" t="s">
        <v>167</v>
      </c>
      <c r="H4" s="28" t="s">
        <v>168</v>
      </c>
      <c r="I4" s="27" t="s">
        <v>169</v>
      </c>
      <c r="J4" s="27" t="s">
        <v>170</v>
      </c>
      <c r="K4" s="32">
        <v>45659.0</v>
      </c>
      <c r="L4" s="5">
        <f>Value(left(vlookup(Z4,dayspo,7,0),1))</f>
        <v>2</v>
      </c>
      <c r="M4" s="28">
        <f>roundup(Y4*'Days Sesion'!$S$2,0)</f>
        <v>1</v>
      </c>
      <c r="N4" s="28">
        <f>roundup(Y4*'Days Sesion'!$S$3,0)</f>
        <v>1</v>
      </c>
      <c r="O4" s="28">
        <f>roundup(Y4*'Days Sesion'!$S$5,0)</f>
        <v>1</v>
      </c>
      <c r="P4" s="28">
        <f>Value(left(vlookup(Z4,dayspo,7,0),1))</f>
        <v>2</v>
      </c>
      <c r="Q4" s="28">
        <f>value(left(vlookup(Z4,dayspo,8,0),1))</f>
        <v>4</v>
      </c>
      <c r="R4" s="28">
        <f>roundup(Y4*'Days Sesion'!$S$8,0)</f>
        <v>1</v>
      </c>
      <c r="S4" s="28">
        <f>(value(left(vlookup(Z4,dayspo,19,0),1)))</f>
        <v>2</v>
      </c>
      <c r="T4" s="29">
        <f t="shared" si="1"/>
        <v>14</v>
      </c>
      <c r="U4" s="29">
        <f t="shared" si="2"/>
        <v>6</v>
      </c>
      <c r="V4" s="29" t="s">
        <v>171</v>
      </c>
      <c r="W4" s="28" t="s">
        <v>172</v>
      </c>
      <c r="X4" s="28" t="s">
        <v>173</v>
      </c>
      <c r="Y4" s="27">
        <f t="shared" si="3"/>
        <v>9</v>
      </c>
      <c r="Z4" s="27">
        <v>5.100133759E9</v>
      </c>
      <c r="AA4" s="28" t="s">
        <v>174</v>
      </c>
      <c r="AB4" s="31"/>
      <c r="AC4" s="28" t="s">
        <v>158</v>
      </c>
      <c r="AD4" s="28" t="s">
        <v>175</v>
      </c>
      <c r="AE4" s="28" t="s">
        <v>176</v>
      </c>
      <c r="AF4" s="27">
        <f t="shared" si="4"/>
        <v>8</v>
      </c>
      <c r="AG4" s="27">
        <v>1.0</v>
      </c>
      <c r="AH4" s="28" t="s">
        <v>177</v>
      </c>
      <c r="AI4" s="28" t="s">
        <v>178</v>
      </c>
      <c r="AJ4" s="28" t="s">
        <v>178</v>
      </c>
      <c r="AK4" s="28" t="s">
        <v>179</v>
      </c>
      <c r="AL4" s="28" t="s">
        <v>180</v>
      </c>
      <c r="AM4" s="27">
        <v>1.0</v>
      </c>
    </row>
    <row r="5">
      <c r="A5" s="27">
        <v>2166575.0</v>
      </c>
      <c r="B5" s="28" t="s">
        <v>147</v>
      </c>
      <c r="C5" s="27">
        <v>2.200098928E9</v>
      </c>
      <c r="D5" s="27">
        <v>10.0</v>
      </c>
      <c r="E5" s="28" t="s">
        <v>148</v>
      </c>
      <c r="F5" s="28" t="s">
        <v>181</v>
      </c>
      <c r="G5" s="28" t="s">
        <v>182</v>
      </c>
      <c r="H5" s="28" t="s">
        <v>151</v>
      </c>
      <c r="I5" s="33">
        <v>45689.0</v>
      </c>
      <c r="J5" s="33">
        <v>45689.0</v>
      </c>
      <c r="K5" s="32">
        <v>45663.0</v>
      </c>
      <c r="L5" s="5">
        <f>Value(left(vlookup(Z5,dayspo,7,0),1))</f>
        <v>0</v>
      </c>
      <c r="M5" s="28">
        <f>roundup(Y5*'Days Sesion'!$S$2,0)</f>
        <v>1</v>
      </c>
      <c r="N5" s="28">
        <f>roundup(Y5*'Days Sesion'!$S$3,0)</f>
        <v>1</v>
      </c>
      <c r="O5" s="28">
        <f>roundup(Y5*'Days Sesion'!$S$5,0)</f>
        <v>1</v>
      </c>
      <c r="P5" s="28">
        <f>Value(left(vlookup(Z5,dayspo,7,0),1))</f>
        <v>0</v>
      </c>
      <c r="Q5" s="28">
        <f>value(left(vlookup(Z5,dayspo,8,0),1))</f>
        <v>3</v>
      </c>
      <c r="R5" s="28">
        <f>roundup(Y5*'Days Sesion'!$S$8,0)</f>
        <v>1</v>
      </c>
      <c r="S5" s="28">
        <f>(value(left(vlookup(Z5,dayspo,19,0),1)))</f>
        <v>3</v>
      </c>
      <c r="T5" s="29">
        <f t="shared" si="1"/>
        <v>10</v>
      </c>
      <c r="U5" s="29">
        <f t="shared" si="2"/>
        <v>4</v>
      </c>
      <c r="V5" s="29" t="s">
        <v>183</v>
      </c>
      <c r="W5" s="28" t="s">
        <v>184</v>
      </c>
      <c r="X5" s="28" t="s">
        <v>185</v>
      </c>
      <c r="Y5" s="27">
        <f t="shared" si="3"/>
        <v>10</v>
      </c>
      <c r="Z5" s="27">
        <v>5.100133854E9</v>
      </c>
      <c r="AA5" s="28" t="s">
        <v>174</v>
      </c>
      <c r="AB5" s="31"/>
      <c r="AC5" s="28" t="s">
        <v>158</v>
      </c>
      <c r="AD5" s="28" t="s">
        <v>175</v>
      </c>
      <c r="AE5" s="28" t="s">
        <v>186</v>
      </c>
      <c r="AF5" s="27">
        <f t="shared" si="4"/>
        <v>6</v>
      </c>
      <c r="AG5" s="27">
        <v>1.0</v>
      </c>
      <c r="AH5" s="28" t="s">
        <v>187</v>
      </c>
      <c r="AI5" s="28" t="s">
        <v>188</v>
      </c>
      <c r="AJ5" s="28" t="s">
        <v>189</v>
      </c>
      <c r="AK5" s="28" t="s">
        <v>190</v>
      </c>
      <c r="AL5" s="28" t="s">
        <v>191</v>
      </c>
      <c r="AM5" s="27">
        <v>1.0</v>
      </c>
    </row>
    <row r="6">
      <c r="A6" s="27">
        <v>2166575.0</v>
      </c>
      <c r="B6" s="28" t="s">
        <v>147</v>
      </c>
      <c r="C6" s="27">
        <v>2.200099021E9</v>
      </c>
      <c r="D6" s="27">
        <v>10.0</v>
      </c>
      <c r="E6" s="28" t="s">
        <v>148</v>
      </c>
      <c r="F6" s="28" t="s">
        <v>149</v>
      </c>
      <c r="G6" s="28" t="s">
        <v>192</v>
      </c>
      <c r="H6" s="28" t="s">
        <v>151</v>
      </c>
      <c r="I6" s="33">
        <v>45689.0</v>
      </c>
      <c r="J6" s="33">
        <v>45689.0</v>
      </c>
      <c r="K6" s="32">
        <v>45664.0</v>
      </c>
      <c r="L6" s="5">
        <f>Value(left(vlookup(Z6,dayspo,7,0),1))</f>
        <v>1</v>
      </c>
      <c r="M6" s="28">
        <f>roundup(Y6*'Days Sesion'!$S$2,0)</f>
        <v>1</v>
      </c>
      <c r="N6" s="28">
        <f>roundup(Y6*'Days Sesion'!$S$3,0)</f>
        <v>1</v>
      </c>
      <c r="O6" s="28">
        <f>roundup(Y6*'Days Sesion'!$S$5,0)</f>
        <v>1</v>
      </c>
      <c r="P6" s="28">
        <f>Value(left(vlookup(Z6,dayspo,7,0),1))</f>
        <v>1</v>
      </c>
      <c r="Q6" s="28">
        <f>value(left(vlookup(Z6,dayspo,8,0),1))</f>
        <v>5</v>
      </c>
      <c r="R6" s="28">
        <f>roundup(Y6*'Days Sesion'!$S$8,0)</f>
        <v>1</v>
      </c>
      <c r="S6" s="28">
        <f>(value(left(vlookup(Z6,dayspo,19,0),1)))</f>
        <v>1</v>
      </c>
      <c r="T6" s="29">
        <f t="shared" si="1"/>
        <v>12</v>
      </c>
      <c r="U6" s="29">
        <f t="shared" si="2"/>
        <v>5</v>
      </c>
      <c r="V6" s="29" t="s">
        <v>193</v>
      </c>
      <c r="W6" s="28" t="s">
        <v>172</v>
      </c>
      <c r="X6" s="28" t="s">
        <v>194</v>
      </c>
      <c r="Y6" s="27">
        <f t="shared" si="3"/>
        <v>7</v>
      </c>
      <c r="Z6" s="27">
        <v>5.100133816E9</v>
      </c>
      <c r="AA6" s="28" t="s">
        <v>174</v>
      </c>
      <c r="AB6" s="31"/>
      <c r="AC6" s="28" t="s">
        <v>158</v>
      </c>
      <c r="AD6" s="28" t="s">
        <v>175</v>
      </c>
      <c r="AE6" s="28" t="s">
        <v>194</v>
      </c>
      <c r="AF6" s="27">
        <f t="shared" si="4"/>
        <v>7</v>
      </c>
      <c r="AG6" s="27">
        <v>1.0</v>
      </c>
      <c r="AH6" s="28" t="s">
        <v>195</v>
      </c>
      <c r="AI6" s="28" t="s">
        <v>196</v>
      </c>
      <c r="AJ6" s="28" t="s">
        <v>196</v>
      </c>
      <c r="AK6" s="28" t="s">
        <v>197</v>
      </c>
      <c r="AL6" s="28" t="s">
        <v>198</v>
      </c>
      <c r="AM6" s="27">
        <v>1.0</v>
      </c>
    </row>
    <row r="7">
      <c r="A7" s="27">
        <v>2166575.0</v>
      </c>
      <c r="B7" s="28" t="s">
        <v>147</v>
      </c>
      <c r="C7" s="27">
        <v>2.200099022E9</v>
      </c>
      <c r="D7" s="27">
        <v>10.0</v>
      </c>
      <c r="E7" s="28" t="s">
        <v>148</v>
      </c>
      <c r="F7" s="28" t="s">
        <v>199</v>
      </c>
      <c r="G7" s="28" t="s">
        <v>200</v>
      </c>
      <c r="H7" s="28" t="s">
        <v>201</v>
      </c>
      <c r="I7" s="33">
        <v>45689.0</v>
      </c>
      <c r="J7" s="27" t="s">
        <v>202</v>
      </c>
      <c r="K7" s="32">
        <v>45664.0</v>
      </c>
      <c r="L7" s="5">
        <f>Value(left(vlookup(Z7,dayspo,7,0),1))</f>
        <v>1</v>
      </c>
      <c r="M7" s="28">
        <f>roundup(Y7*'Days Sesion'!$S$2,0)</f>
        <v>1</v>
      </c>
      <c r="N7" s="28">
        <f>roundup(Y7*'Days Sesion'!$S$3,0)</f>
        <v>1</v>
      </c>
      <c r="O7" s="28">
        <f>roundup(Y7*'Days Sesion'!$S$5,0)</f>
        <v>2</v>
      </c>
      <c r="P7" s="28">
        <f>Value(left(vlookup(Z7,dayspo,7,0),1))</f>
        <v>1</v>
      </c>
      <c r="Q7" s="28">
        <f>value(left(vlookup(Z7,dayspo,8,0),1))</f>
        <v>4</v>
      </c>
      <c r="R7" s="28">
        <f>roundup(Y7*'Days Sesion'!$S$8,0)</f>
        <v>1</v>
      </c>
      <c r="S7" s="28">
        <f>(value(left(vlookup(Z7,dayspo,19,0),1)))</f>
        <v>1</v>
      </c>
      <c r="T7" s="29">
        <f t="shared" si="1"/>
        <v>12</v>
      </c>
      <c r="U7" s="29">
        <f t="shared" si="2"/>
        <v>6</v>
      </c>
      <c r="V7" s="29" t="s">
        <v>203</v>
      </c>
      <c r="W7" s="28" t="s">
        <v>172</v>
      </c>
      <c r="X7" s="28" t="s">
        <v>156</v>
      </c>
      <c r="Y7" s="27">
        <f t="shared" si="3"/>
        <v>13</v>
      </c>
      <c r="Z7" s="27">
        <v>5.100134016E9</v>
      </c>
      <c r="AA7" s="28" t="s">
        <v>174</v>
      </c>
      <c r="AB7" s="31"/>
      <c r="AC7" s="28" t="s">
        <v>158</v>
      </c>
      <c r="AD7" s="28" t="s">
        <v>175</v>
      </c>
      <c r="AE7" s="28" t="s">
        <v>186</v>
      </c>
      <c r="AF7" s="27">
        <f t="shared" si="4"/>
        <v>6</v>
      </c>
      <c r="AG7" s="27">
        <v>1.0</v>
      </c>
      <c r="AH7" s="28" t="s">
        <v>204</v>
      </c>
      <c r="AI7" s="28" t="s">
        <v>205</v>
      </c>
      <c r="AJ7" s="28" t="s">
        <v>206</v>
      </c>
      <c r="AK7" s="28" t="s">
        <v>207</v>
      </c>
      <c r="AL7" s="28" t="s">
        <v>208</v>
      </c>
      <c r="AM7" s="27">
        <v>1.0</v>
      </c>
    </row>
    <row r="8">
      <c r="A8" s="27">
        <v>2166575.0</v>
      </c>
      <c r="B8" s="28" t="s">
        <v>147</v>
      </c>
      <c r="C8" s="27">
        <v>2.20009901E9</v>
      </c>
      <c r="D8" s="27">
        <v>10.0</v>
      </c>
      <c r="E8" s="28" t="s">
        <v>148</v>
      </c>
      <c r="F8" s="28" t="s">
        <v>209</v>
      </c>
      <c r="G8" s="28" t="s">
        <v>210</v>
      </c>
      <c r="H8" s="28" t="s">
        <v>168</v>
      </c>
      <c r="I8" s="33">
        <v>45689.0</v>
      </c>
      <c r="J8" s="33">
        <v>45717.0</v>
      </c>
      <c r="K8" s="32">
        <v>45660.0</v>
      </c>
      <c r="L8" s="5">
        <f>Value(left(vlookup(Z8,dayspo,7,0),1))</f>
        <v>4</v>
      </c>
      <c r="M8" s="28">
        <f>roundup(Y8*'Days Sesion'!$S$2,0)</f>
        <v>1</v>
      </c>
      <c r="N8" s="28">
        <f>roundup(Y8*'Days Sesion'!$S$3,0)</f>
        <v>1</v>
      </c>
      <c r="O8" s="28">
        <f>roundup(Y8*'Days Sesion'!$S$5,0)</f>
        <v>1</v>
      </c>
      <c r="P8" s="28">
        <f>Value(left(vlookup(Z8,dayspo,7,0),1))</f>
        <v>4</v>
      </c>
      <c r="Q8" s="28">
        <f>value(left(vlookup(Z8,dayspo,8,0),1))</f>
        <v>0</v>
      </c>
      <c r="R8" s="28">
        <f>roundup(Y8*'Days Sesion'!$S$8,0)</f>
        <v>1</v>
      </c>
      <c r="S8" s="28">
        <f>(value(left(vlookup(Z8,dayspo,19,0),1)))</f>
        <v>4</v>
      </c>
      <c r="T8" s="29">
        <f t="shared" si="1"/>
        <v>16</v>
      </c>
      <c r="U8" s="29">
        <f t="shared" si="2"/>
        <v>8</v>
      </c>
      <c r="V8" s="29" t="s">
        <v>211</v>
      </c>
      <c r="W8" s="28" t="s">
        <v>212</v>
      </c>
      <c r="X8" s="28" t="s">
        <v>185</v>
      </c>
      <c r="Y8" s="27">
        <f t="shared" si="3"/>
        <v>10</v>
      </c>
      <c r="Z8" s="27">
        <v>5.100133774E9</v>
      </c>
      <c r="AA8" s="28" t="s">
        <v>213</v>
      </c>
      <c r="AB8" s="31"/>
      <c r="AC8" s="28" t="s">
        <v>158</v>
      </c>
      <c r="AD8" s="28" t="s">
        <v>159</v>
      </c>
      <c r="AE8" s="28" t="s">
        <v>176</v>
      </c>
      <c r="AF8" s="27">
        <f t="shared" si="4"/>
        <v>8</v>
      </c>
      <c r="AG8" s="27">
        <v>1.0</v>
      </c>
      <c r="AH8" s="28" t="s">
        <v>214</v>
      </c>
      <c r="AI8" s="28" t="s">
        <v>215</v>
      </c>
      <c r="AJ8" s="28" t="s">
        <v>216</v>
      </c>
      <c r="AK8" s="28" t="s">
        <v>217</v>
      </c>
      <c r="AL8" s="28" t="s">
        <v>218</v>
      </c>
      <c r="AM8" s="27">
        <v>1.0</v>
      </c>
    </row>
    <row r="9">
      <c r="A9" s="27">
        <v>2166575.0</v>
      </c>
      <c r="B9" s="28" t="s">
        <v>147</v>
      </c>
      <c r="C9" s="27">
        <v>2.200099103E9</v>
      </c>
      <c r="D9" s="27">
        <v>10.0</v>
      </c>
      <c r="E9" s="28" t="s">
        <v>148</v>
      </c>
      <c r="F9" s="28" t="s">
        <v>219</v>
      </c>
      <c r="G9" s="28" t="s">
        <v>220</v>
      </c>
      <c r="H9" s="28" t="s">
        <v>221</v>
      </c>
      <c r="I9" s="33">
        <v>45839.0</v>
      </c>
      <c r="J9" s="27" t="s">
        <v>222</v>
      </c>
      <c r="K9" s="32">
        <v>45667.0</v>
      </c>
      <c r="L9" s="5">
        <f>Value(left(vlookup(Z9,dayspo,7,0),1))</f>
        <v>2</v>
      </c>
      <c r="M9" s="28">
        <f>roundup(Y9*'Days Sesion'!$S$2,0)</f>
        <v>1</v>
      </c>
      <c r="N9" s="28">
        <f>roundup(Y9*'Days Sesion'!$S$3,0)</f>
        <v>1</v>
      </c>
      <c r="O9" s="28">
        <f>roundup(Y9*'Days Sesion'!$S$5,0)</f>
        <v>2</v>
      </c>
      <c r="P9" s="28">
        <f>Value(left(vlookup(Z9,dayspo,7,0),1))</f>
        <v>2</v>
      </c>
      <c r="Q9" s="28">
        <f>value(left(vlookup(Z9,dayspo,8,0),1))</f>
        <v>5</v>
      </c>
      <c r="R9" s="28">
        <f>roundup(Y9*'Days Sesion'!$S$8,0)</f>
        <v>1</v>
      </c>
      <c r="S9" s="28">
        <f>(value(left(vlookup(Z9,dayspo,19,0),1)))</f>
        <v>4</v>
      </c>
      <c r="T9" s="29">
        <f t="shared" si="1"/>
        <v>18</v>
      </c>
      <c r="U9" s="29">
        <f t="shared" si="2"/>
        <v>7</v>
      </c>
      <c r="V9" s="32">
        <v>45689.0</v>
      </c>
      <c r="W9" s="28" t="s">
        <v>184</v>
      </c>
      <c r="X9" s="28" t="s">
        <v>223</v>
      </c>
      <c r="Y9" s="27">
        <f t="shared" si="3"/>
        <v>14</v>
      </c>
      <c r="Z9" s="27">
        <v>5.100134053E9</v>
      </c>
      <c r="AA9" s="28" t="s">
        <v>174</v>
      </c>
      <c r="AB9" s="31"/>
      <c r="AC9" s="28" t="s">
        <v>158</v>
      </c>
      <c r="AD9" s="28" t="s">
        <v>175</v>
      </c>
      <c r="AE9" s="28" t="s">
        <v>160</v>
      </c>
      <c r="AF9" s="27">
        <f t="shared" si="4"/>
        <v>11</v>
      </c>
      <c r="AG9" s="27">
        <v>1.0</v>
      </c>
      <c r="AH9" s="28" t="s">
        <v>224</v>
      </c>
      <c r="AI9" s="28" t="s">
        <v>225</v>
      </c>
      <c r="AJ9" s="28" t="s">
        <v>225</v>
      </c>
      <c r="AK9" s="28" t="s">
        <v>226</v>
      </c>
      <c r="AL9" s="28" t="s">
        <v>227</v>
      </c>
      <c r="AM9" s="27">
        <v>1.0</v>
      </c>
    </row>
    <row r="10">
      <c r="A10" s="27">
        <v>2166575.0</v>
      </c>
      <c r="B10" s="28" t="s">
        <v>147</v>
      </c>
      <c r="C10" s="27">
        <v>2.200098397E9</v>
      </c>
      <c r="D10" s="27">
        <v>10.0</v>
      </c>
      <c r="E10" s="28" t="s">
        <v>148</v>
      </c>
      <c r="F10" s="28" t="s">
        <v>228</v>
      </c>
      <c r="G10" s="28" t="s">
        <v>229</v>
      </c>
      <c r="H10" s="28" t="s">
        <v>201</v>
      </c>
      <c r="I10" s="33">
        <v>45334.0</v>
      </c>
      <c r="J10" s="33">
        <v>45901.0</v>
      </c>
      <c r="K10" s="29" t="s">
        <v>170</v>
      </c>
      <c r="L10" s="5">
        <f>Value(left(vlookup(Z10,dayspo,7,0),1))</f>
        <v>1</v>
      </c>
      <c r="M10" s="28">
        <f>roundup(Y10*'Days Sesion'!$S$2,0)</f>
        <v>1</v>
      </c>
      <c r="N10" s="28">
        <f>roundup(Y10*'Days Sesion'!$S$3,0)</f>
        <v>1</v>
      </c>
      <c r="O10" s="28">
        <f>roundup(Y10*'Days Sesion'!$S$5,0)</f>
        <v>1</v>
      </c>
      <c r="P10" s="28">
        <f>Value(left(vlookup(Z10,dayspo,7,0),1))</f>
        <v>1</v>
      </c>
      <c r="Q10" s="28">
        <f>value(left(vlookup(Z10,dayspo,8,0),1))</f>
        <v>4</v>
      </c>
      <c r="R10" s="28">
        <f>roundup(Y10*'Days Sesion'!$S$8,0)</f>
        <v>1</v>
      </c>
      <c r="S10" s="28">
        <f>(value(left(vlookup(Z10,dayspo,19,0),1)))</f>
        <v>2</v>
      </c>
      <c r="T10" s="29">
        <f t="shared" si="1"/>
        <v>12</v>
      </c>
      <c r="U10" s="29">
        <f t="shared" si="2"/>
        <v>5</v>
      </c>
      <c r="V10" s="32">
        <v>45692.0</v>
      </c>
      <c r="W10" s="28" t="s">
        <v>155</v>
      </c>
      <c r="X10" s="28" t="s">
        <v>194</v>
      </c>
      <c r="Y10" s="27">
        <f t="shared" si="3"/>
        <v>7</v>
      </c>
      <c r="Z10" s="27">
        <v>5.100134158E9</v>
      </c>
      <c r="AA10" s="28" t="s">
        <v>157</v>
      </c>
      <c r="AB10" s="31"/>
      <c r="AC10" s="28" t="s">
        <v>158</v>
      </c>
      <c r="AD10" s="28" t="s">
        <v>159</v>
      </c>
      <c r="AE10" s="28" t="s">
        <v>194</v>
      </c>
      <c r="AF10" s="27">
        <f t="shared" si="4"/>
        <v>7</v>
      </c>
      <c r="AG10" s="27">
        <v>1.0</v>
      </c>
      <c r="AH10" s="28" t="s">
        <v>230</v>
      </c>
      <c r="AI10" s="28" t="s">
        <v>231</v>
      </c>
      <c r="AJ10" s="28" t="s">
        <v>231</v>
      </c>
      <c r="AK10" s="28" t="s">
        <v>232</v>
      </c>
      <c r="AL10" s="28" t="s">
        <v>233</v>
      </c>
      <c r="AM10" s="27">
        <v>1.0</v>
      </c>
    </row>
    <row r="11">
      <c r="A11" s="27">
        <v>2166575.0</v>
      </c>
      <c r="B11" s="28" t="s">
        <v>147</v>
      </c>
      <c r="C11" s="27">
        <v>2.200099214E9</v>
      </c>
      <c r="D11" s="27">
        <v>10.0</v>
      </c>
      <c r="E11" s="28" t="s">
        <v>148</v>
      </c>
      <c r="F11" s="28" t="s">
        <v>219</v>
      </c>
      <c r="G11" s="28" t="s">
        <v>234</v>
      </c>
      <c r="H11" s="28" t="s">
        <v>221</v>
      </c>
      <c r="I11" s="33">
        <v>45901.0</v>
      </c>
      <c r="J11" s="27" t="s">
        <v>170</v>
      </c>
      <c r="K11" s="29" t="s">
        <v>235</v>
      </c>
      <c r="L11" s="5">
        <f>Value(left(vlookup(Z11,dayspo,7,0),1))</f>
        <v>2</v>
      </c>
      <c r="M11" s="28">
        <f>roundup(Y11*'Days Sesion'!$S$2,0)</f>
        <v>1</v>
      </c>
      <c r="N11" s="28">
        <f>roundup(Y11*'Days Sesion'!$S$3,0)</f>
        <v>1</v>
      </c>
      <c r="O11" s="28">
        <f>roundup(Y11*'Days Sesion'!$S$5,0)</f>
        <v>2</v>
      </c>
      <c r="P11" s="28">
        <f>Value(left(vlookup(Z11,dayspo,7,0),1))</f>
        <v>2</v>
      </c>
      <c r="Q11" s="28">
        <f>value(left(vlookup(Z11,dayspo,8,0),1))</f>
        <v>6</v>
      </c>
      <c r="R11" s="28">
        <f>roundup(Y11*'Days Sesion'!$S$8,0)</f>
        <v>1</v>
      </c>
      <c r="S11" s="28">
        <f>(value(left(vlookup(Z11,dayspo,19,0),1)))</f>
        <v>2</v>
      </c>
      <c r="T11" s="29">
        <f t="shared" si="1"/>
        <v>17</v>
      </c>
      <c r="U11" s="29">
        <f t="shared" si="2"/>
        <v>7</v>
      </c>
      <c r="V11" s="29" t="s">
        <v>236</v>
      </c>
      <c r="W11" s="28" t="s">
        <v>184</v>
      </c>
      <c r="X11" s="28" t="s">
        <v>237</v>
      </c>
      <c r="Y11" s="27">
        <f t="shared" si="3"/>
        <v>21</v>
      </c>
      <c r="Z11" s="27">
        <v>5.100135462E9</v>
      </c>
      <c r="AA11" s="28" t="s">
        <v>174</v>
      </c>
      <c r="AB11" s="31"/>
      <c r="AC11" s="28" t="s">
        <v>158</v>
      </c>
      <c r="AD11" s="28" t="s">
        <v>175</v>
      </c>
      <c r="AE11" s="28" t="s">
        <v>185</v>
      </c>
      <c r="AF11" s="27">
        <f t="shared" si="4"/>
        <v>10</v>
      </c>
      <c r="AG11" s="27">
        <v>1.0</v>
      </c>
      <c r="AH11" s="28" t="s">
        <v>238</v>
      </c>
      <c r="AI11" s="28" t="s">
        <v>239</v>
      </c>
      <c r="AJ11" s="28" t="s">
        <v>240</v>
      </c>
      <c r="AK11" s="28" t="s">
        <v>241</v>
      </c>
      <c r="AL11" s="28" t="s">
        <v>242</v>
      </c>
      <c r="AM11" s="27">
        <v>1.0</v>
      </c>
    </row>
    <row r="12">
      <c r="A12" s="27">
        <v>2166575.0</v>
      </c>
      <c r="B12" s="28" t="s">
        <v>147</v>
      </c>
      <c r="C12" s="27">
        <v>2.200099258E9</v>
      </c>
      <c r="D12" s="27">
        <v>10.0</v>
      </c>
      <c r="E12" s="28" t="s">
        <v>148</v>
      </c>
      <c r="F12" s="28" t="s">
        <v>243</v>
      </c>
      <c r="G12" s="28" t="s">
        <v>244</v>
      </c>
      <c r="H12" s="28" t="s">
        <v>201</v>
      </c>
      <c r="I12" s="27" t="s">
        <v>245</v>
      </c>
      <c r="J12" s="27" t="s">
        <v>246</v>
      </c>
      <c r="K12" s="29" t="s">
        <v>247</v>
      </c>
      <c r="L12" s="5">
        <f>Value(left(vlookup(Z12,dayspo,7,0),1))</f>
        <v>0</v>
      </c>
      <c r="M12" s="28">
        <f>roundup(Y12*'Days Sesion'!$S$2,0)</f>
        <v>1</v>
      </c>
      <c r="N12" s="28">
        <f>roundup(Y12*'Days Sesion'!$S$3,0)</f>
        <v>1</v>
      </c>
      <c r="O12" s="28">
        <f>roundup(Y12*'Days Sesion'!$S$5,0)</f>
        <v>1</v>
      </c>
      <c r="P12" s="28">
        <f>Value(left(vlookup(Z12,dayspo,7,0),1))</f>
        <v>0</v>
      </c>
      <c r="Q12" s="28">
        <f>value(left(vlookup(Z12,dayspo,8,0),1))</f>
        <v>4</v>
      </c>
      <c r="R12" s="28">
        <f>roundup(Y12*'Days Sesion'!$S$8,0)</f>
        <v>1</v>
      </c>
      <c r="S12" s="28">
        <f>(value(left(vlookup(Z12,dayspo,19,0),1)))</f>
        <v>1</v>
      </c>
      <c r="T12" s="29">
        <f t="shared" si="1"/>
        <v>9</v>
      </c>
      <c r="U12" s="29">
        <f t="shared" si="2"/>
        <v>4</v>
      </c>
      <c r="V12" s="29" t="s">
        <v>153</v>
      </c>
      <c r="W12" s="28" t="s">
        <v>184</v>
      </c>
      <c r="X12" s="28" t="s">
        <v>194</v>
      </c>
      <c r="Y12" s="27">
        <f t="shared" si="3"/>
        <v>7</v>
      </c>
      <c r="Z12" s="27">
        <v>5.100133962E9</v>
      </c>
      <c r="AA12" s="28" t="s">
        <v>174</v>
      </c>
      <c r="AB12" s="31"/>
      <c r="AC12" s="28" t="s">
        <v>158</v>
      </c>
      <c r="AD12" s="28" t="s">
        <v>175</v>
      </c>
      <c r="AE12" s="28" t="s">
        <v>248</v>
      </c>
      <c r="AF12" s="27">
        <f t="shared" si="4"/>
        <v>5</v>
      </c>
      <c r="AG12" s="27">
        <v>1.0</v>
      </c>
      <c r="AH12" s="28" t="s">
        <v>249</v>
      </c>
      <c r="AI12" s="28" t="s">
        <v>250</v>
      </c>
      <c r="AJ12" s="28" t="s">
        <v>250</v>
      </c>
      <c r="AK12" s="28" t="s">
        <v>251</v>
      </c>
      <c r="AL12" s="28" t="s">
        <v>252</v>
      </c>
      <c r="AM12" s="27">
        <v>1.0</v>
      </c>
    </row>
    <row r="13">
      <c r="A13" s="27">
        <v>2166575.0</v>
      </c>
      <c r="B13" s="28" t="s">
        <v>147</v>
      </c>
      <c r="C13" s="27">
        <v>2.200099259E9</v>
      </c>
      <c r="D13" s="27">
        <v>10.0</v>
      </c>
      <c r="E13" s="28" t="s">
        <v>148</v>
      </c>
      <c r="F13" s="28" t="s">
        <v>243</v>
      </c>
      <c r="G13" s="28" t="s">
        <v>253</v>
      </c>
      <c r="H13" s="28" t="s">
        <v>201</v>
      </c>
      <c r="I13" s="27" t="s">
        <v>245</v>
      </c>
      <c r="J13" s="27" t="s">
        <v>254</v>
      </c>
      <c r="K13" s="29" t="s">
        <v>247</v>
      </c>
      <c r="L13" s="5">
        <f>Value(left(vlookup(Z13,dayspo,7,0),1))</f>
        <v>0</v>
      </c>
      <c r="M13" s="28">
        <f>roundup(Y13*'Days Sesion'!$S$2,0)</f>
        <v>1</v>
      </c>
      <c r="N13" s="28">
        <f>roundup(Y13*'Days Sesion'!$S$3,0)</f>
        <v>1</v>
      </c>
      <c r="O13" s="28">
        <f>roundup(Y13*'Days Sesion'!$S$5,0)</f>
        <v>1</v>
      </c>
      <c r="P13" s="28">
        <f>Value(left(vlookup(Z13,dayspo,7,0),1))</f>
        <v>0</v>
      </c>
      <c r="Q13" s="28">
        <f>value(left(vlookup(Z13,dayspo,8,0),1))</f>
        <v>4</v>
      </c>
      <c r="R13" s="28">
        <f>roundup(Y13*'Days Sesion'!$S$8,0)</f>
        <v>1</v>
      </c>
      <c r="S13" s="28">
        <f>(value(left(vlookup(Z13,dayspo,19,0),1)))</f>
        <v>0</v>
      </c>
      <c r="T13" s="29">
        <f t="shared" si="1"/>
        <v>8</v>
      </c>
      <c r="U13" s="29">
        <f t="shared" si="2"/>
        <v>4</v>
      </c>
      <c r="V13" s="29" t="s">
        <v>153</v>
      </c>
      <c r="W13" s="28" t="s">
        <v>184</v>
      </c>
      <c r="X13" s="28" t="s">
        <v>194</v>
      </c>
      <c r="Y13" s="27">
        <f t="shared" si="3"/>
        <v>7</v>
      </c>
      <c r="Z13" s="27">
        <v>5.100133981E9</v>
      </c>
      <c r="AA13" s="28" t="s">
        <v>174</v>
      </c>
      <c r="AB13" s="31"/>
      <c r="AC13" s="28" t="s">
        <v>158</v>
      </c>
      <c r="AD13" s="28" t="s">
        <v>175</v>
      </c>
      <c r="AE13" s="28" t="s">
        <v>255</v>
      </c>
      <c r="AF13" s="27">
        <f t="shared" si="4"/>
        <v>4</v>
      </c>
      <c r="AG13" s="27">
        <v>1.0</v>
      </c>
      <c r="AH13" s="28" t="s">
        <v>256</v>
      </c>
      <c r="AI13" s="28" t="s">
        <v>257</v>
      </c>
      <c r="AJ13" s="28" t="s">
        <v>257</v>
      </c>
      <c r="AK13" s="28" t="s">
        <v>258</v>
      </c>
      <c r="AL13" s="28" t="s">
        <v>259</v>
      </c>
      <c r="AM13" s="27">
        <v>1.0</v>
      </c>
    </row>
    <row r="14">
      <c r="A14" s="27">
        <v>2166575.0</v>
      </c>
      <c r="B14" s="28" t="s">
        <v>147</v>
      </c>
      <c r="C14" s="27">
        <v>2.20009926E9</v>
      </c>
      <c r="D14" s="27">
        <v>10.0</v>
      </c>
      <c r="E14" s="28" t="s">
        <v>148</v>
      </c>
      <c r="F14" s="28" t="s">
        <v>243</v>
      </c>
      <c r="G14" s="28" t="s">
        <v>260</v>
      </c>
      <c r="H14" s="28" t="s">
        <v>201</v>
      </c>
      <c r="I14" s="27" t="s">
        <v>245</v>
      </c>
      <c r="J14" s="34" t="s">
        <v>254</v>
      </c>
      <c r="K14" s="29" t="s">
        <v>261</v>
      </c>
      <c r="L14" s="5">
        <f>Value(left(vlookup(Z14,dayspo,7,0),1))</f>
        <v>0</v>
      </c>
      <c r="M14" s="28">
        <f>roundup(Y14*'Days Sesion'!$S$2,0)</f>
        <v>1</v>
      </c>
      <c r="N14" s="28">
        <f>roundup(Y14*'Days Sesion'!$S$3,0)</f>
        <v>1</v>
      </c>
      <c r="O14" s="28">
        <f>roundup(Y14*'Days Sesion'!$S$5,0)</f>
        <v>1</v>
      </c>
      <c r="P14" s="28">
        <f>Value(left(vlookup(Z14,dayspo,7,0),1))</f>
        <v>0</v>
      </c>
      <c r="Q14" s="28">
        <f>value(left(vlookup(Z14,dayspo,8,0),1))</f>
        <v>5</v>
      </c>
      <c r="R14" s="28">
        <f>roundup(Y14*'Days Sesion'!$S$8,0)</f>
        <v>1</v>
      </c>
      <c r="S14" s="28">
        <f>(value(left(vlookup(Z14,dayspo,19,0),1)))</f>
        <v>0</v>
      </c>
      <c r="T14" s="29">
        <f t="shared" si="1"/>
        <v>9</v>
      </c>
      <c r="U14" s="29">
        <f t="shared" si="2"/>
        <v>4</v>
      </c>
      <c r="V14" s="29" t="s">
        <v>235</v>
      </c>
      <c r="W14" s="28" t="s">
        <v>184</v>
      </c>
      <c r="X14" s="28" t="s">
        <v>186</v>
      </c>
      <c r="Y14" s="27">
        <f t="shared" si="3"/>
        <v>6</v>
      </c>
      <c r="Z14" s="27">
        <v>5.100134084E9</v>
      </c>
      <c r="AA14" s="28" t="s">
        <v>174</v>
      </c>
      <c r="AB14" s="31"/>
      <c r="AC14" s="28" t="s">
        <v>158</v>
      </c>
      <c r="AD14" s="28" t="s">
        <v>175</v>
      </c>
      <c r="AE14" s="28" t="s">
        <v>248</v>
      </c>
      <c r="AF14" s="27">
        <f t="shared" si="4"/>
        <v>5</v>
      </c>
      <c r="AG14" s="27">
        <v>1.0</v>
      </c>
      <c r="AH14" s="28" t="s">
        <v>262</v>
      </c>
      <c r="AI14" s="28" t="s">
        <v>263</v>
      </c>
      <c r="AJ14" s="28" t="s">
        <v>263</v>
      </c>
      <c r="AK14" s="28" t="s">
        <v>264</v>
      </c>
      <c r="AL14" s="28" t="s">
        <v>265</v>
      </c>
      <c r="AM14" s="27">
        <v>1.0</v>
      </c>
    </row>
    <row r="15">
      <c r="A15" s="27">
        <v>2166575.0</v>
      </c>
      <c r="B15" s="28" t="s">
        <v>147</v>
      </c>
      <c r="C15" s="27">
        <v>2.200099382E9</v>
      </c>
      <c r="D15" s="27">
        <v>10.0</v>
      </c>
      <c r="E15" s="28" t="s">
        <v>148</v>
      </c>
      <c r="F15" s="28" t="s">
        <v>149</v>
      </c>
      <c r="G15" s="28" t="s">
        <v>266</v>
      </c>
      <c r="H15" s="28" t="s">
        <v>151</v>
      </c>
      <c r="I15" s="27" t="s">
        <v>193</v>
      </c>
      <c r="J15" s="27" t="s">
        <v>246</v>
      </c>
      <c r="K15" s="29" t="s">
        <v>211</v>
      </c>
      <c r="L15" s="5">
        <f>Value(left(vlookup(Z15,dayspo,7,0),1))</f>
        <v>0</v>
      </c>
      <c r="M15" s="28">
        <f>roundup(Y15*'Days Sesion'!$S$2,0)</f>
        <v>1</v>
      </c>
      <c r="N15" s="28">
        <f>roundup(Y15*'Days Sesion'!$S$3,0)</f>
        <v>1</v>
      </c>
      <c r="O15" s="28">
        <f>roundup(Y15*'Days Sesion'!$S$5,0)</f>
        <v>3</v>
      </c>
      <c r="P15" s="28">
        <f>roundup(Y15*'Days Sesion'!$S$6,0)</f>
        <v>6</v>
      </c>
      <c r="Q15" s="28">
        <f>roundup(Y15*'Days Sesion'!$S$7,0)</f>
        <v>4</v>
      </c>
      <c r="R15" s="28">
        <f>roundup(Y15*'Days Sesion'!$S$8,0)</f>
        <v>1</v>
      </c>
      <c r="S15" s="28">
        <f>roundup(Y15*'Days Sesion'!$S$9,0)</f>
        <v>5</v>
      </c>
      <c r="T15" s="29">
        <f t="shared" si="1"/>
        <v>21</v>
      </c>
      <c r="U15" s="35">
        <f t="shared" si="2"/>
        <v>-2</v>
      </c>
      <c r="V15" s="29" t="s">
        <v>267</v>
      </c>
      <c r="W15" s="28" t="s">
        <v>184</v>
      </c>
      <c r="X15" s="28" t="s">
        <v>268</v>
      </c>
      <c r="Y15" s="27">
        <f t="shared" si="3"/>
        <v>25</v>
      </c>
      <c r="Z15" s="27">
        <v>5.100135176E9</v>
      </c>
      <c r="AA15" s="28" t="s">
        <v>174</v>
      </c>
      <c r="AB15" s="31"/>
      <c r="AC15" s="28" t="s">
        <v>158</v>
      </c>
      <c r="AD15" s="28" t="s">
        <v>175</v>
      </c>
      <c r="AE15" s="28" t="s">
        <v>269</v>
      </c>
      <c r="AF15" s="27">
        <f t="shared" si="4"/>
        <v>23</v>
      </c>
      <c r="AG15" s="27">
        <v>1.0</v>
      </c>
      <c r="AH15" s="28" t="s">
        <v>270</v>
      </c>
      <c r="AI15" s="28" t="s">
        <v>271</v>
      </c>
      <c r="AJ15" s="28" t="s">
        <v>272</v>
      </c>
      <c r="AK15" s="28" t="s">
        <v>273</v>
      </c>
      <c r="AL15" s="28" t="s">
        <v>274</v>
      </c>
      <c r="AM15" s="27">
        <v>1.0</v>
      </c>
    </row>
    <row r="16">
      <c r="A16" s="27">
        <v>2166575.0</v>
      </c>
      <c r="B16" s="28" t="s">
        <v>147</v>
      </c>
      <c r="C16" s="27">
        <v>2.20009932E9</v>
      </c>
      <c r="D16" s="27">
        <v>10.0</v>
      </c>
      <c r="E16" s="28" t="s">
        <v>148</v>
      </c>
      <c r="F16" s="28" t="s">
        <v>209</v>
      </c>
      <c r="G16" s="28" t="s">
        <v>275</v>
      </c>
      <c r="H16" s="28" t="s">
        <v>168</v>
      </c>
      <c r="I16" s="27" t="s">
        <v>193</v>
      </c>
      <c r="J16" s="27" t="s">
        <v>193</v>
      </c>
      <c r="K16" s="29" t="s">
        <v>211</v>
      </c>
      <c r="L16" s="36">
        <v>1.0</v>
      </c>
      <c r="M16" s="28">
        <f>roundup(Y16*'Days Sesion'!$S$2,0)</f>
        <v>1</v>
      </c>
      <c r="N16" s="28">
        <f>roundup(Y16*'Days Sesion'!$S$3,0)</f>
        <v>1</v>
      </c>
      <c r="O16" s="28">
        <f>roundup(Y16*'Days Sesion'!$S$5,0)</f>
        <v>1</v>
      </c>
      <c r="P16" s="28">
        <f>roundup(Y16*'Days Sesion'!$S$6,0)</f>
        <v>3</v>
      </c>
      <c r="Q16" s="28">
        <f>roundup(Y16*'Days Sesion'!$S$7,0)</f>
        <v>2</v>
      </c>
      <c r="R16" s="28">
        <f>roundup(Y16*'Days Sesion'!$S$8,0)</f>
        <v>1</v>
      </c>
      <c r="S16" s="28">
        <f>roundup(Y16*'Days Sesion'!$S$9,0)</f>
        <v>2</v>
      </c>
      <c r="T16" s="29">
        <f t="shared" si="1"/>
        <v>12</v>
      </c>
      <c r="U16" s="29">
        <f t="shared" si="2"/>
        <v>2</v>
      </c>
      <c r="V16" s="32">
        <v>45693.0</v>
      </c>
      <c r="W16" s="28" t="s">
        <v>184</v>
      </c>
      <c r="X16" s="28" t="s">
        <v>160</v>
      </c>
      <c r="Y16" s="27">
        <f t="shared" si="3"/>
        <v>11</v>
      </c>
      <c r="Z16" s="27">
        <v>5.100134248E9</v>
      </c>
      <c r="AA16" s="28" t="s">
        <v>174</v>
      </c>
      <c r="AB16" s="31"/>
      <c r="AC16" s="28" t="s">
        <v>158</v>
      </c>
      <c r="AD16" s="28" t="s">
        <v>175</v>
      </c>
      <c r="AE16" s="28" t="s">
        <v>185</v>
      </c>
      <c r="AF16" s="27">
        <f t="shared" si="4"/>
        <v>10</v>
      </c>
      <c r="AG16" s="27">
        <v>1.0</v>
      </c>
      <c r="AH16" s="28" t="s">
        <v>276</v>
      </c>
      <c r="AI16" s="28" t="s">
        <v>277</v>
      </c>
      <c r="AJ16" s="28" t="s">
        <v>278</v>
      </c>
      <c r="AK16" s="28" t="s">
        <v>279</v>
      </c>
      <c r="AL16" s="28" t="s">
        <v>280</v>
      </c>
      <c r="AM16" s="27">
        <v>1.0</v>
      </c>
    </row>
    <row r="17">
      <c r="A17" s="27">
        <v>2166575.0</v>
      </c>
      <c r="B17" s="28" t="s">
        <v>147</v>
      </c>
      <c r="C17" s="27">
        <v>2.200099482E9</v>
      </c>
      <c r="D17" s="27">
        <v>10.0</v>
      </c>
      <c r="E17" s="28" t="s">
        <v>148</v>
      </c>
      <c r="F17" s="28" t="s">
        <v>281</v>
      </c>
      <c r="G17" s="28" t="s">
        <v>282</v>
      </c>
      <c r="H17" s="28" t="s">
        <v>283</v>
      </c>
      <c r="I17" s="27" t="s">
        <v>261</v>
      </c>
      <c r="J17" s="27" t="s">
        <v>284</v>
      </c>
      <c r="K17" s="29" t="s">
        <v>203</v>
      </c>
      <c r="L17" s="5">
        <f>Value(left(vlookup(Z17,dayspo,7,0),1))</f>
        <v>0</v>
      </c>
      <c r="M17" s="28">
        <f>roundup(Y17*'Days Sesion'!$S$2,0)</f>
        <v>1</v>
      </c>
      <c r="N17" s="28">
        <f>roundup(Y17*'Days Sesion'!$S$3,0)</f>
        <v>1</v>
      </c>
      <c r="O17" s="28">
        <f>roundup(Y17*'Days Sesion'!$S$5,0)</f>
        <v>3</v>
      </c>
      <c r="P17" s="28">
        <f>Value(left(vlookup(Z17,dayspo,7,0),1))</f>
        <v>0</v>
      </c>
      <c r="Q17" s="28">
        <f>value(left(vlookup(Z17,dayspo,8,0),1))</f>
        <v>3</v>
      </c>
      <c r="R17" s="28">
        <f>roundup(Y17*'Days Sesion'!$S$8,0)</f>
        <v>1</v>
      </c>
      <c r="S17" s="28">
        <f>(value(left(vlookup(Z17,dayspo,19,0),1)))</f>
        <v>2</v>
      </c>
      <c r="T17" s="29">
        <f t="shared" si="1"/>
        <v>11</v>
      </c>
      <c r="U17" s="29">
        <f t="shared" si="2"/>
        <v>6</v>
      </c>
      <c r="V17" s="32">
        <v>45722.0</v>
      </c>
      <c r="W17" s="28" t="s">
        <v>285</v>
      </c>
      <c r="X17" s="28" t="s">
        <v>286</v>
      </c>
      <c r="Y17" s="27">
        <f t="shared" si="3"/>
        <v>27</v>
      </c>
      <c r="Z17" s="27">
        <v>4.100004803E9</v>
      </c>
      <c r="AA17" s="28" t="s">
        <v>174</v>
      </c>
      <c r="AB17" s="31"/>
      <c r="AC17" s="28" t="s">
        <v>158</v>
      </c>
      <c r="AD17" s="28" t="s">
        <v>175</v>
      </c>
      <c r="AE17" s="28" t="s">
        <v>248</v>
      </c>
      <c r="AF17" s="27">
        <f t="shared" si="4"/>
        <v>5</v>
      </c>
      <c r="AG17" s="27">
        <v>1.0</v>
      </c>
      <c r="AH17" s="28" t="s">
        <v>287</v>
      </c>
      <c r="AI17" s="28" t="s">
        <v>288</v>
      </c>
      <c r="AJ17" s="28" t="s">
        <v>288</v>
      </c>
      <c r="AK17" s="28" t="s">
        <v>289</v>
      </c>
      <c r="AL17" s="28" t="s">
        <v>290</v>
      </c>
      <c r="AM17" s="27">
        <v>1.0</v>
      </c>
    </row>
    <row r="18">
      <c r="A18" s="27">
        <v>2166575.0</v>
      </c>
      <c r="B18" s="28" t="s">
        <v>147</v>
      </c>
      <c r="C18" s="27">
        <v>2.200099516E9</v>
      </c>
      <c r="D18" s="27">
        <v>10.0</v>
      </c>
      <c r="E18" s="28" t="s">
        <v>148</v>
      </c>
      <c r="F18" s="28" t="s">
        <v>291</v>
      </c>
      <c r="G18" s="28" t="s">
        <v>292</v>
      </c>
      <c r="H18" s="28" t="s">
        <v>293</v>
      </c>
      <c r="I18" s="27" t="s">
        <v>170</v>
      </c>
      <c r="J18" s="27" t="s">
        <v>294</v>
      </c>
      <c r="K18" s="29" t="s">
        <v>235</v>
      </c>
      <c r="L18" s="5">
        <f>Value(left(vlookup(Z18,dayspo,7,0),1))</f>
        <v>1</v>
      </c>
      <c r="M18" s="28">
        <f>roundup(Y18*'Days Sesion'!$S$2,0)</f>
        <v>1</v>
      </c>
      <c r="N18" s="28">
        <f>roundup(Y18*'Days Sesion'!$S$3,0)</f>
        <v>1</v>
      </c>
      <c r="O18" s="28">
        <f>roundup(Y18*'Days Sesion'!$S$5,0)</f>
        <v>4</v>
      </c>
      <c r="P18" s="28">
        <f>Value(left(vlookup(Z18,dayspo,7,0),1))</f>
        <v>1</v>
      </c>
      <c r="Q18" s="28">
        <f>value(left(vlookup(Z18,dayspo,8,0),1))</f>
        <v>1</v>
      </c>
      <c r="R18" s="28">
        <f>roundup(Y18*'Days Sesion'!$S$8,0)</f>
        <v>2</v>
      </c>
      <c r="S18" s="28">
        <f>(value(left(vlookup(Z18,dayspo,19,0),1)))</f>
        <v>2</v>
      </c>
      <c r="T18" s="29">
        <f t="shared" si="1"/>
        <v>13</v>
      </c>
      <c r="U18" s="35">
        <f t="shared" si="2"/>
        <v>-3</v>
      </c>
      <c r="V18" s="29" t="s">
        <v>254</v>
      </c>
      <c r="W18" s="28" t="s">
        <v>295</v>
      </c>
      <c r="X18" s="28" t="s">
        <v>296</v>
      </c>
      <c r="Y18" s="27">
        <f t="shared" si="3"/>
        <v>35</v>
      </c>
      <c r="Z18" s="27">
        <v>4.100004817E9</v>
      </c>
      <c r="AA18" s="28" t="s">
        <v>174</v>
      </c>
      <c r="AB18" s="31"/>
      <c r="AC18" s="28" t="s">
        <v>158</v>
      </c>
      <c r="AD18" s="28" t="s">
        <v>175</v>
      </c>
      <c r="AE18" s="28" t="s">
        <v>297</v>
      </c>
      <c r="AF18" s="27">
        <f t="shared" si="4"/>
        <v>16</v>
      </c>
      <c r="AG18" s="27">
        <v>1.0</v>
      </c>
      <c r="AH18" s="28" t="s">
        <v>298</v>
      </c>
      <c r="AI18" s="28" t="s">
        <v>299</v>
      </c>
      <c r="AJ18" s="28" t="s">
        <v>299</v>
      </c>
      <c r="AK18" s="28" t="s">
        <v>300</v>
      </c>
      <c r="AL18" s="28" t="s">
        <v>301</v>
      </c>
      <c r="AM18" s="27">
        <v>1.0</v>
      </c>
    </row>
    <row r="19">
      <c r="A19" s="27">
        <v>2166575.0</v>
      </c>
      <c r="B19" s="28" t="s">
        <v>147</v>
      </c>
      <c r="C19" s="27">
        <v>2.200099686E9</v>
      </c>
      <c r="D19" s="27">
        <v>10.0</v>
      </c>
      <c r="E19" s="28" t="s">
        <v>148</v>
      </c>
      <c r="F19" s="28" t="s">
        <v>199</v>
      </c>
      <c r="G19" s="28" t="s">
        <v>302</v>
      </c>
      <c r="H19" s="28" t="s">
        <v>201</v>
      </c>
      <c r="I19" s="27" t="s">
        <v>235</v>
      </c>
      <c r="J19" s="27" t="s">
        <v>235</v>
      </c>
      <c r="K19" s="32">
        <v>45691.0</v>
      </c>
      <c r="L19" s="5">
        <f>Value(left(vlookup(Z19,dayspo,7,0),1))</f>
        <v>0</v>
      </c>
      <c r="M19" s="28">
        <f>roundup(Y19*'Days Sesion'!$S$2,0)</f>
        <v>1</v>
      </c>
      <c r="N19" s="28">
        <f>roundup(Y19*'Days Sesion'!$S$3,0)</f>
        <v>1</v>
      </c>
      <c r="O19" s="28">
        <f>roundup(Y19*'Days Sesion'!$S$5,0)</f>
        <v>1</v>
      </c>
      <c r="P19" s="28">
        <f>Value(left(vlookup(Z19,dayspo,7,0),1))</f>
        <v>0</v>
      </c>
      <c r="Q19" s="28">
        <f>value(left(vlookup(Z19,dayspo,8,0),1))</f>
        <v>3</v>
      </c>
      <c r="R19" s="28">
        <f>roundup(Y19*'Days Sesion'!$S$8,0)</f>
        <v>1</v>
      </c>
      <c r="S19" s="28">
        <f>(value(left(vlookup(Z19,dayspo,19,0),1)))</f>
        <v>3</v>
      </c>
      <c r="T19" s="29">
        <f t="shared" si="1"/>
        <v>10</v>
      </c>
      <c r="U19" s="29">
        <f t="shared" si="2"/>
        <v>4</v>
      </c>
      <c r="V19" s="32">
        <v>45700.0</v>
      </c>
      <c r="W19" s="28" t="s">
        <v>184</v>
      </c>
      <c r="X19" s="28" t="s">
        <v>194</v>
      </c>
      <c r="Y19" s="27">
        <f t="shared" si="3"/>
        <v>7</v>
      </c>
      <c r="Z19" s="27">
        <v>5.100134541E9</v>
      </c>
      <c r="AA19" s="28" t="s">
        <v>174</v>
      </c>
      <c r="AB19" s="31"/>
      <c r="AC19" s="28" t="s">
        <v>158</v>
      </c>
      <c r="AD19" s="28" t="s">
        <v>175</v>
      </c>
      <c r="AE19" s="28" t="s">
        <v>186</v>
      </c>
      <c r="AF19" s="27">
        <f t="shared" si="4"/>
        <v>6</v>
      </c>
      <c r="AG19" s="27">
        <v>1.0</v>
      </c>
      <c r="AH19" s="28" t="s">
        <v>303</v>
      </c>
      <c r="AI19" s="28" t="s">
        <v>304</v>
      </c>
      <c r="AJ19" s="28" t="s">
        <v>304</v>
      </c>
      <c r="AK19" s="28" t="s">
        <v>305</v>
      </c>
      <c r="AL19" s="28" t="s">
        <v>265</v>
      </c>
      <c r="AM19" s="27">
        <v>1.0</v>
      </c>
    </row>
    <row r="20">
      <c r="A20" s="27">
        <v>2166575.0</v>
      </c>
      <c r="B20" s="28" t="s">
        <v>147</v>
      </c>
      <c r="C20" s="27">
        <v>2.200099771E9</v>
      </c>
      <c r="D20" s="27">
        <v>10.0</v>
      </c>
      <c r="E20" s="28" t="s">
        <v>148</v>
      </c>
      <c r="F20" s="28" t="s">
        <v>306</v>
      </c>
      <c r="G20" s="28" t="s">
        <v>307</v>
      </c>
      <c r="H20" s="28" t="s">
        <v>308</v>
      </c>
      <c r="I20" s="27" t="s">
        <v>309</v>
      </c>
      <c r="J20" s="27" t="s">
        <v>309</v>
      </c>
      <c r="K20" s="32">
        <v>45693.0</v>
      </c>
      <c r="L20" s="5">
        <f>Value(left(vlookup(Z20,dayspo,7,0),1))</f>
        <v>0</v>
      </c>
      <c r="M20" s="28">
        <f>roundup(Y20*'Days Sesion'!$S$2,0)</f>
        <v>1</v>
      </c>
      <c r="N20" s="28">
        <f>roundup(Y20*'Days Sesion'!$S$3,0)</f>
        <v>1</v>
      </c>
      <c r="O20" s="28">
        <f>roundup(Y20*'Days Sesion'!$S$5,0)</f>
        <v>1</v>
      </c>
      <c r="P20" s="28">
        <f>Value(left(vlookup(Z20,dayspo,7,0),1))</f>
        <v>0</v>
      </c>
      <c r="Q20" s="28">
        <f>value(left(vlookup(Z20,dayspo,8,0),1))</f>
        <v>4</v>
      </c>
      <c r="R20" s="28">
        <f>roundup(Y20*'Days Sesion'!$S$8,0)</f>
        <v>1</v>
      </c>
      <c r="S20" s="28">
        <f>(value(left(vlookup(Z20,dayspo,19,0),1)))</f>
        <v>1</v>
      </c>
      <c r="T20" s="29">
        <f t="shared" si="1"/>
        <v>9</v>
      </c>
      <c r="U20" s="29">
        <f t="shared" si="2"/>
        <v>4</v>
      </c>
      <c r="V20" s="29" t="s">
        <v>154</v>
      </c>
      <c r="W20" s="28" t="s">
        <v>184</v>
      </c>
      <c r="X20" s="28" t="s">
        <v>186</v>
      </c>
      <c r="Y20" s="27">
        <f t="shared" si="3"/>
        <v>6</v>
      </c>
      <c r="Z20" s="27">
        <v>5.100134577E9</v>
      </c>
      <c r="AA20" s="28" t="s">
        <v>174</v>
      </c>
      <c r="AB20" s="31"/>
      <c r="AC20" s="28" t="s">
        <v>158</v>
      </c>
      <c r="AD20" s="28" t="s">
        <v>175</v>
      </c>
      <c r="AE20" s="28" t="s">
        <v>248</v>
      </c>
      <c r="AF20" s="27">
        <f t="shared" si="4"/>
        <v>5</v>
      </c>
      <c r="AG20" s="27">
        <v>1.0</v>
      </c>
      <c r="AH20" s="28" t="s">
        <v>310</v>
      </c>
      <c r="AI20" s="28" t="s">
        <v>311</v>
      </c>
      <c r="AJ20" s="28" t="s">
        <v>311</v>
      </c>
      <c r="AK20" s="28" t="s">
        <v>312</v>
      </c>
      <c r="AL20" s="28" t="s">
        <v>313</v>
      </c>
      <c r="AM20" s="27">
        <v>1.0</v>
      </c>
    </row>
    <row r="21">
      <c r="A21" s="27">
        <v>2166575.0</v>
      </c>
      <c r="B21" s="28" t="s">
        <v>147</v>
      </c>
      <c r="C21" s="27">
        <v>2.200099425E9</v>
      </c>
      <c r="D21" s="27">
        <v>10.0</v>
      </c>
      <c r="E21" s="28" t="s">
        <v>148</v>
      </c>
      <c r="F21" s="28" t="s">
        <v>314</v>
      </c>
      <c r="G21" s="28" t="s">
        <v>315</v>
      </c>
      <c r="H21" s="28" t="s">
        <v>316</v>
      </c>
      <c r="I21" s="27" t="s">
        <v>193</v>
      </c>
      <c r="J21" s="33">
        <v>45718.0</v>
      </c>
      <c r="K21" s="32">
        <v>45695.0</v>
      </c>
      <c r="L21" s="5">
        <f>Value(left(vlookup(Z21,dayspo,7,0),1))</f>
        <v>0</v>
      </c>
      <c r="M21" s="28">
        <f>roundup(Y21*'Days Sesion'!$S$2,0)</f>
        <v>1</v>
      </c>
      <c r="N21" s="28">
        <f>roundup(Y21*'Days Sesion'!$S$3,0)</f>
        <v>1</v>
      </c>
      <c r="O21" s="28">
        <f>roundup(Y21*'Days Sesion'!$S$5,0)</f>
        <v>2</v>
      </c>
      <c r="P21" s="28">
        <f>Value(left(vlookup(Z21,dayspo,7,0),1))</f>
        <v>0</v>
      </c>
      <c r="Q21" s="28">
        <f>value(left(vlookup(Z21,dayspo,8,0),1))</f>
        <v>5</v>
      </c>
      <c r="R21" s="28">
        <f>roundup(Y21*'Days Sesion'!$S$8,0)</f>
        <v>1</v>
      </c>
      <c r="S21" s="28">
        <f>(value(left(vlookup(Z21,dayspo,19,0),1)))</f>
        <v>7</v>
      </c>
      <c r="T21" s="29">
        <f t="shared" si="1"/>
        <v>17</v>
      </c>
      <c r="U21" s="29">
        <f t="shared" si="2"/>
        <v>5</v>
      </c>
      <c r="V21" s="32">
        <v>45719.0</v>
      </c>
      <c r="W21" s="28" t="s">
        <v>317</v>
      </c>
      <c r="X21" s="28" t="s">
        <v>297</v>
      </c>
      <c r="Y21" s="27">
        <f t="shared" si="3"/>
        <v>16</v>
      </c>
      <c r="Z21" s="27">
        <v>5.1001353E9</v>
      </c>
      <c r="AA21" s="28" t="s">
        <v>157</v>
      </c>
      <c r="AB21" s="31"/>
      <c r="AC21" s="28" t="s">
        <v>158</v>
      </c>
      <c r="AD21" s="28" t="s">
        <v>159</v>
      </c>
      <c r="AE21" s="28" t="s">
        <v>318</v>
      </c>
      <c r="AF21" s="27">
        <f t="shared" si="4"/>
        <v>12</v>
      </c>
      <c r="AG21" s="27">
        <v>1.0</v>
      </c>
      <c r="AH21" s="28" t="s">
        <v>319</v>
      </c>
      <c r="AI21" s="28" t="s">
        <v>320</v>
      </c>
      <c r="AJ21" s="28" t="s">
        <v>321</v>
      </c>
      <c r="AK21" s="28" t="s">
        <v>322</v>
      </c>
      <c r="AL21" s="28" t="s">
        <v>323</v>
      </c>
      <c r="AM21" s="27">
        <v>1.0</v>
      </c>
    </row>
    <row r="22">
      <c r="A22" s="27">
        <v>2166575.0</v>
      </c>
      <c r="B22" s="28" t="s">
        <v>147</v>
      </c>
      <c r="C22" s="27">
        <v>2.200099511E9</v>
      </c>
      <c r="D22" s="27">
        <v>10.0</v>
      </c>
      <c r="E22" s="28" t="s">
        <v>148</v>
      </c>
      <c r="F22" s="28" t="s">
        <v>149</v>
      </c>
      <c r="G22" s="28" t="s">
        <v>324</v>
      </c>
      <c r="H22" s="28" t="s">
        <v>151</v>
      </c>
      <c r="I22" s="27" t="s">
        <v>261</v>
      </c>
      <c r="J22" s="33">
        <v>45779.0</v>
      </c>
      <c r="K22" s="32">
        <v>45700.0</v>
      </c>
      <c r="L22" s="5">
        <f>Value(left(vlookup(Z22,dayspo,7,0),1))</f>
        <v>0</v>
      </c>
      <c r="M22" s="28">
        <f>roundup(Y22*'Days Sesion'!$S$2,0)</f>
        <v>1</v>
      </c>
      <c r="N22" s="28">
        <f>roundup(Y22*'Days Sesion'!$S$3,0)</f>
        <v>1</v>
      </c>
      <c r="O22" s="28">
        <f>roundup(Y22*'Days Sesion'!$S$5,0)</f>
        <v>2</v>
      </c>
      <c r="P22" s="28">
        <f>Value(left(vlookup(Z22,dayspo,7,0),1))</f>
        <v>0</v>
      </c>
      <c r="Q22" s="28">
        <f>value(left(vlookup(Z22,dayspo,8,0),1))</f>
        <v>5</v>
      </c>
      <c r="R22" s="28">
        <f>roundup(Y22*'Days Sesion'!$S$8,0)</f>
        <v>1</v>
      </c>
      <c r="S22" s="28">
        <f>(value(left(vlookup(Z22,dayspo,19,0),1)))</f>
        <v>5</v>
      </c>
      <c r="T22" s="29">
        <f t="shared" si="1"/>
        <v>15</v>
      </c>
      <c r="U22" s="29">
        <f t="shared" si="2"/>
        <v>5</v>
      </c>
      <c r="V22" s="32">
        <v>45719.0</v>
      </c>
      <c r="W22" s="28" t="s">
        <v>155</v>
      </c>
      <c r="X22" s="28" t="s">
        <v>156</v>
      </c>
      <c r="Y22" s="27">
        <f t="shared" si="3"/>
        <v>13</v>
      </c>
      <c r="Z22" s="27">
        <v>5.100135296E9</v>
      </c>
      <c r="AA22" s="28" t="s">
        <v>157</v>
      </c>
      <c r="AB22" s="31"/>
      <c r="AC22" s="28" t="s">
        <v>158</v>
      </c>
      <c r="AD22" s="28" t="s">
        <v>159</v>
      </c>
      <c r="AE22" s="28" t="s">
        <v>185</v>
      </c>
      <c r="AF22" s="27">
        <f t="shared" si="4"/>
        <v>10</v>
      </c>
      <c r="AG22" s="27">
        <v>1.0</v>
      </c>
      <c r="AH22" s="28" t="s">
        <v>325</v>
      </c>
      <c r="AI22" s="28" t="s">
        <v>326</v>
      </c>
      <c r="AJ22" s="28" t="s">
        <v>327</v>
      </c>
      <c r="AK22" s="28" t="s">
        <v>328</v>
      </c>
      <c r="AL22" s="28" t="s">
        <v>329</v>
      </c>
      <c r="AM22" s="27">
        <v>1.0</v>
      </c>
    </row>
    <row r="23">
      <c r="A23" s="27">
        <v>2166575.0</v>
      </c>
      <c r="B23" s="28" t="s">
        <v>147</v>
      </c>
      <c r="C23" s="27">
        <v>2.200099967E9</v>
      </c>
      <c r="D23" s="27">
        <v>10.0</v>
      </c>
      <c r="E23" s="28" t="s">
        <v>148</v>
      </c>
      <c r="F23" s="28" t="s">
        <v>330</v>
      </c>
      <c r="G23" s="28" t="s">
        <v>331</v>
      </c>
      <c r="H23" s="28" t="s">
        <v>332</v>
      </c>
      <c r="I23" s="33">
        <v>45840.0</v>
      </c>
      <c r="J23" s="33">
        <v>45840.0</v>
      </c>
      <c r="K23" s="29" t="s">
        <v>333</v>
      </c>
      <c r="L23" s="5">
        <f>Value(left(vlookup(Z23,dayspo,7,0),1))</f>
        <v>2</v>
      </c>
      <c r="M23" s="28">
        <f>roundup(Y23*'Days Sesion'!$S$2,0)</f>
        <v>1</v>
      </c>
      <c r="N23" s="28">
        <f>roundup(Y23*'Days Sesion'!$S$3,0)</f>
        <v>1</v>
      </c>
      <c r="O23" s="28">
        <f>roundup(Y23*'Days Sesion'!$S$5,0)</f>
        <v>1</v>
      </c>
      <c r="P23" s="28">
        <f>Value(left(vlookup(Z23,dayspo,7,0),1))</f>
        <v>2</v>
      </c>
      <c r="Q23" s="28">
        <f>value(left(vlookup(Z23,dayspo,8,0),1))</f>
        <v>4</v>
      </c>
      <c r="R23" s="28">
        <f>roundup(Y23*'Days Sesion'!$S$8,0)</f>
        <v>1</v>
      </c>
      <c r="S23" s="28">
        <f>(value(left(vlookup(Z23,dayspo,19,0),1)))</f>
        <v>1</v>
      </c>
      <c r="T23" s="29">
        <f t="shared" si="1"/>
        <v>13</v>
      </c>
      <c r="U23" s="29">
        <f t="shared" si="2"/>
        <v>6</v>
      </c>
      <c r="V23" s="29" t="s">
        <v>334</v>
      </c>
      <c r="W23" s="28" t="s">
        <v>335</v>
      </c>
      <c r="X23" s="28" t="s">
        <v>194</v>
      </c>
      <c r="Y23" s="27">
        <f t="shared" si="3"/>
        <v>7</v>
      </c>
      <c r="Z23" s="27">
        <v>5.100135373E9</v>
      </c>
      <c r="AA23" s="28" t="s">
        <v>174</v>
      </c>
      <c r="AB23" s="31"/>
      <c r="AC23" s="28" t="s">
        <v>158</v>
      </c>
      <c r="AD23" s="28" t="s">
        <v>175</v>
      </c>
      <c r="AE23" s="28" t="s">
        <v>194</v>
      </c>
      <c r="AF23" s="27">
        <f t="shared" si="4"/>
        <v>7</v>
      </c>
      <c r="AG23" s="27">
        <v>1.0</v>
      </c>
      <c r="AH23" s="28" t="s">
        <v>336</v>
      </c>
      <c r="AI23" s="28" t="s">
        <v>337</v>
      </c>
      <c r="AJ23" s="28" t="s">
        <v>337</v>
      </c>
      <c r="AK23" s="28" t="s">
        <v>338</v>
      </c>
      <c r="AL23" s="28" t="s">
        <v>339</v>
      </c>
      <c r="AM23" s="27">
        <v>1.0</v>
      </c>
    </row>
    <row r="24">
      <c r="A24" s="27">
        <v>2166575.0</v>
      </c>
      <c r="B24" s="28" t="s">
        <v>147</v>
      </c>
      <c r="C24" s="27">
        <v>2.200100292E9</v>
      </c>
      <c r="D24" s="27">
        <v>10.0</v>
      </c>
      <c r="E24" s="28" t="s">
        <v>148</v>
      </c>
      <c r="F24" s="28" t="s">
        <v>243</v>
      </c>
      <c r="G24" s="28" t="s">
        <v>340</v>
      </c>
      <c r="H24" s="28" t="s">
        <v>201</v>
      </c>
      <c r="I24" s="27" t="s">
        <v>341</v>
      </c>
      <c r="J24" s="27" t="s">
        <v>342</v>
      </c>
      <c r="K24" s="29" t="s">
        <v>343</v>
      </c>
      <c r="L24" s="5">
        <f>Value(left(vlookup(Z24,dayspo,7,0),1))</f>
        <v>1</v>
      </c>
      <c r="M24" s="28">
        <f>roundup(Y24*'Days Sesion'!$S$2,0)</f>
        <v>1</v>
      </c>
      <c r="N24" s="28">
        <f>roundup(Y24*'Days Sesion'!$S$3,0)</f>
        <v>1</v>
      </c>
      <c r="O24" s="28">
        <f>roundup(Y24*'Days Sesion'!$S$5,0)</f>
        <v>1</v>
      </c>
      <c r="P24" s="28">
        <f>Value(left(vlookup(Z24,dayspo,7,0),1))</f>
        <v>1</v>
      </c>
      <c r="Q24" s="28">
        <f>value(left(vlookup(Z24,dayspo,8,0),1))</f>
        <v>4</v>
      </c>
      <c r="R24" s="28">
        <f>roundup(Y24*'Days Sesion'!$S$8,0)</f>
        <v>1</v>
      </c>
      <c r="S24" s="28">
        <f>(value(left(vlookup(Z24,dayspo,19,0),1)))</f>
        <v>2</v>
      </c>
      <c r="T24" s="29">
        <f t="shared" si="1"/>
        <v>12</v>
      </c>
      <c r="U24" s="29">
        <f t="shared" si="2"/>
        <v>5</v>
      </c>
      <c r="V24" s="32">
        <v>45720.0</v>
      </c>
      <c r="W24" s="28" t="s">
        <v>184</v>
      </c>
      <c r="X24" s="28" t="s">
        <v>176</v>
      </c>
      <c r="Y24" s="27">
        <f t="shared" si="3"/>
        <v>8</v>
      </c>
      <c r="Z24" s="27">
        <v>5.100135548E9</v>
      </c>
      <c r="AA24" s="28" t="s">
        <v>174</v>
      </c>
      <c r="AB24" s="31"/>
      <c r="AC24" s="28" t="s">
        <v>158</v>
      </c>
      <c r="AD24" s="28" t="s">
        <v>175</v>
      </c>
      <c r="AE24" s="28" t="s">
        <v>194</v>
      </c>
      <c r="AF24" s="27">
        <f t="shared" si="4"/>
        <v>7</v>
      </c>
      <c r="AG24" s="27">
        <v>1.0</v>
      </c>
      <c r="AH24" s="28" t="s">
        <v>344</v>
      </c>
      <c r="AI24" s="28" t="s">
        <v>345</v>
      </c>
      <c r="AJ24" s="28" t="s">
        <v>345</v>
      </c>
      <c r="AK24" s="28" t="s">
        <v>346</v>
      </c>
      <c r="AL24" s="28" t="s">
        <v>347</v>
      </c>
      <c r="AM24" s="27">
        <v>1.0</v>
      </c>
    </row>
    <row r="25">
      <c r="A25" s="27">
        <v>2166575.0</v>
      </c>
      <c r="B25" s="28" t="s">
        <v>147</v>
      </c>
      <c r="C25" s="27">
        <v>2.200100293E9</v>
      </c>
      <c r="D25" s="27">
        <v>10.0</v>
      </c>
      <c r="E25" s="28" t="s">
        <v>148</v>
      </c>
      <c r="F25" s="28" t="s">
        <v>209</v>
      </c>
      <c r="G25" s="28" t="s">
        <v>348</v>
      </c>
      <c r="H25" s="28" t="s">
        <v>168</v>
      </c>
      <c r="I25" s="27" t="s">
        <v>341</v>
      </c>
      <c r="J25" s="27" t="s">
        <v>222</v>
      </c>
      <c r="K25" s="29" t="s">
        <v>333</v>
      </c>
      <c r="L25" s="5">
        <f>Value(left(vlookup(Z25,dayspo,7,0),1))</f>
        <v>3</v>
      </c>
      <c r="M25" s="28">
        <f>roundup(Y25*'Days Sesion'!$S$2,0)</f>
        <v>1</v>
      </c>
      <c r="N25" s="28">
        <f>roundup(Y25*'Days Sesion'!$S$3,0)</f>
        <v>1</v>
      </c>
      <c r="O25" s="28">
        <f>roundup(Y25*'Days Sesion'!$S$5,0)</f>
        <v>2</v>
      </c>
      <c r="P25" s="28">
        <f>Value(left(vlookup(Z25,dayspo,7,0),1))</f>
        <v>3</v>
      </c>
      <c r="Q25" s="28">
        <f>value(left(vlookup(Z25,dayspo,8,0),1))</f>
        <v>8</v>
      </c>
      <c r="R25" s="28">
        <f>roundup(Y25*'Days Sesion'!$S$8,0)</f>
        <v>1</v>
      </c>
      <c r="S25" s="28">
        <f>(value(left(vlookup(Z25,dayspo,19,0),1)))</f>
        <v>1</v>
      </c>
      <c r="T25" s="29">
        <f t="shared" si="1"/>
        <v>20</v>
      </c>
      <c r="U25" s="29">
        <f t="shared" si="2"/>
        <v>8</v>
      </c>
      <c r="V25" s="32">
        <v>45723.0</v>
      </c>
      <c r="W25" s="28" t="s">
        <v>184</v>
      </c>
      <c r="X25" s="28" t="s">
        <v>156</v>
      </c>
      <c r="Y25" s="27">
        <f t="shared" si="3"/>
        <v>13</v>
      </c>
      <c r="Z25" s="27">
        <v>5.100135702E9</v>
      </c>
      <c r="AA25" s="28" t="s">
        <v>174</v>
      </c>
      <c r="AB25" s="31"/>
      <c r="AC25" s="28" t="s">
        <v>158</v>
      </c>
      <c r="AD25" s="28" t="s">
        <v>175</v>
      </c>
      <c r="AE25" s="28" t="s">
        <v>318</v>
      </c>
      <c r="AF25" s="27">
        <f t="shared" si="4"/>
        <v>12</v>
      </c>
      <c r="AG25" s="27">
        <v>1.0</v>
      </c>
      <c r="AH25" s="28" t="s">
        <v>349</v>
      </c>
      <c r="AI25" s="28" t="s">
        <v>350</v>
      </c>
      <c r="AJ25" s="28" t="s">
        <v>350</v>
      </c>
      <c r="AK25" s="28" t="s">
        <v>351</v>
      </c>
      <c r="AL25" s="28" t="s">
        <v>352</v>
      </c>
      <c r="AM25" s="27">
        <v>1.0</v>
      </c>
    </row>
    <row r="26">
      <c r="A26" s="27">
        <v>2166575.0</v>
      </c>
      <c r="B26" s="28" t="s">
        <v>147</v>
      </c>
      <c r="C26" s="27">
        <v>2.200100274E9</v>
      </c>
      <c r="D26" s="27">
        <v>10.0</v>
      </c>
      <c r="E26" s="28" t="s">
        <v>148</v>
      </c>
      <c r="F26" s="28" t="s">
        <v>330</v>
      </c>
      <c r="G26" s="28" t="s">
        <v>353</v>
      </c>
      <c r="H26" s="28" t="s">
        <v>332</v>
      </c>
      <c r="I26" s="27" t="s">
        <v>354</v>
      </c>
      <c r="J26" s="27" t="s">
        <v>355</v>
      </c>
      <c r="K26" s="29" t="s">
        <v>356</v>
      </c>
      <c r="L26" s="5">
        <f>Value(left(vlookup(Z26,dayspo,7,0),1))</f>
        <v>0</v>
      </c>
      <c r="M26" s="28">
        <f>roundup(Y26*'Days Sesion'!$S$2,0)</f>
        <v>1</v>
      </c>
      <c r="N26" s="28">
        <f>roundup(Y26*'Days Sesion'!$S$3,0)</f>
        <v>1</v>
      </c>
      <c r="O26" s="28">
        <f>roundup(Y26*'Days Sesion'!$S$5,0)</f>
        <v>2</v>
      </c>
      <c r="P26" s="28">
        <f>Value(left(vlookup(Z26,dayspo,7,0),1))</f>
        <v>0</v>
      </c>
      <c r="Q26" s="28">
        <f>value(left(vlookup(Z26,dayspo,8,0),1))</f>
        <v>2</v>
      </c>
      <c r="R26" s="28">
        <f>roundup(Y26*'Days Sesion'!$S$8,0)</f>
        <v>1</v>
      </c>
      <c r="S26" s="28">
        <f>(value(left(vlookup(Z26,dayspo,19,0),1)))</f>
        <v>3</v>
      </c>
      <c r="T26" s="29">
        <f t="shared" si="1"/>
        <v>10</v>
      </c>
      <c r="U26" s="29">
        <f t="shared" si="2"/>
        <v>5</v>
      </c>
      <c r="V26" s="29" t="s">
        <v>357</v>
      </c>
      <c r="W26" s="28" t="s">
        <v>358</v>
      </c>
      <c r="X26" s="28" t="s">
        <v>159</v>
      </c>
      <c r="Y26" s="27">
        <f t="shared" si="3"/>
        <v>15</v>
      </c>
      <c r="Z26" s="27">
        <v>5.100138434E9</v>
      </c>
      <c r="AA26" s="28" t="s">
        <v>174</v>
      </c>
      <c r="AB26" s="31"/>
      <c r="AC26" s="28" t="s">
        <v>158</v>
      </c>
      <c r="AD26" s="28" t="s">
        <v>175</v>
      </c>
      <c r="AE26" s="28" t="s">
        <v>248</v>
      </c>
      <c r="AF26" s="27">
        <f t="shared" si="4"/>
        <v>5</v>
      </c>
      <c r="AG26" s="27">
        <v>1.0</v>
      </c>
      <c r="AH26" s="28" t="s">
        <v>359</v>
      </c>
      <c r="AI26" s="28" t="s">
        <v>360</v>
      </c>
      <c r="AJ26" s="28" t="s">
        <v>361</v>
      </c>
      <c r="AK26" s="28" t="s">
        <v>362</v>
      </c>
      <c r="AL26" s="28" t="s">
        <v>363</v>
      </c>
      <c r="AM26" s="27">
        <v>1.0</v>
      </c>
    </row>
    <row r="27">
      <c r="A27" s="27">
        <v>2166575.0</v>
      </c>
      <c r="B27" s="28" t="s">
        <v>147</v>
      </c>
      <c r="C27" s="27">
        <v>2.200100274E9</v>
      </c>
      <c r="D27" s="27">
        <v>30.0</v>
      </c>
      <c r="E27" s="28" t="s">
        <v>148</v>
      </c>
      <c r="F27" s="28" t="s">
        <v>330</v>
      </c>
      <c r="G27" s="28" t="s">
        <v>364</v>
      </c>
      <c r="H27" s="28" t="s">
        <v>332</v>
      </c>
      <c r="I27" s="27" t="s">
        <v>354</v>
      </c>
      <c r="J27" s="27" t="s">
        <v>355</v>
      </c>
      <c r="K27" s="32">
        <v>45816.0</v>
      </c>
      <c r="L27" s="5">
        <f>Value(left(vlookup(Z27,dayspo,7,0),1))</f>
        <v>2</v>
      </c>
      <c r="M27" s="28">
        <f>roundup(Y27*'Days Sesion'!$S$2,0)</f>
        <v>1</v>
      </c>
      <c r="N27" s="28">
        <f>roundup(Y27*'Days Sesion'!$S$3,0)</f>
        <v>1</v>
      </c>
      <c r="O27" s="28">
        <f>roundup(Y27*'Days Sesion'!$S$5,0)</f>
        <v>3</v>
      </c>
      <c r="P27" s="28">
        <f>Value(left(vlookup(Z27,dayspo,7,0),1))</f>
        <v>2</v>
      </c>
      <c r="Q27" s="28">
        <f>value(left(vlookup(Z27,dayspo,8,0),1))</f>
        <v>5</v>
      </c>
      <c r="R27" s="28">
        <f>roundup(Y27*'Days Sesion'!$S$8,0)</f>
        <v>2</v>
      </c>
      <c r="S27" s="28">
        <f>(value(left(vlookup(Z27,dayspo,19,0),1)))</f>
        <v>1</v>
      </c>
      <c r="T27" s="29">
        <f t="shared" si="1"/>
        <v>17</v>
      </c>
      <c r="U27" s="29">
        <f t="shared" si="2"/>
        <v>9</v>
      </c>
      <c r="V27" s="29" t="s">
        <v>365</v>
      </c>
      <c r="W27" s="28" t="s">
        <v>358</v>
      </c>
      <c r="X27" s="28" t="s">
        <v>366</v>
      </c>
      <c r="Y27" s="27">
        <f t="shared" si="3"/>
        <v>32</v>
      </c>
      <c r="Z27" s="27">
        <v>5.10014132E9</v>
      </c>
      <c r="AA27" s="28" t="s">
        <v>174</v>
      </c>
      <c r="AB27" s="31"/>
      <c r="AC27" s="28" t="s">
        <v>158</v>
      </c>
      <c r="AD27" s="28" t="s">
        <v>175</v>
      </c>
      <c r="AE27" s="28" t="s">
        <v>176</v>
      </c>
      <c r="AF27" s="27">
        <f t="shared" si="4"/>
        <v>8</v>
      </c>
      <c r="AG27" s="27">
        <v>1.0</v>
      </c>
      <c r="AH27" s="28" t="s">
        <v>367</v>
      </c>
      <c r="AI27" s="28" t="s">
        <v>368</v>
      </c>
      <c r="AJ27" s="28" t="s">
        <v>369</v>
      </c>
      <c r="AK27" s="28" t="s">
        <v>370</v>
      </c>
      <c r="AL27" s="28" t="s">
        <v>371</v>
      </c>
      <c r="AM27" s="27">
        <v>1.0</v>
      </c>
    </row>
    <row r="28">
      <c r="A28" s="27">
        <v>2166575.0</v>
      </c>
      <c r="B28" s="28" t="s">
        <v>147</v>
      </c>
      <c r="C28" s="27">
        <v>2.200100349E9</v>
      </c>
      <c r="D28" s="27">
        <v>10.0</v>
      </c>
      <c r="E28" s="28" t="s">
        <v>148</v>
      </c>
      <c r="F28" s="28" t="s">
        <v>372</v>
      </c>
      <c r="G28" s="28" t="s">
        <v>373</v>
      </c>
      <c r="H28" s="28" t="s">
        <v>308</v>
      </c>
      <c r="I28" s="27" t="s">
        <v>333</v>
      </c>
      <c r="J28" s="27" t="s">
        <v>333</v>
      </c>
      <c r="K28" s="29" t="s">
        <v>246</v>
      </c>
      <c r="L28" s="5">
        <f>Value(left(vlookup(Z28,dayspo,7,0),1))</f>
        <v>2</v>
      </c>
      <c r="M28" s="28">
        <f>roundup(Y28*'Days Sesion'!$S$2,0)</f>
        <v>1</v>
      </c>
      <c r="N28" s="28">
        <f>roundup(Y28*'Days Sesion'!$S$3,0)</f>
        <v>1</v>
      </c>
      <c r="O28" s="28">
        <f>roundup(Y28*'Days Sesion'!$S$5,0)</f>
        <v>1</v>
      </c>
      <c r="P28" s="28">
        <f>Value(left(vlookup(Z28,dayspo,7,0),1))</f>
        <v>2</v>
      </c>
      <c r="Q28" s="28">
        <f>value(left(vlookup(Z28,dayspo,8,0),1))</f>
        <v>5</v>
      </c>
      <c r="R28" s="28">
        <f>roundup(Y28*'Days Sesion'!$S$8,0)</f>
        <v>1</v>
      </c>
      <c r="S28" s="28">
        <f>(value(left(vlookup(Z28,dayspo,19,0),1)))</f>
        <v>2</v>
      </c>
      <c r="T28" s="29">
        <f t="shared" si="1"/>
        <v>15</v>
      </c>
      <c r="U28" s="29">
        <f t="shared" si="2"/>
        <v>6</v>
      </c>
      <c r="V28" s="32">
        <v>45723.0</v>
      </c>
      <c r="W28" s="28" t="s">
        <v>184</v>
      </c>
      <c r="X28" s="28" t="s">
        <v>185</v>
      </c>
      <c r="Y28" s="27">
        <f t="shared" si="3"/>
        <v>10</v>
      </c>
      <c r="Z28" s="27">
        <v>5.100135641E9</v>
      </c>
      <c r="AA28" s="28" t="s">
        <v>174</v>
      </c>
      <c r="AB28" s="31"/>
      <c r="AC28" s="28" t="s">
        <v>158</v>
      </c>
      <c r="AD28" s="28" t="s">
        <v>175</v>
      </c>
      <c r="AE28" s="28" t="s">
        <v>173</v>
      </c>
      <c r="AF28" s="27">
        <f t="shared" si="4"/>
        <v>9</v>
      </c>
      <c r="AG28" s="27">
        <v>1.0</v>
      </c>
      <c r="AH28" s="28" t="s">
        <v>374</v>
      </c>
      <c r="AI28" s="28" t="s">
        <v>375</v>
      </c>
      <c r="AJ28" s="28" t="s">
        <v>376</v>
      </c>
      <c r="AK28" s="28" t="s">
        <v>377</v>
      </c>
      <c r="AL28" s="28" t="s">
        <v>378</v>
      </c>
      <c r="AM28" s="27">
        <v>1.0</v>
      </c>
    </row>
    <row r="29">
      <c r="A29" s="27">
        <v>2166575.0</v>
      </c>
      <c r="B29" s="28" t="s">
        <v>147</v>
      </c>
      <c r="C29" s="27">
        <v>2.200100309E9</v>
      </c>
      <c r="D29" s="27">
        <v>10.0</v>
      </c>
      <c r="E29" s="28" t="s">
        <v>148</v>
      </c>
      <c r="F29" s="28" t="s">
        <v>379</v>
      </c>
      <c r="G29" s="28" t="s">
        <v>380</v>
      </c>
      <c r="H29" s="28" t="s">
        <v>316</v>
      </c>
      <c r="I29" s="27" t="s">
        <v>381</v>
      </c>
      <c r="J29" s="33">
        <v>45812.0</v>
      </c>
      <c r="K29" s="29" t="s">
        <v>382</v>
      </c>
      <c r="L29" s="5">
        <f>Value(left(vlookup(Z29,dayspo,7,0),1))</f>
        <v>1</v>
      </c>
      <c r="M29" s="28">
        <f>roundup(Y29*'Days Sesion'!$S$2,0)</f>
        <v>1</v>
      </c>
      <c r="N29" s="28">
        <f>roundup(Y29*'Days Sesion'!$S$3,0)</f>
        <v>1</v>
      </c>
      <c r="O29" s="28">
        <f>roundup(Y29*'Days Sesion'!$S$5,0)</f>
        <v>1</v>
      </c>
      <c r="P29" s="28">
        <f>Value(left(vlookup(Z29,dayspo,7,0),1))</f>
        <v>1</v>
      </c>
      <c r="Q29" s="28">
        <f>value(left(vlookup(Z29,dayspo,8,0),1))</f>
        <v>5</v>
      </c>
      <c r="R29" s="28">
        <f>roundup(Y29*'Days Sesion'!$S$8,0)</f>
        <v>1</v>
      </c>
      <c r="S29" s="28">
        <f>(value(left(vlookup(Z29,dayspo,19,0),1)))</f>
        <v>1</v>
      </c>
      <c r="T29" s="29">
        <f t="shared" si="1"/>
        <v>12</v>
      </c>
      <c r="U29" s="29">
        <f t="shared" si="2"/>
        <v>5</v>
      </c>
      <c r="V29" s="32">
        <v>45726.0</v>
      </c>
      <c r="W29" s="28" t="s">
        <v>383</v>
      </c>
      <c r="X29" s="28" t="s">
        <v>176</v>
      </c>
      <c r="Y29" s="27">
        <f t="shared" si="3"/>
        <v>8</v>
      </c>
      <c r="Z29" s="27">
        <v>5.100135739E9</v>
      </c>
      <c r="AA29" s="28" t="s">
        <v>157</v>
      </c>
      <c r="AB29" s="31"/>
      <c r="AC29" s="28" t="s">
        <v>158</v>
      </c>
      <c r="AD29" s="28" t="s">
        <v>159</v>
      </c>
      <c r="AE29" s="28" t="s">
        <v>194</v>
      </c>
      <c r="AF29" s="27">
        <f t="shared" si="4"/>
        <v>7</v>
      </c>
      <c r="AG29" s="27">
        <v>1.0</v>
      </c>
      <c r="AH29" s="28" t="s">
        <v>384</v>
      </c>
      <c r="AI29" s="28" t="s">
        <v>385</v>
      </c>
      <c r="AJ29" s="28" t="s">
        <v>386</v>
      </c>
      <c r="AK29" s="28" t="s">
        <v>387</v>
      </c>
      <c r="AL29" s="28" t="s">
        <v>388</v>
      </c>
      <c r="AM29" s="27">
        <v>1.0</v>
      </c>
    </row>
    <row r="30">
      <c r="A30" s="27">
        <v>2166575.0</v>
      </c>
      <c r="B30" s="28" t="s">
        <v>147</v>
      </c>
      <c r="C30" s="27">
        <v>2.200100637E9</v>
      </c>
      <c r="D30" s="27">
        <v>10.0</v>
      </c>
      <c r="E30" s="28" t="s">
        <v>148</v>
      </c>
      <c r="F30" s="28" t="s">
        <v>389</v>
      </c>
      <c r="G30" s="28" t="s">
        <v>390</v>
      </c>
      <c r="H30" s="28" t="s">
        <v>332</v>
      </c>
      <c r="I30" s="27" t="s">
        <v>236</v>
      </c>
      <c r="J30" s="27" t="s">
        <v>391</v>
      </c>
      <c r="K30" s="29" t="s">
        <v>392</v>
      </c>
      <c r="L30" s="5">
        <f>Value(left(vlookup(Z30,dayspo,7,0),1))</f>
        <v>4</v>
      </c>
      <c r="M30" s="28">
        <f>roundup(Y30*'Days Sesion'!$S$2,0)</f>
        <v>1</v>
      </c>
      <c r="N30" s="28">
        <f>roundup(Y30*'Days Sesion'!$S$3,0)</f>
        <v>1</v>
      </c>
      <c r="O30" s="28">
        <f>roundup(Y30*'Days Sesion'!$S$5,0)</f>
        <v>1</v>
      </c>
      <c r="P30" s="28">
        <f>Value(left(vlookup(Z30,dayspo,7,0),1))</f>
        <v>4</v>
      </c>
      <c r="Q30" s="28">
        <f>value(left(vlookup(Z30,dayspo,8,0),1))</f>
        <v>3</v>
      </c>
      <c r="R30" s="28">
        <f>roundup(Y30*'Days Sesion'!$S$8,0)</f>
        <v>1</v>
      </c>
      <c r="S30" s="28">
        <f>(value(left(vlookup(Z30,dayspo,19,0),1)))</f>
        <v>0</v>
      </c>
      <c r="T30" s="29">
        <f t="shared" si="1"/>
        <v>15</v>
      </c>
      <c r="U30" s="29">
        <f t="shared" si="2"/>
        <v>8</v>
      </c>
      <c r="V30" s="29" t="s">
        <v>393</v>
      </c>
      <c r="W30" s="28" t="s">
        <v>358</v>
      </c>
      <c r="X30" s="28" t="s">
        <v>176</v>
      </c>
      <c r="Y30" s="27">
        <f t="shared" si="3"/>
        <v>8</v>
      </c>
      <c r="Z30" s="27">
        <v>5.100136776E9</v>
      </c>
      <c r="AA30" s="28" t="s">
        <v>174</v>
      </c>
      <c r="AB30" s="31"/>
      <c r="AC30" s="28" t="s">
        <v>158</v>
      </c>
      <c r="AD30" s="28" t="s">
        <v>175</v>
      </c>
      <c r="AE30" s="28" t="s">
        <v>194</v>
      </c>
      <c r="AF30" s="27">
        <f t="shared" si="4"/>
        <v>7</v>
      </c>
      <c r="AG30" s="27">
        <v>1.0</v>
      </c>
      <c r="AH30" s="28" t="s">
        <v>394</v>
      </c>
      <c r="AI30" s="28" t="s">
        <v>395</v>
      </c>
      <c r="AJ30" s="28" t="s">
        <v>395</v>
      </c>
      <c r="AK30" s="28" t="s">
        <v>396</v>
      </c>
      <c r="AL30" s="28" t="s">
        <v>397</v>
      </c>
      <c r="AM30" s="27">
        <v>1.0</v>
      </c>
    </row>
    <row r="31">
      <c r="A31" s="27">
        <v>2166575.0</v>
      </c>
      <c r="B31" s="28" t="s">
        <v>147</v>
      </c>
      <c r="C31" s="27">
        <v>2.200100969E9</v>
      </c>
      <c r="D31" s="27">
        <v>10.0</v>
      </c>
      <c r="E31" s="28" t="s">
        <v>148</v>
      </c>
      <c r="F31" s="28" t="s">
        <v>219</v>
      </c>
      <c r="G31" s="28" t="s">
        <v>398</v>
      </c>
      <c r="H31" s="28" t="s">
        <v>221</v>
      </c>
      <c r="I31" s="33">
        <v>45933.0</v>
      </c>
      <c r="J31" s="27" t="s">
        <v>355</v>
      </c>
      <c r="K31" s="32">
        <v>45727.0</v>
      </c>
      <c r="L31" s="5">
        <f>Value(left(vlookup(Z31,dayspo,7,0),1))</f>
        <v>3</v>
      </c>
      <c r="M31" s="28">
        <f>roundup(Y31*'Days Sesion'!$S$2,0)</f>
        <v>1</v>
      </c>
      <c r="N31" s="28">
        <f>roundup(Y31*'Days Sesion'!$S$3,0)</f>
        <v>1</v>
      </c>
      <c r="O31" s="28">
        <f>roundup(Y31*'Days Sesion'!$S$5,0)</f>
        <v>2</v>
      </c>
      <c r="P31" s="28">
        <f>Value(left(vlookup(Z31,dayspo,7,0),1))</f>
        <v>3</v>
      </c>
      <c r="Q31" s="28">
        <f>value(left(vlookup(Z31,dayspo,8,0),1))</f>
        <v>8</v>
      </c>
      <c r="R31" s="28">
        <f>roundup(Y31*'Days Sesion'!$S$8,0)</f>
        <v>1</v>
      </c>
      <c r="S31" s="28">
        <f>(value(left(vlookup(Z31,dayspo,19,0),1)))</f>
        <v>6</v>
      </c>
      <c r="T31" s="29">
        <f t="shared" si="1"/>
        <v>25</v>
      </c>
      <c r="U31" s="29">
        <f t="shared" si="2"/>
        <v>8</v>
      </c>
      <c r="V31" s="29" t="s">
        <v>399</v>
      </c>
      <c r="W31" s="28" t="s">
        <v>400</v>
      </c>
      <c r="X31" s="28" t="s">
        <v>401</v>
      </c>
      <c r="Y31" s="27">
        <f t="shared" si="3"/>
        <v>18</v>
      </c>
      <c r="Z31" s="27">
        <v>5.100136843E9</v>
      </c>
      <c r="AA31" s="28" t="s">
        <v>174</v>
      </c>
      <c r="AB31" s="31"/>
      <c r="AC31" s="28" t="s">
        <v>158</v>
      </c>
      <c r="AD31" s="28" t="s">
        <v>175</v>
      </c>
      <c r="AE31" s="28" t="s">
        <v>402</v>
      </c>
      <c r="AF31" s="27">
        <f t="shared" si="4"/>
        <v>17</v>
      </c>
      <c r="AG31" s="27">
        <v>1.0</v>
      </c>
      <c r="AH31" s="28" t="s">
        <v>403</v>
      </c>
      <c r="AI31" s="28" t="s">
        <v>404</v>
      </c>
      <c r="AJ31" s="28" t="s">
        <v>405</v>
      </c>
      <c r="AK31" s="28" t="s">
        <v>406</v>
      </c>
      <c r="AL31" s="28" t="s">
        <v>407</v>
      </c>
      <c r="AM31" s="27">
        <v>1.0</v>
      </c>
    </row>
    <row r="32">
      <c r="A32" s="27">
        <v>2166575.0</v>
      </c>
      <c r="B32" s="28" t="s">
        <v>147</v>
      </c>
      <c r="C32" s="27">
        <v>2.20010106E9</v>
      </c>
      <c r="D32" s="27">
        <v>10.0</v>
      </c>
      <c r="E32" s="28" t="s">
        <v>148</v>
      </c>
      <c r="F32" s="28" t="s">
        <v>243</v>
      </c>
      <c r="G32" s="28" t="s">
        <v>408</v>
      </c>
      <c r="H32" s="28" t="s">
        <v>201</v>
      </c>
      <c r="I32" s="33">
        <v>45964.0</v>
      </c>
      <c r="J32" s="27" t="s">
        <v>342</v>
      </c>
      <c r="K32" s="29" t="s">
        <v>409</v>
      </c>
      <c r="L32" s="5">
        <f>Value(left(vlookup(Z32,dayspo,7,0),1))</f>
        <v>1</v>
      </c>
      <c r="M32" s="28">
        <f>roundup(Y32*'Days Sesion'!$S$2,0)</f>
        <v>1</v>
      </c>
      <c r="N32" s="28">
        <f>roundup(Y32*'Days Sesion'!$S$3,0)</f>
        <v>1</v>
      </c>
      <c r="O32" s="28">
        <f>roundup(Y32*'Days Sesion'!$S$5,0)</f>
        <v>1</v>
      </c>
      <c r="P32" s="28">
        <f>Value(left(vlookup(Z32,dayspo,7,0),1))</f>
        <v>1</v>
      </c>
      <c r="Q32" s="28">
        <f>value(left(vlookup(Z32,dayspo,8,0),1))</f>
        <v>0</v>
      </c>
      <c r="R32" s="28">
        <f>roundup(Y32*'Days Sesion'!$S$8,0)</f>
        <v>1</v>
      </c>
      <c r="S32" s="28">
        <f>(value(left(vlookup(Z32,dayspo,19,0),1)))</f>
        <v>2</v>
      </c>
      <c r="T32" s="29">
        <f t="shared" si="1"/>
        <v>8</v>
      </c>
      <c r="U32" s="29">
        <f t="shared" si="2"/>
        <v>5</v>
      </c>
      <c r="V32" s="29" t="s">
        <v>393</v>
      </c>
      <c r="W32" s="28" t="s">
        <v>184</v>
      </c>
      <c r="X32" s="28" t="s">
        <v>185</v>
      </c>
      <c r="Y32" s="27">
        <f t="shared" si="3"/>
        <v>10</v>
      </c>
      <c r="Z32" s="27">
        <v>5.100136775E9</v>
      </c>
      <c r="AA32" s="28" t="s">
        <v>174</v>
      </c>
      <c r="AB32" s="31"/>
      <c r="AC32" s="28" t="s">
        <v>158</v>
      </c>
      <c r="AD32" s="28" t="s">
        <v>175</v>
      </c>
      <c r="AE32" s="28" t="s">
        <v>410</v>
      </c>
      <c r="AF32" s="27">
        <f t="shared" si="4"/>
        <v>3</v>
      </c>
      <c r="AG32" s="27">
        <v>1.0</v>
      </c>
      <c r="AH32" s="28" t="s">
        <v>411</v>
      </c>
      <c r="AI32" s="28" t="s">
        <v>412</v>
      </c>
      <c r="AJ32" s="28" t="s">
        <v>413</v>
      </c>
      <c r="AK32" s="28" t="s">
        <v>414</v>
      </c>
      <c r="AL32" s="28" t="s">
        <v>415</v>
      </c>
      <c r="AM32" s="27">
        <v>1.0</v>
      </c>
    </row>
    <row r="33">
      <c r="A33" s="27">
        <v>2166575.0</v>
      </c>
      <c r="B33" s="28" t="s">
        <v>147</v>
      </c>
      <c r="C33" s="27">
        <v>2.200101428E9</v>
      </c>
      <c r="D33" s="27">
        <v>10.0</v>
      </c>
      <c r="E33" s="28" t="s">
        <v>148</v>
      </c>
      <c r="F33" s="28" t="s">
        <v>314</v>
      </c>
      <c r="G33" s="28" t="s">
        <v>416</v>
      </c>
      <c r="H33" s="28" t="s">
        <v>316</v>
      </c>
      <c r="I33" s="27" t="s">
        <v>342</v>
      </c>
      <c r="J33" s="27" t="s">
        <v>222</v>
      </c>
      <c r="K33" s="29" t="s">
        <v>417</v>
      </c>
      <c r="L33" s="5">
        <f>Value(left(vlookup(Z33,dayspo,7,0),1))</f>
        <v>1</v>
      </c>
      <c r="M33" s="28">
        <f>roundup(Y33*'Days Sesion'!$S$2,0)</f>
        <v>1</v>
      </c>
      <c r="N33" s="28">
        <f>roundup(Y33*'Days Sesion'!$S$3,0)</f>
        <v>1</v>
      </c>
      <c r="O33" s="28">
        <f>roundup(Y33*'Days Sesion'!$S$5,0)</f>
        <v>1</v>
      </c>
      <c r="P33" s="28">
        <f>Value(left(vlookup(Z33,dayspo,7,0),1))</f>
        <v>1</v>
      </c>
      <c r="Q33" s="28">
        <f>value(left(vlookup(Z33,dayspo,8,0),1))</f>
        <v>4</v>
      </c>
      <c r="R33" s="28">
        <f>roundup(Y33*'Days Sesion'!$S$8,0)</f>
        <v>1</v>
      </c>
      <c r="S33" s="28">
        <f>(value(left(vlookup(Z33,dayspo,19,0),1)))</f>
        <v>0</v>
      </c>
      <c r="T33" s="29">
        <f t="shared" si="1"/>
        <v>10</v>
      </c>
      <c r="U33" s="29">
        <f t="shared" si="2"/>
        <v>5</v>
      </c>
      <c r="V33" s="29" t="s">
        <v>393</v>
      </c>
      <c r="W33" s="28" t="s">
        <v>184</v>
      </c>
      <c r="X33" s="28" t="s">
        <v>186</v>
      </c>
      <c r="Y33" s="27">
        <f t="shared" si="3"/>
        <v>6</v>
      </c>
      <c r="Z33" s="27">
        <v>5.100136768E9</v>
      </c>
      <c r="AA33" s="28" t="s">
        <v>174</v>
      </c>
      <c r="AB33" s="31"/>
      <c r="AC33" s="28" t="s">
        <v>158</v>
      </c>
      <c r="AD33" s="28" t="s">
        <v>175</v>
      </c>
      <c r="AE33" s="28" t="s">
        <v>248</v>
      </c>
      <c r="AF33" s="27">
        <f t="shared" si="4"/>
        <v>5</v>
      </c>
      <c r="AG33" s="27">
        <v>1.0</v>
      </c>
      <c r="AH33" s="28" t="s">
        <v>418</v>
      </c>
      <c r="AI33" s="28" t="s">
        <v>419</v>
      </c>
      <c r="AJ33" s="28" t="s">
        <v>420</v>
      </c>
      <c r="AK33" s="28" t="s">
        <v>421</v>
      </c>
      <c r="AL33" s="28" t="s">
        <v>422</v>
      </c>
      <c r="AM33" s="27">
        <v>1.0</v>
      </c>
    </row>
    <row r="34">
      <c r="A34" s="27">
        <v>2166575.0</v>
      </c>
      <c r="B34" s="28" t="s">
        <v>147</v>
      </c>
      <c r="C34" s="27">
        <v>2.200101457E9</v>
      </c>
      <c r="D34" s="27">
        <v>10.0</v>
      </c>
      <c r="E34" s="28" t="s">
        <v>148</v>
      </c>
      <c r="F34" s="28" t="s">
        <v>423</v>
      </c>
      <c r="G34" s="28" t="s">
        <v>424</v>
      </c>
      <c r="H34" s="28" t="s">
        <v>316</v>
      </c>
      <c r="I34" s="27" t="s">
        <v>417</v>
      </c>
      <c r="J34" s="27" t="s">
        <v>222</v>
      </c>
      <c r="K34" s="32">
        <v>45783.0</v>
      </c>
      <c r="L34" s="5">
        <f>Value(left(vlookup(Z34,dayspo,7,0),1))</f>
        <v>0</v>
      </c>
      <c r="M34" s="28">
        <f>roundup(Y34*'Days Sesion'!$S$2,0)</f>
        <v>1</v>
      </c>
      <c r="N34" s="28">
        <f>roundup(Y34*'Days Sesion'!$S$3,0)</f>
        <v>1</v>
      </c>
      <c r="O34" s="28">
        <f>roundup(Y34*'Days Sesion'!$S$5,0)</f>
        <v>1</v>
      </c>
      <c r="P34" s="28">
        <f>Value(left(vlookup(Z34,dayspo,7,0),1))</f>
        <v>0</v>
      </c>
      <c r="Q34" s="28">
        <f>value(left(vlookup(Z34,dayspo,8,0),1))</f>
        <v>3</v>
      </c>
      <c r="R34" s="28">
        <f>roundup(Y34*'Days Sesion'!$S$8,0)</f>
        <v>1</v>
      </c>
      <c r="S34" s="28">
        <f>(value(left(vlookup(Z34,dayspo,19,0),1)))</f>
        <v>1</v>
      </c>
      <c r="T34" s="29">
        <f t="shared" si="1"/>
        <v>8</v>
      </c>
      <c r="U34" s="29">
        <f t="shared" si="2"/>
        <v>4</v>
      </c>
      <c r="V34" s="29" t="s">
        <v>425</v>
      </c>
      <c r="W34" s="28" t="s">
        <v>184</v>
      </c>
      <c r="X34" s="28" t="s">
        <v>255</v>
      </c>
      <c r="Y34" s="27">
        <f t="shared" si="3"/>
        <v>4</v>
      </c>
      <c r="Z34" s="27">
        <v>5.10013829E9</v>
      </c>
      <c r="AA34" s="28" t="s">
        <v>174</v>
      </c>
      <c r="AB34" s="31"/>
      <c r="AC34" s="28" t="s">
        <v>158</v>
      </c>
      <c r="AD34" s="28" t="s">
        <v>175</v>
      </c>
      <c r="AE34" s="28" t="s">
        <v>255</v>
      </c>
      <c r="AF34" s="27">
        <f t="shared" si="4"/>
        <v>4</v>
      </c>
      <c r="AG34" s="27">
        <v>1.0</v>
      </c>
      <c r="AH34" s="28" t="s">
        <v>426</v>
      </c>
      <c r="AI34" s="28" t="s">
        <v>427</v>
      </c>
      <c r="AJ34" s="28" t="s">
        <v>428</v>
      </c>
      <c r="AK34" s="28" t="s">
        <v>429</v>
      </c>
      <c r="AL34" s="28" t="s">
        <v>430</v>
      </c>
      <c r="AM34" s="27">
        <v>1.0</v>
      </c>
    </row>
    <row r="35">
      <c r="A35" s="27">
        <v>2166575.0</v>
      </c>
      <c r="B35" s="28" t="s">
        <v>147</v>
      </c>
      <c r="C35" s="27">
        <v>2.200101315E9</v>
      </c>
      <c r="D35" s="27">
        <v>10.0</v>
      </c>
      <c r="E35" s="28" t="s">
        <v>148</v>
      </c>
      <c r="F35" s="28" t="s">
        <v>219</v>
      </c>
      <c r="G35" s="28" t="s">
        <v>431</v>
      </c>
      <c r="H35" s="28" t="s">
        <v>221</v>
      </c>
      <c r="I35" s="27" t="s">
        <v>392</v>
      </c>
      <c r="J35" s="27" t="s">
        <v>432</v>
      </c>
      <c r="K35" s="29" t="s">
        <v>433</v>
      </c>
      <c r="L35" s="5">
        <f>Value(left(vlookup(Z35,dayspo,7,0),1))</f>
        <v>0</v>
      </c>
      <c r="M35" s="28">
        <f>roundup(Y35*'Days Sesion'!$S$2,0)</f>
        <v>1</v>
      </c>
      <c r="N35" s="28">
        <f>roundup(Y35*'Days Sesion'!$S$3,0)</f>
        <v>1</v>
      </c>
      <c r="O35" s="28">
        <f>roundup(Y35*'Days Sesion'!$S$5,0)</f>
        <v>2</v>
      </c>
      <c r="P35" s="28">
        <f>Value(left(vlookup(Z35,dayspo,7,0),1))</f>
        <v>0</v>
      </c>
      <c r="Q35" s="28">
        <f>value(left(vlookup(Z35,dayspo,8,0),1))</f>
        <v>5</v>
      </c>
      <c r="R35" s="28">
        <f>roundup(Y35*'Days Sesion'!$S$8,0)</f>
        <v>1</v>
      </c>
      <c r="S35" s="28">
        <f>(value(left(vlookup(Z35,dayspo,19,0),1)))</f>
        <v>4</v>
      </c>
      <c r="T35" s="29">
        <f t="shared" si="1"/>
        <v>14</v>
      </c>
      <c r="U35" s="29">
        <f t="shared" si="2"/>
        <v>5</v>
      </c>
      <c r="V35" s="29" t="s">
        <v>434</v>
      </c>
      <c r="W35" s="28" t="s">
        <v>435</v>
      </c>
      <c r="X35" s="28" t="s">
        <v>156</v>
      </c>
      <c r="Y35" s="27">
        <f t="shared" si="3"/>
        <v>13</v>
      </c>
      <c r="Z35" s="27">
        <v>5.100137063E9</v>
      </c>
      <c r="AA35" s="28" t="s">
        <v>157</v>
      </c>
      <c r="AB35" s="31"/>
      <c r="AC35" s="28" t="s">
        <v>158</v>
      </c>
      <c r="AD35" s="28" t="s">
        <v>159</v>
      </c>
      <c r="AE35" s="28" t="s">
        <v>173</v>
      </c>
      <c r="AF35" s="27">
        <f t="shared" si="4"/>
        <v>9</v>
      </c>
      <c r="AG35" s="27">
        <v>1.0</v>
      </c>
      <c r="AH35" s="28" t="s">
        <v>436</v>
      </c>
      <c r="AI35" s="28" t="s">
        <v>437</v>
      </c>
      <c r="AJ35" s="28" t="s">
        <v>438</v>
      </c>
      <c r="AK35" s="28" t="s">
        <v>439</v>
      </c>
      <c r="AL35" s="28" t="s">
        <v>440</v>
      </c>
      <c r="AM35" s="27">
        <v>1.0</v>
      </c>
    </row>
    <row r="36">
      <c r="A36" s="27">
        <v>2166575.0</v>
      </c>
      <c r="B36" s="28" t="s">
        <v>147</v>
      </c>
      <c r="C36" s="27">
        <v>2.200101462E9</v>
      </c>
      <c r="D36" s="27">
        <v>10.0</v>
      </c>
      <c r="E36" s="28" t="s">
        <v>148</v>
      </c>
      <c r="F36" s="28" t="s">
        <v>219</v>
      </c>
      <c r="G36" s="28" t="s">
        <v>441</v>
      </c>
      <c r="H36" s="28" t="s">
        <v>221</v>
      </c>
      <c r="I36" s="27" t="s">
        <v>417</v>
      </c>
      <c r="J36" s="27" t="s">
        <v>432</v>
      </c>
      <c r="K36" s="29" t="s">
        <v>393</v>
      </c>
      <c r="L36" s="5">
        <f>Value(left(vlookup(Z36,dayspo,7,0),1))</f>
        <v>0</v>
      </c>
      <c r="M36" s="28">
        <f>roundup(Y36*'Days Sesion'!$S$2,0)</f>
        <v>1</v>
      </c>
      <c r="N36" s="28">
        <f>roundup(Y36*'Days Sesion'!$S$3,0)</f>
        <v>1</v>
      </c>
      <c r="O36" s="28">
        <f>roundup(Y36*'Days Sesion'!$S$5,0)</f>
        <v>2</v>
      </c>
      <c r="P36" s="28">
        <f>Value(left(vlookup(Z36,dayspo,7,0),1))</f>
        <v>0</v>
      </c>
      <c r="Q36" s="28">
        <f>value(left(vlookup(Z36,dayspo,8,0),1))</f>
        <v>6</v>
      </c>
      <c r="R36" s="28">
        <f>roundup(Y36*'Days Sesion'!$S$8,0)</f>
        <v>1</v>
      </c>
      <c r="S36" s="28">
        <f>(value(left(vlookup(Z36,dayspo,19,0),1)))</f>
        <v>2</v>
      </c>
      <c r="T36" s="29">
        <f t="shared" si="1"/>
        <v>13</v>
      </c>
      <c r="U36" s="29">
        <f t="shared" si="2"/>
        <v>5</v>
      </c>
      <c r="V36" s="32">
        <v>45786.0</v>
      </c>
      <c r="W36" s="28" t="s">
        <v>442</v>
      </c>
      <c r="X36" s="28" t="s">
        <v>443</v>
      </c>
      <c r="Y36" s="27">
        <f t="shared" si="3"/>
        <v>22</v>
      </c>
      <c r="Z36" s="27">
        <v>5.10013822E9</v>
      </c>
      <c r="AA36" s="28" t="s">
        <v>157</v>
      </c>
      <c r="AB36" s="31"/>
      <c r="AC36" s="28" t="s">
        <v>158</v>
      </c>
      <c r="AD36" s="28" t="s">
        <v>159</v>
      </c>
      <c r="AE36" s="28" t="s">
        <v>176</v>
      </c>
      <c r="AF36" s="27">
        <f t="shared" si="4"/>
        <v>8</v>
      </c>
      <c r="AG36" s="27">
        <v>1.0</v>
      </c>
      <c r="AH36" s="28" t="s">
        <v>444</v>
      </c>
      <c r="AI36" s="28" t="s">
        <v>445</v>
      </c>
      <c r="AJ36" s="28" t="s">
        <v>446</v>
      </c>
      <c r="AK36" s="28" t="s">
        <v>447</v>
      </c>
      <c r="AL36" s="28" t="s">
        <v>448</v>
      </c>
      <c r="AM36" s="27">
        <v>1.0</v>
      </c>
    </row>
    <row r="37">
      <c r="A37" s="27">
        <v>2166575.0</v>
      </c>
      <c r="B37" s="28" t="s">
        <v>147</v>
      </c>
      <c r="C37" s="27">
        <v>2.200101239E9</v>
      </c>
      <c r="D37" s="27">
        <v>10.0</v>
      </c>
      <c r="E37" s="28" t="s">
        <v>148</v>
      </c>
      <c r="F37" s="28" t="s">
        <v>199</v>
      </c>
      <c r="G37" s="28" t="s">
        <v>449</v>
      </c>
      <c r="H37" s="28" t="s">
        <v>201</v>
      </c>
      <c r="I37" s="27" t="s">
        <v>450</v>
      </c>
      <c r="J37" s="27" t="s">
        <v>432</v>
      </c>
      <c r="K37" s="29" t="s">
        <v>451</v>
      </c>
      <c r="L37" s="5">
        <f>Value(left(vlookup(Z37,dayspo,7,0),1))</f>
        <v>0</v>
      </c>
      <c r="M37" s="28">
        <f>roundup(Y37*'Days Sesion'!$S$2,0)</f>
        <v>1</v>
      </c>
      <c r="N37" s="28">
        <f>roundup(Y37*'Days Sesion'!$S$3,0)</f>
        <v>1</v>
      </c>
      <c r="O37" s="28">
        <f>roundup(Y37*'Days Sesion'!$S$5,0)</f>
        <v>2</v>
      </c>
      <c r="P37" s="28">
        <f>Value(left(vlookup(Z37,dayspo,7,0),1))</f>
        <v>0</v>
      </c>
      <c r="Q37" s="28">
        <f>value(left(vlookup(Z37,dayspo,8,0),1))</f>
        <v>1</v>
      </c>
      <c r="R37" s="28">
        <f>roundup(Y37*'Days Sesion'!$S$8,0)</f>
        <v>1</v>
      </c>
      <c r="S37" s="28">
        <f>(value(left(vlookup(Z37,dayspo,19,0),1)))</f>
        <v>4</v>
      </c>
      <c r="T37" s="29">
        <f t="shared" si="1"/>
        <v>10</v>
      </c>
      <c r="U37" s="35">
        <f t="shared" si="2"/>
        <v>-4</v>
      </c>
      <c r="V37" s="32">
        <v>45785.0</v>
      </c>
      <c r="W37" s="28" t="s">
        <v>452</v>
      </c>
      <c r="X37" s="28" t="s">
        <v>443</v>
      </c>
      <c r="Y37" s="27">
        <f t="shared" si="3"/>
        <v>22</v>
      </c>
      <c r="Z37" s="27">
        <v>5.100138109E9</v>
      </c>
      <c r="AA37" s="28" t="s">
        <v>174</v>
      </c>
      <c r="AB37" s="31"/>
      <c r="AC37" s="28" t="s">
        <v>158</v>
      </c>
      <c r="AD37" s="28" t="s">
        <v>175</v>
      </c>
      <c r="AE37" s="28" t="s">
        <v>223</v>
      </c>
      <c r="AF37" s="27">
        <f t="shared" si="4"/>
        <v>14</v>
      </c>
      <c r="AG37" s="27">
        <v>1.0</v>
      </c>
      <c r="AH37" s="28" t="s">
        <v>453</v>
      </c>
      <c r="AI37" s="28" t="s">
        <v>454</v>
      </c>
      <c r="AJ37" s="28" t="s">
        <v>455</v>
      </c>
      <c r="AK37" s="28" t="s">
        <v>456</v>
      </c>
      <c r="AL37" s="28" t="s">
        <v>457</v>
      </c>
      <c r="AM37" s="27">
        <v>1.0</v>
      </c>
    </row>
    <row r="38">
      <c r="A38" s="27">
        <v>2166575.0</v>
      </c>
      <c r="B38" s="28" t="s">
        <v>147</v>
      </c>
      <c r="C38" s="27">
        <v>2.200101803E9</v>
      </c>
      <c r="D38" s="27">
        <v>10.0</v>
      </c>
      <c r="E38" s="28" t="s">
        <v>148</v>
      </c>
      <c r="F38" s="28" t="s">
        <v>458</v>
      </c>
      <c r="G38" s="28" t="s">
        <v>459</v>
      </c>
      <c r="H38" s="28" t="s">
        <v>332</v>
      </c>
      <c r="I38" s="27" t="s">
        <v>451</v>
      </c>
      <c r="J38" s="27" t="s">
        <v>451</v>
      </c>
      <c r="K38" s="29" t="s">
        <v>460</v>
      </c>
      <c r="L38" s="5">
        <f>Value(left(vlookup(Z38,dayspo,7,0),1))</f>
        <v>0</v>
      </c>
      <c r="M38" s="28">
        <f>roundup(Y38*'Days Sesion'!$S$2,0)</f>
        <v>1</v>
      </c>
      <c r="N38" s="28">
        <f>roundup(Y38*'Days Sesion'!$S$3,0)</f>
        <v>1</v>
      </c>
      <c r="O38" s="28">
        <f>roundup(Y38*'Days Sesion'!$S$5,0)</f>
        <v>3</v>
      </c>
      <c r="P38" s="28">
        <f>Value(left(vlookup(Z38,dayspo,7,0),1))</f>
        <v>0</v>
      </c>
      <c r="Q38" s="28">
        <f>value(left(vlookup(Z38,dayspo,8,0),1))</f>
        <v>8</v>
      </c>
      <c r="R38" s="28">
        <f>roundup(Y38*'Days Sesion'!$S$8,0)</f>
        <v>1</v>
      </c>
      <c r="S38" s="28">
        <f>(value(left(vlookup(Z38,dayspo,19,0),1)))</f>
        <v>1</v>
      </c>
      <c r="T38" s="29">
        <f t="shared" si="1"/>
        <v>15</v>
      </c>
      <c r="U38" s="29">
        <f t="shared" si="2"/>
        <v>6</v>
      </c>
      <c r="V38" s="29" t="s">
        <v>461</v>
      </c>
      <c r="W38" s="28" t="s">
        <v>462</v>
      </c>
      <c r="X38" s="28" t="s">
        <v>268</v>
      </c>
      <c r="Y38" s="27">
        <f t="shared" si="3"/>
        <v>25</v>
      </c>
      <c r="Z38" s="27">
        <v>5.100138475E9</v>
      </c>
      <c r="AA38" s="28" t="s">
        <v>174</v>
      </c>
      <c r="AB38" s="31"/>
      <c r="AC38" s="28" t="s">
        <v>158</v>
      </c>
      <c r="AD38" s="28" t="s">
        <v>175</v>
      </c>
      <c r="AE38" s="28" t="s">
        <v>173</v>
      </c>
      <c r="AF38" s="27">
        <f t="shared" si="4"/>
        <v>9</v>
      </c>
      <c r="AG38" s="27">
        <v>1.0</v>
      </c>
      <c r="AH38" s="28" t="s">
        <v>463</v>
      </c>
      <c r="AI38" s="28" t="s">
        <v>464</v>
      </c>
      <c r="AJ38" s="28" t="s">
        <v>465</v>
      </c>
      <c r="AK38" s="28" t="s">
        <v>466</v>
      </c>
      <c r="AL38" s="28" t="s">
        <v>467</v>
      </c>
      <c r="AM38" s="27">
        <v>1.0</v>
      </c>
    </row>
    <row r="39">
      <c r="A39" s="27">
        <v>2166575.0</v>
      </c>
      <c r="B39" s="28" t="s">
        <v>147</v>
      </c>
      <c r="C39" s="27">
        <v>2.200101829E9</v>
      </c>
      <c r="D39" s="27">
        <v>10.0</v>
      </c>
      <c r="E39" s="28" t="s">
        <v>148</v>
      </c>
      <c r="F39" s="28" t="s">
        <v>468</v>
      </c>
      <c r="G39" s="28" t="s">
        <v>469</v>
      </c>
      <c r="H39" s="28" t="s">
        <v>308</v>
      </c>
      <c r="I39" s="27" t="s">
        <v>460</v>
      </c>
      <c r="J39" s="27" t="s">
        <v>470</v>
      </c>
      <c r="K39" s="32">
        <v>45754.0</v>
      </c>
      <c r="L39" s="5">
        <f>Value(left(vlookup(Z39,dayspo,7,0),1))</f>
        <v>0</v>
      </c>
      <c r="M39" s="28">
        <f>roundup(Y39*'Days Sesion'!$S$2,0)</f>
        <v>1</v>
      </c>
      <c r="N39" s="28">
        <f>roundup(Y39*'Days Sesion'!$S$3,0)</f>
        <v>1</v>
      </c>
      <c r="O39" s="28">
        <f>roundup(Y39*'Days Sesion'!$S$5,0)</f>
        <v>2</v>
      </c>
      <c r="P39" s="28">
        <f>Value(left(vlookup(Z39,dayspo,7,0),1))</f>
        <v>0</v>
      </c>
      <c r="Q39" s="28">
        <f>value(left(vlookup(Z39,dayspo,8,0),1))</f>
        <v>5</v>
      </c>
      <c r="R39" s="28">
        <f>roundup(Y39*'Days Sesion'!$S$8,0)</f>
        <v>1</v>
      </c>
      <c r="S39" s="28">
        <f>(value(left(vlookup(Z39,dayspo,19,0),1)))</f>
        <v>4</v>
      </c>
      <c r="T39" s="29">
        <f t="shared" si="1"/>
        <v>14</v>
      </c>
      <c r="U39" s="29">
        <f t="shared" si="2"/>
        <v>5</v>
      </c>
      <c r="V39" s="29" t="s">
        <v>471</v>
      </c>
      <c r="W39" s="28" t="s">
        <v>184</v>
      </c>
      <c r="X39" s="28" t="s">
        <v>159</v>
      </c>
      <c r="Y39" s="27">
        <f t="shared" si="3"/>
        <v>15</v>
      </c>
      <c r="Z39" s="27">
        <v>5.100137513E9</v>
      </c>
      <c r="AA39" s="28" t="s">
        <v>174</v>
      </c>
      <c r="AB39" s="31"/>
      <c r="AC39" s="28" t="s">
        <v>158</v>
      </c>
      <c r="AD39" s="28" t="s">
        <v>175</v>
      </c>
      <c r="AE39" s="28" t="s">
        <v>173</v>
      </c>
      <c r="AF39" s="27">
        <f t="shared" si="4"/>
        <v>9</v>
      </c>
      <c r="AG39" s="27">
        <v>1.0</v>
      </c>
      <c r="AH39" s="28" t="s">
        <v>472</v>
      </c>
      <c r="AI39" s="28" t="s">
        <v>473</v>
      </c>
      <c r="AJ39" s="28" t="s">
        <v>474</v>
      </c>
      <c r="AK39" s="28" t="s">
        <v>475</v>
      </c>
      <c r="AL39" s="28" t="s">
        <v>476</v>
      </c>
      <c r="AM39" s="27">
        <v>1.0</v>
      </c>
    </row>
    <row r="40">
      <c r="A40" s="27">
        <v>2166575.0</v>
      </c>
      <c r="B40" s="28" t="s">
        <v>147</v>
      </c>
      <c r="C40" s="27">
        <v>2.200101861E9</v>
      </c>
      <c r="D40" s="27">
        <v>10.0</v>
      </c>
      <c r="E40" s="28" t="s">
        <v>148</v>
      </c>
      <c r="F40" s="28" t="s">
        <v>149</v>
      </c>
      <c r="G40" s="28" t="s">
        <v>477</v>
      </c>
      <c r="H40" s="28" t="s">
        <v>151</v>
      </c>
      <c r="I40" s="27" t="s">
        <v>460</v>
      </c>
      <c r="J40" s="27" t="s">
        <v>470</v>
      </c>
      <c r="K40" s="32">
        <v>45754.0</v>
      </c>
      <c r="L40" s="5">
        <f>Value(left(vlookup(Z40,dayspo,7,0),1))</f>
        <v>0</v>
      </c>
      <c r="M40" s="28">
        <f>roundup(Y40*'Days Sesion'!$S$2,0)</f>
        <v>1</v>
      </c>
      <c r="N40" s="28">
        <f>roundup(Y40*'Days Sesion'!$S$3,0)</f>
        <v>1</v>
      </c>
      <c r="O40" s="28">
        <f>roundup(Y40*'Days Sesion'!$S$5,0)</f>
        <v>1</v>
      </c>
      <c r="P40" s="28">
        <f>Value(left(vlookup(Z40,dayspo,7,0),1))</f>
        <v>0</v>
      </c>
      <c r="Q40" s="28">
        <f>value(left(vlookup(Z40,dayspo,8,0),1))</f>
        <v>5</v>
      </c>
      <c r="R40" s="28">
        <f>roundup(Y40*'Days Sesion'!$S$8,0)</f>
        <v>1</v>
      </c>
      <c r="S40" s="28">
        <f>(value(left(vlookup(Z40,dayspo,19,0),1)))</f>
        <v>3</v>
      </c>
      <c r="T40" s="29">
        <f t="shared" si="1"/>
        <v>12</v>
      </c>
      <c r="U40" s="29">
        <f t="shared" si="2"/>
        <v>4</v>
      </c>
      <c r="V40" s="29" t="s">
        <v>356</v>
      </c>
      <c r="W40" s="28" t="s">
        <v>184</v>
      </c>
      <c r="X40" s="28" t="s">
        <v>173</v>
      </c>
      <c r="Y40" s="27">
        <f t="shared" si="3"/>
        <v>9</v>
      </c>
      <c r="Z40" s="27">
        <v>5.100137232E9</v>
      </c>
      <c r="AA40" s="28" t="s">
        <v>174</v>
      </c>
      <c r="AB40" s="31"/>
      <c r="AC40" s="28" t="s">
        <v>158</v>
      </c>
      <c r="AD40" s="28" t="s">
        <v>175</v>
      </c>
      <c r="AE40" s="28" t="s">
        <v>176</v>
      </c>
      <c r="AF40" s="27">
        <f t="shared" si="4"/>
        <v>8</v>
      </c>
      <c r="AG40" s="27">
        <v>1.0</v>
      </c>
      <c r="AH40" s="28" t="s">
        <v>478</v>
      </c>
      <c r="AI40" s="28" t="s">
        <v>479</v>
      </c>
      <c r="AJ40" s="28" t="s">
        <v>480</v>
      </c>
      <c r="AK40" s="28" t="s">
        <v>481</v>
      </c>
      <c r="AL40" s="28" t="s">
        <v>482</v>
      </c>
      <c r="AM40" s="27">
        <v>1.0</v>
      </c>
    </row>
    <row r="41">
      <c r="A41" s="27">
        <v>2166575.0</v>
      </c>
      <c r="B41" s="28" t="s">
        <v>147</v>
      </c>
      <c r="C41" s="27">
        <v>2.200102246E9</v>
      </c>
      <c r="D41" s="27">
        <v>10.0</v>
      </c>
      <c r="E41" s="28" t="s">
        <v>148</v>
      </c>
      <c r="F41" s="28" t="s">
        <v>209</v>
      </c>
      <c r="G41" s="28" t="s">
        <v>483</v>
      </c>
      <c r="H41" s="28" t="s">
        <v>168</v>
      </c>
      <c r="I41" s="27" t="s">
        <v>484</v>
      </c>
      <c r="J41" s="27" t="s">
        <v>222</v>
      </c>
      <c r="K41" s="29" t="s">
        <v>485</v>
      </c>
      <c r="L41" s="5">
        <f>Value(left(vlookup(Z41,dayspo,7,0),1))</f>
        <v>1</v>
      </c>
      <c r="M41" s="28">
        <f>roundup(Y41*'Days Sesion'!$S$2,0)</f>
        <v>1</v>
      </c>
      <c r="N41" s="28">
        <f>roundup(Y41*'Days Sesion'!$S$3,0)</f>
        <v>1</v>
      </c>
      <c r="O41" s="28">
        <f>roundup(Y41*'Days Sesion'!$S$5,0)</f>
        <v>1</v>
      </c>
      <c r="P41" s="28">
        <f>Value(left(vlookup(Z41,dayspo,7,0),1))</f>
        <v>1</v>
      </c>
      <c r="Q41" s="28">
        <f>value(left(vlookup(Z41,dayspo,8,0),1))</f>
        <v>4</v>
      </c>
      <c r="R41" s="28">
        <f>roundup(Y41*'Days Sesion'!$S$8,0)</f>
        <v>1</v>
      </c>
      <c r="S41" s="28">
        <f>(value(left(vlookup(Z41,dayspo,19,0),1)))</f>
        <v>2</v>
      </c>
      <c r="T41" s="29">
        <f t="shared" si="1"/>
        <v>12</v>
      </c>
      <c r="U41" s="29">
        <f t="shared" si="2"/>
        <v>5</v>
      </c>
      <c r="V41" s="29" t="s">
        <v>486</v>
      </c>
      <c r="W41" s="28" t="s">
        <v>184</v>
      </c>
      <c r="X41" s="28" t="s">
        <v>194</v>
      </c>
      <c r="Y41" s="27">
        <f t="shared" si="3"/>
        <v>7</v>
      </c>
      <c r="Z41" s="27">
        <v>5.100139089E9</v>
      </c>
      <c r="AA41" s="28" t="s">
        <v>174</v>
      </c>
      <c r="AB41" s="31"/>
      <c r="AC41" s="28" t="s">
        <v>158</v>
      </c>
      <c r="AD41" s="28" t="s">
        <v>175</v>
      </c>
      <c r="AE41" s="28" t="s">
        <v>194</v>
      </c>
      <c r="AF41" s="27">
        <f t="shared" si="4"/>
        <v>7</v>
      </c>
      <c r="AG41" s="27">
        <v>1.0</v>
      </c>
      <c r="AH41" s="28" t="s">
        <v>487</v>
      </c>
      <c r="AI41" s="28" t="s">
        <v>488</v>
      </c>
      <c r="AJ41" s="28" t="s">
        <v>488</v>
      </c>
      <c r="AK41" s="28" t="s">
        <v>489</v>
      </c>
      <c r="AL41" s="28" t="s">
        <v>490</v>
      </c>
      <c r="AM41" s="27">
        <v>1.0</v>
      </c>
    </row>
    <row r="42">
      <c r="A42" s="27">
        <v>2166575.0</v>
      </c>
      <c r="B42" s="28" t="s">
        <v>147</v>
      </c>
      <c r="C42" s="27">
        <v>2.200102217E9</v>
      </c>
      <c r="D42" s="27">
        <v>10.0</v>
      </c>
      <c r="E42" s="28" t="s">
        <v>148</v>
      </c>
      <c r="F42" s="28" t="s">
        <v>149</v>
      </c>
      <c r="G42" s="28" t="s">
        <v>491</v>
      </c>
      <c r="H42" s="28" t="s">
        <v>151</v>
      </c>
      <c r="I42" s="27" t="s">
        <v>484</v>
      </c>
      <c r="J42" s="27" t="s">
        <v>484</v>
      </c>
      <c r="K42" s="29" t="s">
        <v>492</v>
      </c>
      <c r="L42" s="5">
        <f>Value(left(vlookup(Z42,dayspo,7,0),1))</f>
        <v>0</v>
      </c>
      <c r="M42" s="28">
        <f>roundup(Y42*'Days Sesion'!$S$2,0)</f>
        <v>1</v>
      </c>
      <c r="N42" s="28">
        <f>roundup(Y42*'Days Sesion'!$S$3,0)</f>
        <v>1</v>
      </c>
      <c r="O42" s="28">
        <f>roundup(Y42*'Days Sesion'!$S$5,0)</f>
        <v>2</v>
      </c>
      <c r="P42" s="28">
        <f>Value(left(vlookup(Z42,dayspo,7,0),1))</f>
        <v>0</v>
      </c>
      <c r="Q42" s="28">
        <f>value(left(vlookup(Z42,dayspo,8,0),1))</f>
        <v>7</v>
      </c>
      <c r="R42" s="28">
        <f>roundup(Y42*'Days Sesion'!$S$8,0)</f>
        <v>1</v>
      </c>
      <c r="S42" s="28">
        <f>(value(left(vlookup(Z42,dayspo,19,0),1)))</f>
        <v>4</v>
      </c>
      <c r="T42" s="29">
        <f t="shared" si="1"/>
        <v>16</v>
      </c>
      <c r="U42" s="29">
        <f t="shared" si="2"/>
        <v>5</v>
      </c>
      <c r="V42" s="29" t="s">
        <v>493</v>
      </c>
      <c r="W42" s="28" t="s">
        <v>494</v>
      </c>
      <c r="X42" s="28" t="s">
        <v>159</v>
      </c>
      <c r="Y42" s="27">
        <f t="shared" si="3"/>
        <v>15</v>
      </c>
      <c r="Z42" s="27">
        <v>5.10013857E9</v>
      </c>
      <c r="AA42" s="28" t="s">
        <v>495</v>
      </c>
      <c r="AB42" s="31"/>
      <c r="AC42" s="28" t="s">
        <v>158</v>
      </c>
      <c r="AD42" s="28" t="s">
        <v>175</v>
      </c>
      <c r="AE42" s="28" t="s">
        <v>160</v>
      </c>
      <c r="AF42" s="27">
        <f t="shared" si="4"/>
        <v>11</v>
      </c>
      <c r="AG42" s="27">
        <v>1.0</v>
      </c>
      <c r="AH42" s="28" t="s">
        <v>496</v>
      </c>
      <c r="AI42" s="28" t="s">
        <v>497</v>
      </c>
      <c r="AJ42" s="28" t="s">
        <v>498</v>
      </c>
      <c r="AK42" s="28" t="s">
        <v>499</v>
      </c>
      <c r="AL42" s="28" t="s">
        <v>500</v>
      </c>
      <c r="AM42" s="27">
        <v>1.0</v>
      </c>
    </row>
    <row r="43">
      <c r="A43" s="27">
        <v>2166575.0</v>
      </c>
      <c r="B43" s="28" t="s">
        <v>147</v>
      </c>
      <c r="C43" s="27">
        <v>2.20010251E9</v>
      </c>
      <c r="D43" s="27">
        <v>10.0</v>
      </c>
      <c r="E43" s="28" t="s">
        <v>148</v>
      </c>
      <c r="F43" s="28" t="s">
        <v>389</v>
      </c>
      <c r="G43" s="28" t="s">
        <v>501</v>
      </c>
      <c r="H43" s="28" t="s">
        <v>332</v>
      </c>
      <c r="I43" s="27" t="s">
        <v>502</v>
      </c>
      <c r="J43" s="27" t="s">
        <v>355</v>
      </c>
      <c r="K43" s="29" t="s">
        <v>202</v>
      </c>
      <c r="L43" s="5">
        <f>Value(left(vlookup(Z43,dayspo,7,0),1))</f>
        <v>0</v>
      </c>
      <c r="M43" s="28">
        <f>roundup(Y43*'Days Sesion'!$S$2,0)</f>
        <v>1</v>
      </c>
      <c r="N43" s="28">
        <f>roundup(Y43*'Days Sesion'!$S$3,0)</f>
        <v>1</v>
      </c>
      <c r="O43" s="28">
        <f>roundup(Y43*'Days Sesion'!$S$5,0)</f>
        <v>3</v>
      </c>
      <c r="P43" s="28">
        <f>Value(left(vlookup(Z43,dayspo,7,0),1))</f>
        <v>0</v>
      </c>
      <c r="Q43" s="28">
        <f>value(left(vlookup(Z43,dayspo,8,0),1))</f>
        <v>5</v>
      </c>
      <c r="R43" s="28">
        <f>roundup(Y43*'Days Sesion'!$S$8,0)</f>
        <v>1</v>
      </c>
      <c r="S43" s="28">
        <f>(value(left(vlookup(Z43,dayspo,19,0),1)))</f>
        <v>4</v>
      </c>
      <c r="T43" s="29">
        <f t="shared" si="1"/>
        <v>15</v>
      </c>
      <c r="U43" s="29">
        <f t="shared" si="2"/>
        <v>6</v>
      </c>
      <c r="V43" s="32">
        <v>45846.0</v>
      </c>
      <c r="W43" s="28" t="s">
        <v>503</v>
      </c>
      <c r="X43" s="28" t="s">
        <v>504</v>
      </c>
      <c r="Y43" s="27">
        <f t="shared" si="3"/>
        <v>29</v>
      </c>
      <c r="Z43" s="27">
        <v>5.10014039E9</v>
      </c>
      <c r="AA43" s="28" t="s">
        <v>174</v>
      </c>
      <c r="AB43" s="31"/>
      <c r="AC43" s="28" t="s">
        <v>158</v>
      </c>
      <c r="AD43" s="28" t="s">
        <v>175</v>
      </c>
      <c r="AE43" s="28" t="s">
        <v>173</v>
      </c>
      <c r="AF43" s="27">
        <f t="shared" si="4"/>
        <v>9</v>
      </c>
      <c r="AG43" s="27">
        <v>1.0</v>
      </c>
      <c r="AH43" s="28" t="s">
        <v>505</v>
      </c>
      <c r="AI43" s="28" t="s">
        <v>506</v>
      </c>
      <c r="AJ43" s="28" t="s">
        <v>507</v>
      </c>
      <c r="AK43" s="28" t="s">
        <v>508</v>
      </c>
      <c r="AL43" s="28" t="s">
        <v>509</v>
      </c>
      <c r="AM43" s="27">
        <v>1.0</v>
      </c>
    </row>
    <row r="44">
      <c r="A44" s="27">
        <v>2166575.0</v>
      </c>
      <c r="B44" s="28" t="s">
        <v>147</v>
      </c>
      <c r="C44" s="27">
        <v>2.200102556E9</v>
      </c>
      <c r="D44" s="27">
        <v>10.0</v>
      </c>
      <c r="E44" s="28" t="s">
        <v>148</v>
      </c>
      <c r="F44" s="28" t="s">
        <v>389</v>
      </c>
      <c r="G44" s="28" t="s">
        <v>510</v>
      </c>
      <c r="H44" s="28" t="s">
        <v>332</v>
      </c>
      <c r="I44" s="27" t="s">
        <v>502</v>
      </c>
      <c r="J44" s="27" t="s">
        <v>502</v>
      </c>
      <c r="K44" s="32">
        <v>45779.0</v>
      </c>
      <c r="L44" s="5">
        <f>Value(left(vlookup(Z44,dayspo,7,0),1))</f>
        <v>1</v>
      </c>
      <c r="M44" s="28">
        <f>roundup(Y44*'Days Sesion'!$S$2,0)</f>
        <v>1</v>
      </c>
      <c r="N44" s="28">
        <f>roundup(Y44*'Days Sesion'!$S$3,0)</f>
        <v>1</v>
      </c>
      <c r="O44" s="28">
        <f>roundup(Y44*'Days Sesion'!$S$5,0)</f>
        <v>1</v>
      </c>
      <c r="P44" s="28">
        <f>Value(left(vlookup(Z44,dayspo,7,0),1))</f>
        <v>1</v>
      </c>
      <c r="Q44" s="28">
        <f>value(left(vlookup(Z44,dayspo,8,0),1))</f>
        <v>3</v>
      </c>
      <c r="R44" s="28">
        <f>roundup(Y44*'Days Sesion'!$S$8,0)</f>
        <v>1</v>
      </c>
      <c r="S44" s="28">
        <f>(value(left(vlookup(Z44,dayspo,19,0),1)))</f>
        <v>2</v>
      </c>
      <c r="T44" s="29">
        <f t="shared" si="1"/>
        <v>11</v>
      </c>
      <c r="U44" s="29">
        <f t="shared" si="2"/>
        <v>5</v>
      </c>
      <c r="V44" s="29" t="s">
        <v>511</v>
      </c>
      <c r="W44" s="28" t="s">
        <v>358</v>
      </c>
      <c r="X44" s="28" t="s">
        <v>194</v>
      </c>
      <c r="Y44" s="27">
        <f t="shared" si="3"/>
        <v>7</v>
      </c>
      <c r="Z44" s="27">
        <v>5.100138387E9</v>
      </c>
      <c r="AA44" s="28" t="s">
        <v>174</v>
      </c>
      <c r="AB44" s="31"/>
      <c r="AC44" s="28" t="s">
        <v>158</v>
      </c>
      <c r="AD44" s="28" t="s">
        <v>175</v>
      </c>
      <c r="AE44" s="28" t="s">
        <v>186</v>
      </c>
      <c r="AF44" s="27">
        <f t="shared" si="4"/>
        <v>6</v>
      </c>
      <c r="AG44" s="27">
        <v>1.0</v>
      </c>
      <c r="AH44" s="28" t="s">
        <v>512</v>
      </c>
      <c r="AI44" s="28" t="s">
        <v>513</v>
      </c>
      <c r="AJ44" s="28" t="s">
        <v>513</v>
      </c>
      <c r="AK44" s="28" t="s">
        <v>514</v>
      </c>
      <c r="AL44" s="28" t="s">
        <v>515</v>
      </c>
      <c r="AM44" s="27">
        <v>1.0</v>
      </c>
    </row>
    <row r="45">
      <c r="A45" s="27">
        <v>2166575.0</v>
      </c>
      <c r="B45" s="28" t="s">
        <v>147</v>
      </c>
      <c r="C45" s="27">
        <v>2.200102105E9</v>
      </c>
      <c r="D45" s="27">
        <v>10.0</v>
      </c>
      <c r="E45" s="28" t="s">
        <v>148</v>
      </c>
      <c r="F45" s="28" t="s">
        <v>209</v>
      </c>
      <c r="G45" s="28" t="s">
        <v>516</v>
      </c>
      <c r="H45" s="28" t="s">
        <v>168</v>
      </c>
      <c r="I45" s="27" t="s">
        <v>517</v>
      </c>
      <c r="J45" s="27" t="s">
        <v>492</v>
      </c>
      <c r="K45" s="29" t="s">
        <v>471</v>
      </c>
      <c r="L45" s="5">
        <f>Value(left(vlookup(Z45,dayspo,7,0),1))</f>
        <v>1</v>
      </c>
      <c r="M45" s="28">
        <f>roundup(Y45*'Days Sesion'!$S$2,0)</f>
        <v>1</v>
      </c>
      <c r="N45" s="28">
        <f>roundup(Y45*'Days Sesion'!$S$3,0)</f>
        <v>1</v>
      </c>
      <c r="O45" s="28">
        <f>roundup(Y45*'Days Sesion'!$S$5,0)</f>
        <v>2</v>
      </c>
      <c r="P45" s="28">
        <f>Value(left(vlookup(Z45,dayspo,7,0),1))</f>
        <v>1</v>
      </c>
      <c r="Q45" s="28">
        <f>value(left(vlookup(Z45,dayspo,8,0),1))</f>
        <v>5</v>
      </c>
      <c r="R45" s="28">
        <f>roundup(Y45*'Days Sesion'!$S$8,0)</f>
        <v>1</v>
      </c>
      <c r="S45" s="28">
        <f>(value(left(vlookup(Z45,dayspo,19,0),1)))</f>
        <v>6</v>
      </c>
      <c r="T45" s="29">
        <f t="shared" si="1"/>
        <v>18</v>
      </c>
      <c r="U45" s="29">
        <f t="shared" si="2"/>
        <v>6</v>
      </c>
      <c r="V45" s="29" t="s">
        <v>493</v>
      </c>
      <c r="W45" s="28" t="s">
        <v>442</v>
      </c>
      <c r="X45" s="28" t="s">
        <v>223</v>
      </c>
      <c r="Y45" s="27">
        <f t="shared" si="3"/>
        <v>14</v>
      </c>
      <c r="Z45" s="27">
        <v>5.100138731E9</v>
      </c>
      <c r="AA45" s="28" t="s">
        <v>157</v>
      </c>
      <c r="AB45" s="31"/>
      <c r="AC45" s="28" t="s">
        <v>158</v>
      </c>
      <c r="AD45" s="28" t="s">
        <v>159</v>
      </c>
      <c r="AE45" s="28" t="s">
        <v>318</v>
      </c>
      <c r="AF45" s="27">
        <f t="shared" si="4"/>
        <v>12</v>
      </c>
      <c r="AG45" s="27">
        <v>1.0</v>
      </c>
      <c r="AH45" s="28" t="s">
        <v>518</v>
      </c>
      <c r="AI45" s="28" t="s">
        <v>519</v>
      </c>
      <c r="AJ45" s="28" t="s">
        <v>520</v>
      </c>
      <c r="AK45" s="28" t="s">
        <v>521</v>
      </c>
      <c r="AL45" s="28" t="s">
        <v>522</v>
      </c>
      <c r="AM45" s="27">
        <v>1.0</v>
      </c>
    </row>
    <row r="46">
      <c r="A46" s="27">
        <v>2166575.0</v>
      </c>
      <c r="B46" s="28" t="s">
        <v>147</v>
      </c>
      <c r="C46" s="27">
        <v>2.200102708E9</v>
      </c>
      <c r="D46" s="27">
        <v>10.0</v>
      </c>
      <c r="E46" s="28" t="s">
        <v>148</v>
      </c>
      <c r="F46" s="28" t="s">
        <v>523</v>
      </c>
      <c r="G46" s="28" t="s">
        <v>524</v>
      </c>
      <c r="H46" s="28" t="s">
        <v>201</v>
      </c>
      <c r="I46" s="33">
        <v>45782.0</v>
      </c>
      <c r="J46" s="27" t="s">
        <v>391</v>
      </c>
      <c r="K46" s="29" t="s">
        <v>425</v>
      </c>
      <c r="L46" s="5">
        <f>Value(left(vlookup(Z46,dayspo,7,0),1))</f>
        <v>0</v>
      </c>
      <c r="M46" s="28">
        <f>roundup(Y46*'Days Sesion'!$S$2,0)</f>
        <v>1</v>
      </c>
      <c r="N46" s="28">
        <f>roundup(Y46*'Days Sesion'!$S$3,0)</f>
        <v>1</v>
      </c>
      <c r="O46" s="28">
        <f>roundup(Y46*'Days Sesion'!$S$5,0)</f>
        <v>1</v>
      </c>
      <c r="P46" s="28">
        <f>Value(left(vlookup(Z46,dayspo,7,0),1))</f>
        <v>0</v>
      </c>
      <c r="Q46" s="28">
        <f>value(left(vlookup(Z46,dayspo,8,0),1))</f>
        <v>5</v>
      </c>
      <c r="R46" s="28">
        <f>roundup(Y46*'Days Sesion'!$S$8,0)</f>
        <v>1</v>
      </c>
      <c r="S46" s="28">
        <f>(value(left(vlookup(Z46,dayspo,19,0),1)))</f>
        <v>1</v>
      </c>
      <c r="T46" s="29">
        <f t="shared" si="1"/>
        <v>10</v>
      </c>
      <c r="U46" s="29">
        <f t="shared" si="2"/>
        <v>4</v>
      </c>
      <c r="V46" s="29" t="s">
        <v>525</v>
      </c>
      <c r="W46" s="28" t="s">
        <v>184</v>
      </c>
      <c r="X46" s="28" t="s">
        <v>186</v>
      </c>
      <c r="Y46" s="27">
        <f t="shared" si="3"/>
        <v>6</v>
      </c>
      <c r="Z46" s="27">
        <v>5.100138727E9</v>
      </c>
      <c r="AA46" s="28" t="s">
        <v>174</v>
      </c>
      <c r="AB46" s="31"/>
      <c r="AC46" s="28" t="s">
        <v>158</v>
      </c>
      <c r="AD46" s="28" t="s">
        <v>175</v>
      </c>
      <c r="AE46" s="28" t="s">
        <v>186</v>
      </c>
      <c r="AF46" s="27">
        <f t="shared" si="4"/>
        <v>6</v>
      </c>
      <c r="AG46" s="27">
        <v>1.0</v>
      </c>
      <c r="AH46" s="28" t="s">
        <v>526</v>
      </c>
      <c r="AI46" s="28" t="s">
        <v>527</v>
      </c>
      <c r="AJ46" s="28" t="s">
        <v>527</v>
      </c>
      <c r="AK46" s="28" t="s">
        <v>528</v>
      </c>
      <c r="AL46" s="28" t="s">
        <v>529</v>
      </c>
      <c r="AM46" s="27">
        <v>1.0</v>
      </c>
    </row>
    <row r="47">
      <c r="A47" s="27">
        <v>2166575.0</v>
      </c>
      <c r="B47" s="28" t="s">
        <v>147</v>
      </c>
      <c r="C47" s="27">
        <v>2.200102696E9</v>
      </c>
      <c r="D47" s="27">
        <v>10.0</v>
      </c>
      <c r="E47" s="28" t="s">
        <v>148</v>
      </c>
      <c r="F47" s="28" t="s">
        <v>209</v>
      </c>
      <c r="G47" s="28" t="s">
        <v>530</v>
      </c>
      <c r="H47" s="28" t="s">
        <v>168</v>
      </c>
      <c r="I47" s="33">
        <v>45693.0</v>
      </c>
      <c r="J47" s="33">
        <v>45874.0</v>
      </c>
      <c r="K47" s="29" t="s">
        <v>425</v>
      </c>
      <c r="L47" s="5">
        <f>Value(left(vlookup(Z47,dayspo,7,0),1))</f>
        <v>0</v>
      </c>
      <c r="M47" s="28">
        <f>roundup(Y47*'Days Sesion'!$S$2,0)</f>
        <v>1</v>
      </c>
      <c r="N47" s="28">
        <f>roundup(Y47*'Days Sesion'!$S$3,0)</f>
        <v>1</v>
      </c>
      <c r="O47" s="28">
        <f>roundup(Y47*'Days Sesion'!$S$5,0)</f>
        <v>2</v>
      </c>
      <c r="P47" s="28">
        <f>Value(left(vlookup(Z47,dayspo,7,0),1))</f>
        <v>0</v>
      </c>
      <c r="Q47" s="28">
        <f>value(left(vlookup(Z47,dayspo,8,0),1))</f>
        <v>5</v>
      </c>
      <c r="R47" s="28">
        <f>roundup(Y47*'Days Sesion'!$S$8,0)</f>
        <v>1</v>
      </c>
      <c r="S47" s="28">
        <f>(value(left(vlookup(Z47,dayspo,19,0),1)))</f>
        <v>9</v>
      </c>
      <c r="T47" s="29">
        <f t="shared" si="1"/>
        <v>19</v>
      </c>
      <c r="U47" s="29">
        <f t="shared" si="2"/>
        <v>5</v>
      </c>
      <c r="V47" s="32">
        <v>45820.0</v>
      </c>
      <c r="W47" s="28" t="s">
        <v>442</v>
      </c>
      <c r="X47" s="28" t="s">
        <v>531</v>
      </c>
      <c r="Y47" s="27">
        <f t="shared" si="3"/>
        <v>20</v>
      </c>
      <c r="Z47" s="27">
        <v>5.100139316E9</v>
      </c>
      <c r="AA47" s="28" t="s">
        <v>157</v>
      </c>
      <c r="AB47" s="31"/>
      <c r="AC47" s="28" t="s">
        <v>158</v>
      </c>
      <c r="AD47" s="28" t="s">
        <v>159</v>
      </c>
      <c r="AE47" s="28" t="s">
        <v>223</v>
      </c>
      <c r="AF47" s="27">
        <f t="shared" si="4"/>
        <v>14</v>
      </c>
      <c r="AG47" s="27">
        <v>1.0</v>
      </c>
      <c r="AH47" s="28" t="s">
        <v>532</v>
      </c>
      <c r="AI47" s="28" t="s">
        <v>533</v>
      </c>
      <c r="AJ47" s="28" t="s">
        <v>534</v>
      </c>
      <c r="AK47" s="28" t="s">
        <v>535</v>
      </c>
      <c r="AL47" s="28" t="s">
        <v>536</v>
      </c>
      <c r="AM47" s="27">
        <v>1.0</v>
      </c>
    </row>
    <row r="48">
      <c r="A48" s="37">
        <v>2166575.0</v>
      </c>
      <c r="B48" s="38" t="s">
        <v>147</v>
      </c>
      <c r="C48" s="37">
        <v>2.200103113E9</v>
      </c>
      <c r="D48" s="37">
        <v>10.0</v>
      </c>
      <c r="E48" s="38" t="s">
        <v>148</v>
      </c>
      <c r="F48" s="38" t="s">
        <v>281</v>
      </c>
      <c r="G48" s="38" t="s">
        <v>537</v>
      </c>
      <c r="H48" s="38" t="s">
        <v>283</v>
      </c>
      <c r="I48" s="37" t="s">
        <v>357</v>
      </c>
      <c r="J48" s="37" t="s">
        <v>432</v>
      </c>
      <c r="K48" s="39" t="s">
        <v>538</v>
      </c>
      <c r="L48" s="5">
        <f>Value(left(vlookup(Z48,dayspo,7,0),1))</f>
        <v>0</v>
      </c>
      <c r="M48" s="28">
        <f>roundup(Y48*'Days Sesion'!$S$2,0)</f>
        <v>1</v>
      </c>
      <c r="N48" s="28">
        <f>roundup(Y48*'Days Sesion'!$S$3,0)</f>
        <v>1</v>
      </c>
      <c r="O48" s="28">
        <f>roundup(Y48*'Days Sesion'!$S$5,0)</f>
        <v>3</v>
      </c>
      <c r="P48" s="28">
        <f>roundup(Y48*'Days Sesion'!$S$6,0)</f>
        <v>6</v>
      </c>
      <c r="Q48" s="28">
        <f>value(left(vlookup(Z48,dayspo,8,0),1))</f>
        <v>5</v>
      </c>
      <c r="R48" s="28">
        <f>roundup(Y48*'Days Sesion'!$S$8,0)</f>
        <v>1</v>
      </c>
      <c r="S48" s="28">
        <f>roundup(Y48*'Days Sesion'!$S$9,0)</f>
        <v>6</v>
      </c>
      <c r="T48" s="29">
        <f t="shared" si="1"/>
        <v>23</v>
      </c>
      <c r="U48" s="29">
        <f t="shared" si="2"/>
        <v>0</v>
      </c>
      <c r="V48" s="40">
        <v>45846.0</v>
      </c>
      <c r="W48" s="38" t="s">
        <v>539</v>
      </c>
      <c r="X48" s="38" t="s">
        <v>540</v>
      </c>
      <c r="Y48" s="27">
        <f t="shared" si="3"/>
        <v>28</v>
      </c>
      <c r="Z48" s="37">
        <v>5.100140323E9</v>
      </c>
      <c r="AA48" s="38" t="s">
        <v>157</v>
      </c>
      <c r="AB48" s="41"/>
      <c r="AC48" s="38" t="s">
        <v>158</v>
      </c>
      <c r="AD48" s="38" t="s">
        <v>159</v>
      </c>
      <c r="AE48" s="38" t="s">
        <v>269</v>
      </c>
      <c r="AF48" s="27">
        <f t="shared" si="4"/>
        <v>23</v>
      </c>
      <c r="AG48" s="37">
        <v>0.0</v>
      </c>
      <c r="AH48" s="38" t="s">
        <v>541</v>
      </c>
      <c r="AI48" s="38" t="s">
        <v>542</v>
      </c>
      <c r="AJ48" s="38" t="s">
        <v>542</v>
      </c>
      <c r="AK48" s="38" t="s">
        <v>543</v>
      </c>
      <c r="AL48" s="38" t="s">
        <v>544</v>
      </c>
      <c r="AM48" s="37">
        <v>1.0</v>
      </c>
    </row>
    <row r="49">
      <c r="A49" s="27">
        <v>2166575.0</v>
      </c>
      <c r="B49" s="28" t="s">
        <v>147</v>
      </c>
      <c r="C49" s="27">
        <v>2.200103129E9</v>
      </c>
      <c r="D49" s="27">
        <v>10.0</v>
      </c>
      <c r="E49" s="28" t="s">
        <v>148</v>
      </c>
      <c r="F49" s="28" t="s">
        <v>209</v>
      </c>
      <c r="G49" s="28" t="s">
        <v>545</v>
      </c>
      <c r="H49" s="28" t="s">
        <v>168</v>
      </c>
      <c r="I49" s="27" t="s">
        <v>357</v>
      </c>
      <c r="J49" s="27" t="s">
        <v>284</v>
      </c>
      <c r="K49" s="29" t="s">
        <v>493</v>
      </c>
      <c r="L49" s="5">
        <f>Value(left(vlookup(Z49,dayspo,7,0),1))</f>
        <v>6</v>
      </c>
      <c r="M49" s="28">
        <f>roundup(Y49*'Days Sesion'!$S$2,0)</f>
        <v>1</v>
      </c>
      <c r="N49" s="28">
        <f>roundup(Y49*'Days Sesion'!$S$3,0)</f>
        <v>1</v>
      </c>
      <c r="O49" s="28">
        <f>roundup(Y49*'Days Sesion'!$S$5,0)</f>
        <v>2</v>
      </c>
      <c r="P49" s="28">
        <f>Value(left(vlookup(Z49,dayspo,7,0),1))</f>
        <v>6</v>
      </c>
      <c r="Q49" s="28">
        <f>value(left(vlookup(Z49,dayspo,8,0),1))</f>
        <v>8</v>
      </c>
      <c r="R49" s="28">
        <f>roundup(Y49*'Days Sesion'!$S$8,0)</f>
        <v>1</v>
      </c>
      <c r="S49" s="28">
        <f>(value(left(vlookup(Z49,dayspo,19,0),1)))</f>
        <v>3</v>
      </c>
      <c r="T49" s="29">
        <f t="shared" si="1"/>
        <v>28</v>
      </c>
      <c r="U49" s="29">
        <f t="shared" si="2"/>
        <v>11</v>
      </c>
      <c r="V49" s="29" t="s">
        <v>546</v>
      </c>
      <c r="W49" s="28" t="s">
        <v>547</v>
      </c>
      <c r="X49" s="28" t="s">
        <v>401</v>
      </c>
      <c r="Y49" s="27">
        <f t="shared" si="3"/>
        <v>18</v>
      </c>
      <c r="Z49" s="27">
        <v>5.10013968E9</v>
      </c>
      <c r="AA49" s="28" t="s">
        <v>174</v>
      </c>
      <c r="AB49" s="31"/>
      <c r="AC49" s="28" t="s">
        <v>158</v>
      </c>
      <c r="AD49" s="28" t="s">
        <v>175</v>
      </c>
      <c r="AE49" s="28" t="s">
        <v>402</v>
      </c>
      <c r="AF49" s="27">
        <f t="shared" si="4"/>
        <v>17</v>
      </c>
      <c r="AG49" s="27">
        <v>1.0</v>
      </c>
      <c r="AH49" s="28" t="s">
        <v>548</v>
      </c>
      <c r="AI49" s="28" t="s">
        <v>549</v>
      </c>
      <c r="AJ49" s="28" t="s">
        <v>550</v>
      </c>
      <c r="AK49" s="28" t="s">
        <v>551</v>
      </c>
      <c r="AL49" s="28" t="s">
        <v>552</v>
      </c>
      <c r="AM49" s="27">
        <v>1.0</v>
      </c>
    </row>
    <row r="50">
      <c r="A50" s="27">
        <v>2166575.0</v>
      </c>
      <c r="B50" s="28" t="s">
        <v>147</v>
      </c>
      <c r="C50" s="27">
        <v>2.200103225E9</v>
      </c>
      <c r="D50" s="27">
        <v>10.0</v>
      </c>
      <c r="E50" s="28" t="s">
        <v>148</v>
      </c>
      <c r="F50" s="28" t="s">
        <v>314</v>
      </c>
      <c r="G50" s="28" t="s">
        <v>553</v>
      </c>
      <c r="H50" s="28" t="s">
        <v>316</v>
      </c>
      <c r="I50" s="27" t="s">
        <v>461</v>
      </c>
      <c r="J50" s="27" t="s">
        <v>485</v>
      </c>
      <c r="K50" s="32">
        <v>45810.0</v>
      </c>
      <c r="L50" s="5">
        <f>Value(left(vlookup(Z50,dayspo,7,0),1))</f>
        <v>0</v>
      </c>
      <c r="M50" s="28">
        <f>roundup(Y50*'Days Sesion'!$S$2,0)</f>
        <v>1</v>
      </c>
      <c r="N50" s="28">
        <f>roundup(Y50*'Days Sesion'!$S$3,0)</f>
        <v>1</v>
      </c>
      <c r="O50" s="28">
        <f>roundup(Y50*'Days Sesion'!$S$5,0)</f>
        <v>1</v>
      </c>
      <c r="P50" s="28">
        <f>Value(left(vlookup(Z50,dayspo,7,0),1))</f>
        <v>0</v>
      </c>
      <c r="Q50" s="28">
        <f>value(left(vlookup(Z50,dayspo,8,0),1))</f>
        <v>4</v>
      </c>
      <c r="R50" s="28">
        <f>roundup(Y50*'Days Sesion'!$S$8,0)</f>
        <v>1</v>
      </c>
      <c r="S50" s="28">
        <f>(value(left(vlookup(Z50,dayspo,19,0),1)))</f>
        <v>2</v>
      </c>
      <c r="T50" s="29">
        <f t="shared" si="1"/>
        <v>10</v>
      </c>
      <c r="U50" s="29">
        <f t="shared" si="2"/>
        <v>4</v>
      </c>
      <c r="V50" s="29" t="s">
        <v>554</v>
      </c>
      <c r="W50" s="28" t="s">
        <v>317</v>
      </c>
      <c r="X50" s="28" t="s">
        <v>176</v>
      </c>
      <c r="Y50" s="27">
        <f t="shared" si="3"/>
        <v>8</v>
      </c>
      <c r="Z50" s="27">
        <v>5.100139491E9</v>
      </c>
      <c r="AA50" s="28" t="s">
        <v>157</v>
      </c>
      <c r="AB50" s="31"/>
      <c r="AC50" s="28" t="s">
        <v>158</v>
      </c>
      <c r="AD50" s="28" t="s">
        <v>159</v>
      </c>
      <c r="AE50" s="28" t="s">
        <v>186</v>
      </c>
      <c r="AF50" s="27">
        <f t="shared" si="4"/>
        <v>6</v>
      </c>
      <c r="AG50" s="27">
        <v>1.0</v>
      </c>
      <c r="AH50" s="28" t="s">
        <v>555</v>
      </c>
      <c r="AI50" s="28" t="s">
        <v>556</v>
      </c>
      <c r="AJ50" s="28" t="s">
        <v>557</v>
      </c>
      <c r="AK50" s="28" t="s">
        <v>558</v>
      </c>
      <c r="AL50" s="28" t="s">
        <v>559</v>
      </c>
      <c r="AM50" s="27">
        <v>1.0</v>
      </c>
    </row>
    <row r="51">
      <c r="A51" s="27">
        <v>2166575.0</v>
      </c>
      <c r="B51" s="28" t="s">
        <v>147</v>
      </c>
      <c r="C51" s="27">
        <v>2.200103392E9</v>
      </c>
      <c r="D51" s="27">
        <v>10.0</v>
      </c>
      <c r="E51" s="28" t="s">
        <v>148</v>
      </c>
      <c r="F51" s="28" t="s">
        <v>219</v>
      </c>
      <c r="G51" s="28" t="s">
        <v>560</v>
      </c>
      <c r="H51" s="28" t="s">
        <v>221</v>
      </c>
      <c r="I51" s="27" t="s">
        <v>525</v>
      </c>
      <c r="J51" s="27" t="s">
        <v>355</v>
      </c>
      <c r="K51" s="29" t="s">
        <v>486</v>
      </c>
      <c r="L51" s="5">
        <f>Value(left(vlookup(Z51,dayspo,7,0),1))</f>
        <v>0</v>
      </c>
      <c r="M51" s="28">
        <f>roundup(Y51*'Days Sesion'!$S$2,0)</f>
        <v>1</v>
      </c>
      <c r="N51" s="28">
        <f>roundup(Y51*'Days Sesion'!$S$3,0)</f>
        <v>1</v>
      </c>
      <c r="O51" s="28">
        <f>roundup(Y51*'Days Sesion'!$S$5,0)</f>
        <v>3</v>
      </c>
      <c r="P51" s="28">
        <f>roundup(Y51*'Days Sesion'!$S$6,0)</f>
        <v>7</v>
      </c>
      <c r="Q51" s="28">
        <f>value(left(vlookup(Z51,dayspo,8,0),1))</f>
        <v>6</v>
      </c>
      <c r="R51" s="28">
        <f>roundup(Y51*'Days Sesion'!$S$8,0)</f>
        <v>1</v>
      </c>
      <c r="S51" s="28">
        <f>(value(left(vlookup(Z51,dayspo,19,0),1)))</f>
        <v>2</v>
      </c>
      <c r="T51" s="29">
        <f t="shared" si="1"/>
        <v>21</v>
      </c>
      <c r="U51" s="35">
        <f t="shared" si="2"/>
        <v>-6</v>
      </c>
      <c r="V51" s="32">
        <v>45850.0</v>
      </c>
      <c r="W51" s="28" t="s">
        <v>400</v>
      </c>
      <c r="X51" s="28" t="s">
        <v>561</v>
      </c>
      <c r="Y51" s="27">
        <f t="shared" si="3"/>
        <v>30</v>
      </c>
      <c r="Z51" s="27">
        <v>5.100140398E9</v>
      </c>
      <c r="AA51" s="28" t="s">
        <v>174</v>
      </c>
      <c r="AB51" s="31"/>
      <c r="AC51" s="28" t="s">
        <v>158</v>
      </c>
      <c r="AD51" s="28" t="s">
        <v>175</v>
      </c>
      <c r="AE51" s="28" t="s">
        <v>286</v>
      </c>
      <c r="AF51" s="27">
        <f t="shared" si="4"/>
        <v>27</v>
      </c>
      <c r="AG51" s="27">
        <v>1.0</v>
      </c>
      <c r="AH51" s="28" t="s">
        <v>562</v>
      </c>
      <c r="AI51" s="28" t="s">
        <v>563</v>
      </c>
      <c r="AJ51" s="28" t="s">
        <v>564</v>
      </c>
      <c r="AK51" s="28" t="s">
        <v>565</v>
      </c>
      <c r="AL51" s="28" t="s">
        <v>566</v>
      </c>
      <c r="AM51" s="27">
        <v>1.0</v>
      </c>
    </row>
    <row r="52">
      <c r="A52" s="27">
        <v>2166575.0</v>
      </c>
      <c r="B52" s="28" t="s">
        <v>147</v>
      </c>
      <c r="C52" s="27">
        <v>2.200103369E9</v>
      </c>
      <c r="D52" s="27">
        <v>10.0</v>
      </c>
      <c r="E52" s="28" t="s">
        <v>148</v>
      </c>
      <c r="F52" s="28" t="s">
        <v>306</v>
      </c>
      <c r="G52" s="28" t="s">
        <v>567</v>
      </c>
      <c r="H52" s="28" t="s">
        <v>308</v>
      </c>
      <c r="I52" s="27" t="s">
        <v>493</v>
      </c>
      <c r="J52" s="27" t="s">
        <v>391</v>
      </c>
      <c r="K52" s="29" t="s">
        <v>486</v>
      </c>
      <c r="L52" s="5">
        <f>Value(left(vlookup(Z52,dayspo,7,0),1))</f>
        <v>0</v>
      </c>
      <c r="M52" s="28">
        <f>roundup(Y52*'Days Sesion'!$S$2,0)</f>
        <v>1</v>
      </c>
      <c r="N52" s="28">
        <f>roundup(Y52*'Days Sesion'!$S$3,0)</f>
        <v>1</v>
      </c>
      <c r="O52" s="28">
        <f>roundup(Y52*'Days Sesion'!$S$5,0)</f>
        <v>1</v>
      </c>
      <c r="P52" s="28">
        <f>Value(left(vlookup(Z52,dayspo,7,0),1))</f>
        <v>0</v>
      </c>
      <c r="Q52" s="28">
        <f>value(left(vlookup(Z52,dayspo,8,0),1))</f>
        <v>7</v>
      </c>
      <c r="R52" s="28">
        <f>roundup(Y52*'Days Sesion'!$S$8,0)</f>
        <v>1</v>
      </c>
      <c r="S52" s="28">
        <f>(value(left(vlookup(Z52,dayspo,19,0),1)))</f>
        <v>2</v>
      </c>
      <c r="T52" s="29">
        <f t="shared" si="1"/>
        <v>13</v>
      </c>
      <c r="U52" s="29">
        <f t="shared" si="2"/>
        <v>4</v>
      </c>
      <c r="V52" s="29" t="s">
        <v>554</v>
      </c>
      <c r="W52" s="28" t="s">
        <v>184</v>
      </c>
      <c r="X52" s="28" t="s">
        <v>185</v>
      </c>
      <c r="Y52" s="27">
        <f t="shared" si="3"/>
        <v>10</v>
      </c>
      <c r="Z52" s="27">
        <v>5.100139487E9</v>
      </c>
      <c r="AA52" s="28" t="s">
        <v>174</v>
      </c>
      <c r="AB52" s="31"/>
      <c r="AC52" s="28" t="s">
        <v>158</v>
      </c>
      <c r="AD52" s="28" t="s">
        <v>175</v>
      </c>
      <c r="AE52" s="28" t="s">
        <v>173</v>
      </c>
      <c r="AF52" s="27">
        <f t="shared" si="4"/>
        <v>9</v>
      </c>
      <c r="AG52" s="27">
        <v>1.0</v>
      </c>
      <c r="AH52" s="28" t="s">
        <v>568</v>
      </c>
      <c r="AI52" s="28" t="s">
        <v>569</v>
      </c>
      <c r="AJ52" s="28" t="s">
        <v>570</v>
      </c>
      <c r="AK52" s="28" t="s">
        <v>251</v>
      </c>
      <c r="AL52" s="28" t="s">
        <v>571</v>
      </c>
      <c r="AM52" s="27">
        <v>1.0</v>
      </c>
    </row>
    <row r="53">
      <c r="A53" s="27">
        <v>2166575.0</v>
      </c>
      <c r="B53" s="28" t="s">
        <v>147</v>
      </c>
      <c r="C53" s="27">
        <v>2.200103524E9</v>
      </c>
      <c r="D53" s="27">
        <v>10.0</v>
      </c>
      <c r="E53" s="28" t="s">
        <v>148</v>
      </c>
      <c r="F53" s="28" t="s">
        <v>572</v>
      </c>
      <c r="G53" s="28" t="s">
        <v>573</v>
      </c>
      <c r="H53" s="28" t="s">
        <v>316</v>
      </c>
      <c r="I53" s="27" t="s">
        <v>574</v>
      </c>
      <c r="J53" s="27" t="s">
        <v>574</v>
      </c>
      <c r="K53" s="32">
        <v>45810.0</v>
      </c>
      <c r="L53" s="5">
        <f>Value(left(vlookup(Z53,dayspo,7,0),1))</f>
        <v>0</v>
      </c>
      <c r="M53" s="28">
        <f>roundup(Y53*'Days Sesion'!$S$2,0)</f>
        <v>1</v>
      </c>
      <c r="N53" s="28">
        <f>roundup(Y53*'Days Sesion'!$S$3,0)</f>
        <v>1</v>
      </c>
      <c r="O53" s="28">
        <f>roundup(Y53*'Days Sesion'!$S$5,0)</f>
        <v>2</v>
      </c>
      <c r="P53" s="28">
        <f>Value(left(vlookup(Z53,dayspo,7,0),1))</f>
        <v>0</v>
      </c>
      <c r="Q53" s="28">
        <f>value(left(vlookup(Z53,dayspo,8,0),1))</f>
        <v>5</v>
      </c>
      <c r="R53" s="28">
        <f>roundup(Y53*'Days Sesion'!$S$8,0)</f>
        <v>1</v>
      </c>
      <c r="S53" s="28">
        <f>(value(left(vlookup(Z53,dayspo,19,0),1)))</f>
        <v>6</v>
      </c>
      <c r="T53" s="29">
        <f t="shared" si="1"/>
        <v>16</v>
      </c>
      <c r="U53" s="29">
        <f t="shared" si="2"/>
        <v>5</v>
      </c>
      <c r="V53" s="29" t="s">
        <v>546</v>
      </c>
      <c r="W53" s="28" t="s">
        <v>184</v>
      </c>
      <c r="X53" s="28" t="s">
        <v>318</v>
      </c>
      <c r="Y53" s="27">
        <f t="shared" si="3"/>
        <v>12</v>
      </c>
      <c r="Z53" s="27">
        <v>5.100139566E9</v>
      </c>
      <c r="AA53" s="28" t="s">
        <v>174</v>
      </c>
      <c r="AB53" s="31"/>
      <c r="AC53" s="28" t="s">
        <v>158</v>
      </c>
      <c r="AD53" s="28" t="s">
        <v>175</v>
      </c>
      <c r="AE53" s="28" t="s">
        <v>160</v>
      </c>
      <c r="AF53" s="27">
        <f t="shared" si="4"/>
        <v>11</v>
      </c>
      <c r="AG53" s="27">
        <v>1.0</v>
      </c>
      <c r="AH53" s="28" t="s">
        <v>575</v>
      </c>
      <c r="AI53" s="28" t="s">
        <v>576</v>
      </c>
      <c r="AJ53" s="28" t="s">
        <v>577</v>
      </c>
      <c r="AK53" s="28" t="s">
        <v>578</v>
      </c>
      <c r="AL53" s="28" t="s">
        <v>165</v>
      </c>
      <c r="AM53" s="27">
        <v>1.0</v>
      </c>
    </row>
    <row r="54">
      <c r="A54" s="27">
        <v>2166575.0</v>
      </c>
      <c r="B54" s="28" t="s">
        <v>147</v>
      </c>
      <c r="C54" s="27">
        <v>2.200103662E9</v>
      </c>
      <c r="D54" s="27">
        <v>10.0</v>
      </c>
      <c r="E54" s="28" t="s">
        <v>148</v>
      </c>
      <c r="F54" s="28" t="s">
        <v>579</v>
      </c>
      <c r="G54" s="28" t="s">
        <v>580</v>
      </c>
      <c r="H54" s="28" t="s">
        <v>581</v>
      </c>
      <c r="I54" s="33">
        <v>45722.0</v>
      </c>
      <c r="J54" s="27" t="s">
        <v>391</v>
      </c>
      <c r="K54" s="32">
        <v>45812.0</v>
      </c>
      <c r="L54" s="5">
        <f>Value(left(vlookup(Z54,dayspo,7,0),1))</f>
        <v>4</v>
      </c>
      <c r="M54" s="28">
        <f>roundup(Y54*'Days Sesion'!$S$2,0)</f>
        <v>1</v>
      </c>
      <c r="N54" s="28">
        <f>roundup(Y54*'Days Sesion'!$S$3,0)</f>
        <v>1</v>
      </c>
      <c r="O54" s="28">
        <f>roundup(Y54*'Days Sesion'!$S$5,0)</f>
        <v>1</v>
      </c>
      <c r="P54" s="28">
        <f>Value(left(vlookup(Z54,dayspo,7,0),1))</f>
        <v>4</v>
      </c>
      <c r="Q54" s="28">
        <f>value(left(vlookup(Z54,dayspo,8,0),1))</f>
        <v>6</v>
      </c>
      <c r="R54" s="28">
        <f>roundup(Y54*'Days Sesion'!$S$8,0)</f>
        <v>1</v>
      </c>
      <c r="S54" s="28">
        <f>(value(left(vlookup(Z54,dayspo,19,0),1)))</f>
        <v>1</v>
      </c>
      <c r="T54" s="29">
        <f t="shared" si="1"/>
        <v>19</v>
      </c>
      <c r="U54" s="29">
        <f t="shared" si="2"/>
        <v>8</v>
      </c>
      <c r="V54" s="29" t="s">
        <v>582</v>
      </c>
      <c r="W54" s="28" t="s">
        <v>295</v>
      </c>
      <c r="X54" s="28" t="s">
        <v>160</v>
      </c>
      <c r="Y54" s="27">
        <f t="shared" si="3"/>
        <v>11</v>
      </c>
      <c r="Z54" s="27">
        <v>5.100139717E9</v>
      </c>
      <c r="AA54" s="28" t="s">
        <v>174</v>
      </c>
      <c r="AB54" s="31"/>
      <c r="AC54" s="28" t="s">
        <v>158</v>
      </c>
      <c r="AD54" s="28" t="s">
        <v>175</v>
      </c>
      <c r="AE54" s="28" t="s">
        <v>160</v>
      </c>
      <c r="AF54" s="27">
        <f t="shared" si="4"/>
        <v>11</v>
      </c>
      <c r="AG54" s="27">
        <v>1.0</v>
      </c>
      <c r="AH54" s="28" t="s">
        <v>583</v>
      </c>
      <c r="AI54" s="28" t="s">
        <v>584</v>
      </c>
      <c r="AJ54" s="28" t="s">
        <v>584</v>
      </c>
      <c r="AK54" s="28" t="s">
        <v>585</v>
      </c>
      <c r="AL54" s="28" t="s">
        <v>586</v>
      </c>
      <c r="AM54" s="27">
        <v>1.0</v>
      </c>
    </row>
    <row r="55">
      <c r="A55" s="27">
        <v>2166575.0</v>
      </c>
      <c r="B55" s="28" t="s">
        <v>147</v>
      </c>
      <c r="C55" s="27">
        <v>2.200103688E9</v>
      </c>
      <c r="D55" s="27">
        <v>10.0</v>
      </c>
      <c r="E55" s="28" t="s">
        <v>148</v>
      </c>
      <c r="F55" s="28" t="s">
        <v>523</v>
      </c>
      <c r="G55" s="28" t="s">
        <v>587</v>
      </c>
      <c r="H55" s="28" t="s">
        <v>201</v>
      </c>
      <c r="I55" s="33">
        <v>45753.0</v>
      </c>
      <c r="J55" s="33">
        <v>45753.0</v>
      </c>
      <c r="K55" s="29" t="s">
        <v>588</v>
      </c>
      <c r="L55" s="5">
        <f>Value(left(vlookup(Z55,dayspo,7,0),1))</f>
        <v>4</v>
      </c>
      <c r="M55" s="28">
        <f>roundup(Y55*'Days Sesion'!$S$2,0)</f>
        <v>1</v>
      </c>
      <c r="N55" s="28">
        <f>roundup(Y55*'Days Sesion'!$S$3,0)</f>
        <v>1</v>
      </c>
      <c r="O55" s="28">
        <f>roundup(Y55*'Days Sesion'!$S$5,0)</f>
        <v>2</v>
      </c>
      <c r="P55" s="28">
        <f>Value(left(vlookup(Z55,dayspo,7,0),1))</f>
        <v>4</v>
      </c>
      <c r="Q55" s="28">
        <f>value(left(vlookup(Z55,dayspo,8,0),1))</f>
        <v>7</v>
      </c>
      <c r="R55" s="28">
        <f>roundup(Y55*'Days Sesion'!$S$8,0)</f>
        <v>1</v>
      </c>
      <c r="S55" s="28">
        <f>(value(left(vlookup(Z55,dayspo,19,0),1)))</f>
        <v>2</v>
      </c>
      <c r="T55" s="29">
        <f t="shared" si="1"/>
        <v>22</v>
      </c>
      <c r="U55" s="29">
        <f t="shared" si="2"/>
        <v>9</v>
      </c>
      <c r="V55" s="32">
        <v>45846.0</v>
      </c>
      <c r="W55" s="28" t="s">
        <v>494</v>
      </c>
      <c r="X55" s="28" t="s">
        <v>159</v>
      </c>
      <c r="Y55" s="27">
        <f t="shared" si="3"/>
        <v>15</v>
      </c>
      <c r="Z55" s="27">
        <v>5.10014046E9</v>
      </c>
      <c r="AA55" s="28" t="s">
        <v>495</v>
      </c>
      <c r="AB55" s="31"/>
      <c r="AC55" s="28" t="s">
        <v>158</v>
      </c>
      <c r="AD55" s="28" t="s">
        <v>175</v>
      </c>
      <c r="AE55" s="28" t="s">
        <v>156</v>
      </c>
      <c r="AF55" s="27">
        <f t="shared" si="4"/>
        <v>13</v>
      </c>
      <c r="AG55" s="27">
        <v>1.0</v>
      </c>
      <c r="AH55" s="28" t="s">
        <v>589</v>
      </c>
      <c r="AI55" s="28" t="s">
        <v>590</v>
      </c>
      <c r="AJ55" s="28" t="s">
        <v>591</v>
      </c>
      <c r="AK55" s="28" t="s">
        <v>592</v>
      </c>
      <c r="AL55" s="28" t="s">
        <v>593</v>
      </c>
      <c r="AM55" s="27">
        <v>1.0</v>
      </c>
    </row>
    <row r="56">
      <c r="A56" s="27">
        <v>2166575.0</v>
      </c>
      <c r="B56" s="28" t="s">
        <v>147</v>
      </c>
      <c r="C56" s="27">
        <v>2.200103739E9</v>
      </c>
      <c r="D56" s="27">
        <v>10.0</v>
      </c>
      <c r="E56" s="28" t="s">
        <v>148</v>
      </c>
      <c r="F56" s="28" t="s">
        <v>209</v>
      </c>
      <c r="G56" s="28" t="s">
        <v>594</v>
      </c>
      <c r="H56" s="28" t="s">
        <v>168</v>
      </c>
      <c r="I56" s="33">
        <v>45906.0</v>
      </c>
      <c r="J56" s="27" t="s">
        <v>595</v>
      </c>
      <c r="K56" s="29" t="s">
        <v>546</v>
      </c>
      <c r="L56" s="5">
        <f>Value(left(vlookup(Z56,dayspo,7,0),1))</f>
        <v>2</v>
      </c>
      <c r="M56" s="28">
        <f>roundup(Y56*'Days Sesion'!$S$2,0)</f>
        <v>1</v>
      </c>
      <c r="N56" s="28">
        <f>roundup(Y56*'Days Sesion'!$S$3,0)</f>
        <v>1</v>
      </c>
      <c r="O56" s="28">
        <f>roundup(Y56*'Days Sesion'!$S$5,0)</f>
        <v>1</v>
      </c>
      <c r="P56" s="28">
        <f>Value(left(vlookup(Z56,dayspo,7,0),1))</f>
        <v>2</v>
      </c>
      <c r="Q56" s="28">
        <f>value(left(vlookup(Z56,dayspo,8,0),1))</f>
        <v>7</v>
      </c>
      <c r="R56" s="28">
        <f>roundup(Y56*'Days Sesion'!$S$8,0)</f>
        <v>1</v>
      </c>
      <c r="S56" s="28">
        <f>(value(left(vlookup(Z56,dayspo,19,0),1)))</f>
        <v>1</v>
      </c>
      <c r="T56" s="29">
        <f t="shared" si="1"/>
        <v>16</v>
      </c>
      <c r="U56" s="29">
        <f t="shared" si="2"/>
        <v>6</v>
      </c>
      <c r="V56" s="32">
        <v>45845.0</v>
      </c>
      <c r="W56" s="28" t="s">
        <v>547</v>
      </c>
      <c r="X56" s="28" t="s">
        <v>160</v>
      </c>
      <c r="Y56" s="27">
        <f t="shared" si="3"/>
        <v>11</v>
      </c>
      <c r="Z56" s="27">
        <v>5.100140396E9</v>
      </c>
      <c r="AA56" s="28" t="s">
        <v>174</v>
      </c>
      <c r="AB56" s="31"/>
      <c r="AC56" s="28" t="s">
        <v>158</v>
      </c>
      <c r="AD56" s="28" t="s">
        <v>175</v>
      </c>
      <c r="AE56" s="28" t="s">
        <v>185</v>
      </c>
      <c r="AF56" s="27">
        <f t="shared" si="4"/>
        <v>10</v>
      </c>
      <c r="AG56" s="27">
        <v>1.0</v>
      </c>
      <c r="AH56" s="28" t="s">
        <v>596</v>
      </c>
      <c r="AI56" s="28" t="s">
        <v>597</v>
      </c>
      <c r="AJ56" s="28" t="s">
        <v>598</v>
      </c>
      <c r="AK56" s="28" t="s">
        <v>599</v>
      </c>
      <c r="AL56" s="28" t="s">
        <v>600</v>
      </c>
      <c r="AM56" s="27">
        <v>1.0</v>
      </c>
    </row>
    <row r="57">
      <c r="A57" s="27">
        <v>2166575.0</v>
      </c>
      <c r="B57" s="28" t="s">
        <v>147</v>
      </c>
      <c r="C57" s="27">
        <v>2.20010383E9</v>
      </c>
      <c r="D57" s="27">
        <v>10.0</v>
      </c>
      <c r="E57" s="28" t="s">
        <v>148</v>
      </c>
      <c r="F57" s="28" t="s">
        <v>601</v>
      </c>
      <c r="G57" s="28" t="s">
        <v>602</v>
      </c>
      <c r="H57" s="28" t="s">
        <v>201</v>
      </c>
      <c r="I57" s="33">
        <v>45997.0</v>
      </c>
      <c r="J57" s="27" t="s">
        <v>546</v>
      </c>
      <c r="K57" s="29" t="s">
        <v>582</v>
      </c>
      <c r="M57" s="28">
        <f>roundup(Y57*'Days Sesion'!$S$2,0)</f>
        <v>1</v>
      </c>
      <c r="N57" s="28">
        <f>roundup(Y57*'Days Sesion'!$S$3,0)</f>
        <v>1</v>
      </c>
      <c r="O57" s="28">
        <f>roundup(Y57*'Days Sesion'!$S$5,0)</f>
        <v>1</v>
      </c>
      <c r="P57" s="28">
        <f>roundup(Y57*'Days Sesion'!$S$6,0)</f>
        <v>1</v>
      </c>
      <c r="Q57" s="28">
        <f>roundup(Y16*'Days Sesion'!$S$7,0)</f>
        <v>2</v>
      </c>
      <c r="R57" s="28">
        <f>roundup(Y57*'Days Sesion'!$S$8,0)</f>
        <v>1</v>
      </c>
      <c r="S57" s="28">
        <f>roundup(Y57*'Days Sesion'!$S$9,0)</f>
        <v>1</v>
      </c>
      <c r="T57" s="29">
        <f t="shared" si="1"/>
        <v>8</v>
      </c>
      <c r="U57" s="29">
        <f t="shared" si="2"/>
        <v>7</v>
      </c>
      <c r="V57" s="29" t="s">
        <v>603</v>
      </c>
      <c r="W57" s="28" t="s">
        <v>442</v>
      </c>
      <c r="X57" s="28" t="s">
        <v>604</v>
      </c>
      <c r="Y57" s="27">
        <f t="shared" si="3"/>
        <v>1</v>
      </c>
      <c r="Z57" s="27">
        <v>5.100139746E9</v>
      </c>
      <c r="AA57" s="28" t="s">
        <v>157</v>
      </c>
      <c r="AB57" s="27">
        <v>4.000000672E9</v>
      </c>
      <c r="AC57" s="28" t="s">
        <v>605</v>
      </c>
      <c r="AD57" s="28" t="s">
        <v>410</v>
      </c>
      <c r="AE57" s="28" t="s">
        <v>604</v>
      </c>
      <c r="AF57" s="27">
        <f t="shared" si="4"/>
        <v>1</v>
      </c>
      <c r="AG57" s="27">
        <v>1.0</v>
      </c>
      <c r="AH57" s="28" t="s">
        <v>606</v>
      </c>
      <c r="AI57" s="28" t="s">
        <v>607</v>
      </c>
      <c r="AJ57" s="28" t="s">
        <v>607</v>
      </c>
      <c r="AK57" s="28" t="s">
        <v>608</v>
      </c>
      <c r="AL57" s="28" t="s">
        <v>448</v>
      </c>
      <c r="AM57" s="28" t="s">
        <v>367</v>
      </c>
    </row>
    <row r="58">
      <c r="A58" s="27">
        <v>2166575.0</v>
      </c>
      <c r="B58" s="28" t="s">
        <v>147</v>
      </c>
      <c r="C58" s="27">
        <v>2.200104101E9</v>
      </c>
      <c r="D58" s="27">
        <v>10.0</v>
      </c>
      <c r="E58" s="28" t="s">
        <v>148</v>
      </c>
      <c r="F58" s="28" t="s">
        <v>523</v>
      </c>
      <c r="G58" s="28" t="s">
        <v>609</v>
      </c>
      <c r="H58" s="28" t="s">
        <v>201</v>
      </c>
      <c r="I58" s="27" t="s">
        <v>582</v>
      </c>
      <c r="J58" s="27" t="s">
        <v>582</v>
      </c>
      <c r="K58" s="29" t="s">
        <v>603</v>
      </c>
      <c r="L58" s="5">
        <f>Value(left(vlookup(Z58,dayspo,7,0),1))</f>
        <v>2</v>
      </c>
      <c r="M58" s="28">
        <f>roundup(Y58*'Days Sesion'!$S$2,0)</f>
        <v>1</v>
      </c>
      <c r="N58" s="28">
        <f>roundup(Y58*'Days Sesion'!$S$3,0)</f>
        <v>1</v>
      </c>
      <c r="O58" s="28">
        <f>roundup(Y58*'Days Sesion'!$S$5,0)</f>
        <v>2</v>
      </c>
      <c r="P58" s="28">
        <f>Value(left(vlookup(Z58,dayspo,7,0),1))</f>
        <v>2</v>
      </c>
      <c r="Q58" s="28">
        <f>value(left(vlookup(Z58,dayspo,8,0),1))</f>
        <v>8</v>
      </c>
      <c r="R58" s="28">
        <f>roundup(Y58*'Days Sesion'!$S$8,0)</f>
        <v>1</v>
      </c>
      <c r="S58" s="28">
        <f>(value(left(vlookup(Z58,dayspo,19,0),1)))</f>
        <v>4</v>
      </c>
      <c r="T58" s="29">
        <f t="shared" si="1"/>
        <v>21</v>
      </c>
      <c r="U58" s="29">
        <f t="shared" si="2"/>
        <v>7</v>
      </c>
      <c r="V58" s="29" t="s">
        <v>610</v>
      </c>
      <c r="W58" s="28" t="s">
        <v>494</v>
      </c>
      <c r="X58" s="28" t="s">
        <v>297</v>
      </c>
      <c r="Y58" s="27">
        <f t="shared" si="3"/>
        <v>16</v>
      </c>
      <c r="Z58" s="27">
        <v>5.100140662E9</v>
      </c>
      <c r="AA58" s="28" t="s">
        <v>495</v>
      </c>
      <c r="AB58" s="31"/>
      <c r="AC58" s="28" t="s">
        <v>158</v>
      </c>
      <c r="AD58" s="28" t="s">
        <v>175</v>
      </c>
      <c r="AE58" s="28" t="s">
        <v>223</v>
      </c>
      <c r="AF58" s="27">
        <f t="shared" si="4"/>
        <v>14</v>
      </c>
      <c r="AG58" s="27">
        <v>1.0</v>
      </c>
      <c r="AH58" s="28" t="s">
        <v>611</v>
      </c>
      <c r="AI58" s="28" t="s">
        <v>612</v>
      </c>
      <c r="AJ58" s="28" t="s">
        <v>613</v>
      </c>
      <c r="AK58" s="28" t="s">
        <v>614</v>
      </c>
      <c r="AL58" s="28" t="s">
        <v>615</v>
      </c>
      <c r="AM58" s="27">
        <v>1.0</v>
      </c>
    </row>
    <row r="61">
      <c r="L61" s="5">
        <f t="shared" ref="L61:S61" si="5">max(L3:L58)</f>
        <v>6</v>
      </c>
      <c r="M61" s="5">
        <f t="shared" si="5"/>
        <v>1</v>
      </c>
      <c r="N61" s="5">
        <f t="shared" si="5"/>
        <v>1</v>
      </c>
      <c r="O61" s="5">
        <f t="shared" si="5"/>
        <v>4</v>
      </c>
      <c r="P61" s="5">
        <f t="shared" si="5"/>
        <v>7</v>
      </c>
      <c r="Q61" s="5">
        <f t="shared" si="5"/>
        <v>8</v>
      </c>
      <c r="R61" s="5">
        <f t="shared" si="5"/>
        <v>2</v>
      </c>
      <c r="S61" s="5">
        <f t="shared" si="5"/>
        <v>9</v>
      </c>
    </row>
    <row r="62">
      <c r="T62" s="5">
        <f>sum(T3:T58)</f>
        <v>803</v>
      </c>
    </row>
    <row r="63">
      <c r="L63" s="5">
        <f t="shared" ref="L63:S63" si="6">average(L3:L58)</f>
        <v>1.036363636</v>
      </c>
      <c r="M63" s="5">
        <f t="shared" si="6"/>
        <v>1</v>
      </c>
      <c r="N63" s="5">
        <f t="shared" si="6"/>
        <v>1</v>
      </c>
      <c r="O63" s="5">
        <f t="shared" si="6"/>
        <v>1.660714286</v>
      </c>
      <c r="P63" s="5">
        <f t="shared" si="6"/>
        <v>1.410714286</v>
      </c>
      <c r="Q63" s="15">
        <f t="shared" si="6"/>
        <v>4.589285714</v>
      </c>
      <c r="R63" s="5">
        <f t="shared" si="6"/>
        <v>1.035714286</v>
      </c>
      <c r="S63" s="5">
        <f t="shared" si="6"/>
        <v>2.625</v>
      </c>
      <c r="T63" s="5">
        <f>T62/56</f>
        <v>14.33928571</v>
      </c>
    </row>
    <row r="64">
      <c r="Q64" s="6" t="s">
        <v>616</v>
      </c>
    </row>
    <row r="65">
      <c r="S65" s="6" t="s">
        <v>617</v>
      </c>
      <c r="T65" s="5">
        <f>average(T3:T58)</f>
        <v>14.33928571</v>
      </c>
    </row>
    <row r="66">
      <c r="S66" s="6" t="s">
        <v>618</v>
      </c>
      <c r="T66" s="5">
        <f>'Days Sesion'!J77</f>
        <v>34.46180556</v>
      </c>
    </row>
    <row r="67">
      <c r="S67" s="6" t="s">
        <v>619</v>
      </c>
      <c r="T67" s="12">
        <f>(T66-T65)/T66</f>
        <v>0.5839078805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hidden="1" min="1" max="1" width="18.14"/>
    <col customWidth="1" hidden="1" min="2" max="2" width="20.86"/>
    <col customWidth="1" min="3" max="3" width="11.71"/>
    <col customWidth="1" hidden="1" min="4" max="4" width="7.71"/>
    <col customWidth="1" hidden="1" min="5" max="5" width="6.86"/>
    <col customWidth="1" hidden="1" min="6" max="6" width="16.14"/>
    <col customWidth="1" hidden="1" min="7" max="7" width="75.57"/>
    <col customWidth="1" hidden="1" min="8" max="8" width="16.43"/>
    <col customWidth="1" min="9" max="9" width="15.43"/>
    <col customWidth="1" min="10" max="10" width="12.43"/>
    <col customWidth="1" min="11" max="11" width="21.29"/>
    <col customWidth="1" min="12" max="12" width="27.14"/>
    <col customWidth="1" min="13" max="13" width="30.86"/>
    <col customWidth="1" min="14" max="14" width="26.43"/>
    <col customWidth="1" min="15" max="15" width="29.86"/>
    <col customWidth="1" min="16" max="16" width="33.29"/>
    <col customWidth="1" min="17" max="17" width="23.86"/>
    <col customWidth="1" min="18" max="18" width="26.57"/>
    <col customWidth="1" min="19" max="19" width="20.86"/>
    <col customWidth="1" min="20" max="21" width="10.86"/>
    <col customWidth="1" hidden="1" min="22" max="22" width="10.86"/>
    <col customWidth="1" hidden="1" min="23" max="23" width="13.71"/>
    <col customWidth="1" min="24" max="24" width="7.29"/>
    <col customWidth="1" min="25" max="26" width="11.71"/>
    <col customWidth="1" hidden="1" min="27" max="27" width="8.43"/>
    <col customWidth="1" hidden="1" min="28" max="28" width="17.71"/>
    <col customWidth="1" hidden="1" min="29" max="29" width="19.57"/>
    <col customWidth="1" min="30" max="30" width="12.57"/>
    <col customWidth="1" min="31" max="31" width="12.29"/>
    <col customWidth="1" min="32" max="33" width="8.71"/>
    <col customWidth="1" min="34" max="34" width="25.14"/>
    <col customWidth="1" min="35" max="36" width="16.0"/>
    <col customWidth="1" min="37" max="37" width="16.57"/>
    <col customWidth="1" min="38" max="38" width="28.0"/>
    <col customWidth="1" min="39" max="39" width="32.43"/>
  </cols>
  <sheetData>
    <row r="1">
      <c r="A1" s="23" t="s">
        <v>109</v>
      </c>
      <c r="B1" s="23" t="s">
        <v>110</v>
      </c>
      <c r="C1" s="23" t="s">
        <v>111</v>
      </c>
      <c r="D1" s="23" t="s">
        <v>112</v>
      </c>
      <c r="E1" s="23" t="s">
        <v>113</v>
      </c>
      <c r="F1" s="23" t="s">
        <v>114</v>
      </c>
      <c r="G1" s="23" t="s">
        <v>115</v>
      </c>
      <c r="H1" s="23" t="s">
        <v>116</v>
      </c>
      <c r="I1" s="23" t="s">
        <v>117</v>
      </c>
      <c r="J1" s="23" t="s">
        <v>118</v>
      </c>
      <c r="K1" s="23" t="s">
        <v>119</v>
      </c>
      <c r="L1" s="24" t="s">
        <v>120</v>
      </c>
      <c r="M1" s="25" t="s">
        <v>121</v>
      </c>
      <c r="N1" s="24" t="s">
        <v>122</v>
      </c>
      <c r="O1" s="25" t="s">
        <v>123</v>
      </c>
      <c r="P1" s="24" t="s">
        <v>124</v>
      </c>
      <c r="Q1" s="25" t="s">
        <v>125</v>
      </c>
      <c r="R1" s="24" t="s">
        <v>126</v>
      </c>
      <c r="S1" s="25" t="s">
        <v>127</v>
      </c>
      <c r="T1" s="26" t="s">
        <v>128</v>
      </c>
      <c r="U1" s="26" t="s">
        <v>129</v>
      </c>
      <c r="V1" s="23" t="s">
        <v>130</v>
      </c>
      <c r="W1" s="23" t="s">
        <v>131</v>
      </c>
      <c r="X1" s="23" t="s">
        <v>132</v>
      </c>
      <c r="Y1" s="23" t="s">
        <v>129</v>
      </c>
      <c r="Z1" s="23" t="s">
        <v>133</v>
      </c>
      <c r="AA1" s="23" t="s">
        <v>134</v>
      </c>
      <c r="AB1" s="23" t="s">
        <v>135</v>
      </c>
      <c r="AC1" s="23" t="s">
        <v>136</v>
      </c>
      <c r="AD1" s="23" t="s">
        <v>137</v>
      </c>
      <c r="AE1" s="23" t="s">
        <v>138</v>
      </c>
      <c r="AF1" s="26" t="s">
        <v>139</v>
      </c>
      <c r="AG1" s="23" t="s">
        <v>140</v>
      </c>
      <c r="AH1" s="23" t="s">
        <v>141</v>
      </c>
      <c r="AI1" s="23" t="s">
        <v>142</v>
      </c>
      <c r="AJ1" s="23" t="s">
        <v>143</v>
      </c>
      <c r="AK1" s="23" t="s">
        <v>144</v>
      </c>
      <c r="AL1" s="23" t="s">
        <v>145</v>
      </c>
      <c r="AM1" s="23" t="s">
        <v>146</v>
      </c>
    </row>
    <row r="2">
      <c r="A2" s="27"/>
      <c r="B2" s="28"/>
      <c r="C2" s="27"/>
      <c r="D2" s="27"/>
      <c r="E2" s="28"/>
      <c r="F2" s="28"/>
      <c r="G2" s="28"/>
      <c r="H2" s="28"/>
      <c r="I2" s="27"/>
      <c r="J2" s="27"/>
      <c r="K2" s="29"/>
      <c r="L2" s="30">
        <v>7.0</v>
      </c>
      <c r="M2" s="28"/>
      <c r="N2" s="28">
        <v>8.0</v>
      </c>
      <c r="O2" s="28"/>
      <c r="P2" s="28">
        <v>12.0</v>
      </c>
      <c r="Q2" s="28">
        <v>16.0</v>
      </c>
      <c r="R2" s="28"/>
      <c r="S2" s="28">
        <v>19.0</v>
      </c>
      <c r="T2" s="29"/>
      <c r="U2" s="29"/>
      <c r="V2" s="29"/>
      <c r="W2" s="28"/>
      <c r="X2" s="28"/>
      <c r="Y2" s="27"/>
      <c r="Z2" s="27"/>
      <c r="AA2" s="28"/>
      <c r="AB2" s="31"/>
      <c r="AC2" s="28"/>
      <c r="AD2" s="28"/>
      <c r="AE2" s="28"/>
      <c r="AF2" s="27"/>
      <c r="AG2" s="27"/>
      <c r="AH2" s="28"/>
      <c r="AI2" s="28"/>
      <c r="AJ2" s="28"/>
      <c r="AK2" s="28"/>
      <c r="AL2" s="28"/>
      <c r="AM2" s="27"/>
    </row>
    <row r="3">
      <c r="A3" s="27">
        <v>2166575.0</v>
      </c>
      <c r="B3" s="28" t="s">
        <v>147</v>
      </c>
      <c r="C3" s="27">
        <v>2.20009748E9</v>
      </c>
      <c r="D3" s="27">
        <v>10.0</v>
      </c>
      <c r="E3" s="28" t="s">
        <v>148</v>
      </c>
      <c r="F3" s="28" t="s">
        <v>149</v>
      </c>
      <c r="G3" s="28" t="s">
        <v>150</v>
      </c>
      <c r="H3" s="28" t="s">
        <v>151</v>
      </c>
      <c r="I3" s="27" t="s">
        <v>152</v>
      </c>
      <c r="J3" s="30"/>
      <c r="K3" s="29" t="s">
        <v>153</v>
      </c>
      <c r="L3" s="5">
        <f>Value(left(vlookup(Z3,dayspo,7,0),1))</f>
        <v>1</v>
      </c>
      <c r="M3" s="28">
        <f>roundup(Y3*'VANVA (Future)'!$U$2,0)</f>
        <v>1</v>
      </c>
      <c r="N3" s="28">
        <f>roundup(Y3*'VANVA (Future)'!$U$3,0)</f>
        <v>1</v>
      </c>
      <c r="O3" s="28">
        <f>roundup(Y3*'VANVA (Future)'!$U$5,0)</f>
        <v>2</v>
      </c>
      <c r="P3" s="28">
        <f>roundup(Y3*'VANVA (Future)'!$U$6,0)</f>
        <v>3</v>
      </c>
      <c r="Q3" s="28">
        <f>roundup(Y3*'VANVA (Future)'!$U$7,0)</f>
        <v>2</v>
      </c>
      <c r="R3" s="28">
        <f>roundup(Y3*'VANVA (Future)'!$U$8,0)</f>
        <v>1</v>
      </c>
      <c r="S3" s="28">
        <f>roundup(Y3*'VANVA (Future)'!$U$9,0)</f>
        <v>3</v>
      </c>
      <c r="T3" s="29">
        <f t="shared" ref="T3:T58" si="1">roundup(sum(L3:S3),0)</f>
        <v>14</v>
      </c>
      <c r="U3" s="29">
        <f t="shared" ref="U3:U58" si="2">T3-AF3</f>
        <v>3</v>
      </c>
      <c r="V3" s="29" t="s">
        <v>154</v>
      </c>
      <c r="W3" s="28" t="s">
        <v>155</v>
      </c>
      <c r="X3" s="28" t="s">
        <v>156</v>
      </c>
      <c r="Y3" s="27">
        <f t="shared" ref="Y3:Y58" si="3">value(left(X3,2))</f>
        <v>13</v>
      </c>
      <c r="Z3" s="27">
        <v>5.100134537E9</v>
      </c>
      <c r="AA3" s="28" t="s">
        <v>157</v>
      </c>
      <c r="AB3" s="31"/>
      <c r="AC3" s="28" t="s">
        <v>158</v>
      </c>
      <c r="AD3" s="28" t="s">
        <v>159</v>
      </c>
      <c r="AE3" s="28" t="s">
        <v>160</v>
      </c>
      <c r="AF3" s="27">
        <f t="shared" ref="AF3:AF58" si="4">value(left(AE3,2))</f>
        <v>11</v>
      </c>
      <c r="AG3" s="27">
        <v>1.0</v>
      </c>
      <c r="AH3" s="28" t="s">
        <v>161</v>
      </c>
      <c r="AI3" s="28" t="s">
        <v>162</v>
      </c>
      <c r="AJ3" s="28" t="s">
        <v>163</v>
      </c>
      <c r="AK3" s="28" t="s">
        <v>164</v>
      </c>
      <c r="AL3" s="28" t="s">
        <v>165</v>
      </c>
      <c r="AM3" s="27">
        <v>1.0</v>
      </c>
    </row>
    <row r="4">
      <c r="A4" s="27">
        <v>2166575.0</v>
      </c>
      <c r="B4" s="28" t="s">
        <v>147</v>
      </c>
      <c r="C4" s="27">
        <v>2.20009891E9</v>
      </c>
      <c r="D4" s="27">
        <v>10.0</v>
      </c>
      <c r="E4" s="28" t="s">
        <v>148</v>
      </c>
      <c r="F4" s="28" t="s">
        <v>166</v>
      </c>
      <c r="G4" s="28" t="s">
        <v>167</v>
      </c>
      <c r="H4" s="28" t="s">
        <v>168</v>
      </c>
      <c r="I4" s="27" t="s">
        <v>169</v>
      </c>
      <c r="J4" s="27" t="s">
        <v>170</v>
      </c>
      <c r="K4" s="32">
        <v>45659.0</v>
      </c>
      <c r="L4" s="5">
        <f>Value(left(vlookup(Z4,dayspo,7,0),1))</f>
        <v>2</v>
      </c>
      <c r="M4" s="28">
        <f>roundup(Y4*'VANVA (Future)'!$U$2,0)</f>
        <v>1</v>
      </c>
      <c r="N4" s="28">
        <f>roundup(Y4*'VANVA (Future)'!$U$3,0)</f>
        <v>1</v>
      </c>
      <c r="O4" s="28">
        <f>roundup(Y4*'VANVA (Future)'!$U$5,0)</f>
        <v>1</v>
      </c>
      <c r="P4" s="28">
        <f>roundup(Y4*'VANVA (Future)'!$U$6,0)</f>
        <v>2</v>
      </c>
      <c r="Q4" s="28">
        <f>roundup(Y4*'VANVA (Future)'!$U$7,0)</f>
        <v>2</v>
      </c>
      <c r="R4" s="28">
        <f>roundup(Y4*'VANVA (Future)'!$U$8,0)</f>
        <v>1</v>
      </c>
      <c r="S4" s="28">
        <f>roundup(Y4*'VANVA (Future)'!$U$9,0)</f>
        <v>2</v>
      </c>
      <c r="T4" s="29">
        <f t="shared" si="1"/>
        <v>12</v>
      </c>
      <c r="U4" s="29">
        <f t="shared" si="2"/>
        <v>4</v>
      </c>
      <c r="V4" s="29" t="s">
        <v>171</v>
      </c>
      <c r="W4" s="28" t="s">
        <v>172</v>
      </c>
      <c r="X4" s="28" t="s">
        <v>173</v>
      </c>
      <c r="Y4" s="27">
        <f t="shared" si="3"/>
        <v>9</v>
      </c>
      <c r="Z4" s="27">
        <v>5.100133759E9</v>
      </c>
      <c r="AA4" s="28" t="s">
        <v>174</v>
      </c>
      <c r="AB4" s="31"/>
      <c r="AC4" s="28" t="s">
        <v>158</v>
      </c>
      <c r="AD4" s="28" t="s">
        <v>175</v>
      </c>
      <c r="AE4" s="28" t="s">
        <v>176</v>
      </c>
      <c r="AF4" s="27">
        <f t="shared" si="4"/>
        <v>8</v>
      </c>
      <c r="AG4" s="27">
        <v>1.0</v>
      </c>
      <c r="AH4" s="28" t="s">
        <v>177</v>
      </c>
      <c r="AI4" s="28" t="s">
        <v>178</v>
      </c>
      <c r="AJ4" s="28" t="s">
        <v>178</v>
      </c>
      <c r="AK4" s="28" t="s">
        <v>179</v>
      </c>
      <c r="AL4" s="28" t="s">
        <v>180</v>
      </c>
      <c r="AM4" s="27">
        <v>1.0</v>
      </c>
    </row>
    <row r="5">
      <c r="A5" s="27">
        <v>2166575.0</v>
      </c>
      <c r="B5" s="28" t="s">
        <v>147</v>
      </c>
      <c r="C5" s="27">
        <v>2.200098928E9</v>
      </c>
      <c r="D5" s="27">
        <v>10.0</v>
      </c>
      <c r="E5" s="28" t="s">
        <v>148</v>
      </c>
      <c r="F5" s="28" t="s">
        <v>181</v>
      </c>
      <c r="G5" s="28" t="s">
        <v>182</v>
      </c>
      <c r="H5" s="28" t="s">
        <v>151</v>
      </c>
      <c r="I5" s="33">
        <v>45689.0</v>
      </c>
      <c r="J5" s="33">
        <v>45689.0</v>
      </c>
      <c r="K5" s="32">
        <v>45663.0</v>
      </c>
      <c r="L5" s="5">
        <f>Value(left(vlookup(Z5,dayspo,7,0),1))</f>
        <v>0</v>
      </c>
      <c r="M5" s="28">
        <f>roundup(Y5*'VANVA (Future)'!$U$2,0)</f>
        <v>1</v>
      </c>
      <c r="N5" s="28">
        <f>roundup(Y5*'VANVA (Future)'!$U$3,0)</f>
        <v>1</v>
      </c>
      <c r="O5" s="28">
        <f>roundup(Y5*'VANVA (Future)'!$U$5,0)</f>
        <v>1</v>
      </c>
      <c r="P5" s="28">
        <f>roundup(Y5*'VANVA (Future)'!$U$6,0)</f>
        <v>3</v>
      </c>
      <c r="Q5" s="28">
        <f>roundup(Y5*'VANVA (Future)'!$U$7,0)</f>
        <v>2</v>
      </c>
      <c r="R5" s="28">
        <f>roundup(Y5*'VANVA (Future)'!$U$8,0)</f>
        <v>1</v>
      </c>
      <c r="S5" s="28">
        <f>roundup(Y5*'VANVA (Future)'!$U$9,0)</f>
        <v>2</v>
      </c>
      <c r="T5" s="29">
        <f t="shared" si="1"/>
        <v>11</v>
      </c>
      <c r="U5" s="29">
        <f t="shared" si="2"/>
        <v>5</v>
      </c>
      <c r="V5" s="29" t="s">
        <v>183</v>
      </c>
      <c r="W5" s="28" t="s">
        <v>184</v>
      </c>
      <c r="X5" s="28" t="s">
        <v>185</v>
      </c>
      <c r="Y5" s="27">
        <f t="shared" si="3"/>
        <v>10</v>
      </c>
      <c r="Z5" s="27">
        <v>5.100133854E9</v>
      </c>
      <c r="AA5" s="28" t="s">
        <v>174</v>
      </c>
      <c r="AB5" s="31"/>
      <c r="AC5" s="28" t="s">
        <v>158</v>
      </c>
      <c r="AD5" s="28" t="s">
        <v>175</v>
      </c>
      <c r="AE5" s="28" t="s">
        <v>186</v>
      </c>
      <c r="AF5" s="27">
        <f t="shared" si="4"/>
        <v>6</v>
      </c>
      <c r="AG5" s="27">
        <v>1.0</v>
      </c>
      <c r="AH5" s="28" t="s">
        <v>187</v>
      </c>
      <c r="AI5" s="28" t="s">
        <v>188</v>
      </c>
      <c r="AJ5" s="28" t="s">
        <v>189</v>
      </c>
      <c r="AK5" s="28" t="s">
        <v>190</v>
      </c>
      <c r="AL5" s="28" t="s">
        <v>191</v>
      </c>
      <c r="AM5" s="27">
        <v>1.0</v>
      </c>
    </row>
    <row r="6">
      <c r="A6" s="27">
        <v>2166575.0</v>
      </c>
      <c r="B6" s="28" t="s">
        <v>147</v>
      </c>
      <c r="C6" s="27">
        <v>2.200099021E9</v>
      </c>
      <c r="D6" s="27">
        <v>10.0</v>
      </c>
      <c r="E6" s="28" t="s">
        <v>148</v>
      </c>
      <c r="F6" s="28" t="s">
        <v>149</v>
      </c>
      <c r="G6" s="28" t="s">
        <v>192</v>
      </c>
      <c r="H6" s="28" t="s">
        <v>151</v>
      </c>
      <c r="I6" s="33">
        <v>45689.0</v>
      </c>
      <c r="J6" s="33">
        <v>45689.0</v>
      </c>
      <c r="K6" s="32">
        <v>45664.0</v>
      </c>
      <c r="L6" s="5">
        <f>Value(left(vlookup(Z6,dayspo,7,0),1))</f>
        <v>1</v>
      </c>
      <c r="M6" s="28">
        <f>roundup(Y6*'VANVA (Future)'!$U$2,0)</f>
        <v>1</v>
      </c>
      <c r="N6" s="28">
        <f>roundup(Y6*'VANVA (Future)'!$U$3,0)</f>
        <v>1</v>
      </c>
      <c r="O6" s="28">
        <f>roundup(Y6*'VANVA (Future)'!$U$5,0)</f>
        <v>1</v>
      </c>
      <c r="P6" s="28">
        <f>roundup(Y6*'VANVA (Future)'!$U$6,0)</f>
        <v>2</v>
      </c>
      <c r="Q6" s="28">
        <f>roundup(Y6*'VANVA (Future)'!$U$7,0)</f>
        <v>1</v>
      </c>
      <c r="R6" s="28">
        <f>roundup(Y6*'VANVA (Future)'!$U$8,0)</f>
        <v>1</v>
      </c>
      <c r="S6" s="28">
        <f>roundup(Y6*'VANVA (Future)'!$U$9,0)</f>
        <v>2</v>
      </c>
      <c r="T6" s="29">
        <f t="shared" si="1"/>
        <v>10</v>
      </c>
      <c r="U6" s="29">
        <f t="shared" si="2"/>
        <v>3</v>
      </c>
      <c r="V6" s="29" t="s">
        <v>193</v>
      </c>
      <c r="W6" s="28" t="s">
        <v>172</v>
      </c>
      <c r="X6" s="28" t="s">
        <v>194</v>
      </c>
      <c r="Y6" s="27">
        <f t="shared" si="3"/>
        <v>7</v>
      </c>
      <c r="Z6" s="27">
        <v>5.100133816E9</v>
      </c>
      <c r="AA6" s="28" t="s">
        <v>174</v>
      </c>
      <c r="AB6" s="31"/>
      <c r="AC6" s="28" t="s">
        <v>158</v>
      </c>
      <c r="AD6" s="28" t="s">
        <v>175</v>
      </c>
      <c r="AE6" s="28" t="s">
        <v>194</v>
      </c>
      <c r="AF6" s="27">
        <f t="shared" si="4"/>
        <v>7</v>
      </c>
      <c r="AG6" s="27">
        <v>1.0</v>
      </c>
      <c r="AH6" s="28" t="s">
        <v>195</v>
      </c>
      <c r="AI6" s="28" t="s">
        <v>196</v>
      </c>
      <c r="AJ6" s="28" t="s">
        <v>196</v>
      </c>
      <c r="AK6" s="28" t="s">
        <v>197</v>
      </c>
      <c r="AL6" s="28" t="s">
        <v>198</v>
      </c>
      <c r="AM6" s="27">
        <v>1.0</v>
      </c>
    </row>
    <row r="7">
      <c r="A7" s="27">
        <v>2166575.0</v>
      </c>
      <c r="B7" s="28" t="s">
        <v>147</v>
      </c>
      <c r="C7" s="27">
        <v>2.200099022E9</v>
      </c>
      <c r="D7" s="27">
        <v>10.0</v>
      </c>
      <c r="E7" s="28" t="s">
        <v>148</v>
      </c>
      <c r="F7" s="28" t="s">
        <v>199</v>
      </c>
      <c r="G7" s="28" t="s">
        <v>200</v>
      </c>
      <c r="H7" s="28" t="s">
        <v>201</v>
      </c>
      <c r="I7" s="33">
        <v>45689.0</v>
      </c>
      <c r="J7" s="27" t="s">
        <v>202</v>
      </c>
      <c r="K7" s="32">
        <v>45664.0</v>
      </c>
      <c r="L7" s="5">
        <f>Value(left(vlookup(Z7,dayspo,7,0),1))</f>
        <v>1</v>
      </c>
      <c r="M7" s="28">
        <f>roundup(Y7*'VANVA (Future)'!$U$2,0)</f>
        <v>1</v>
      </c>
      <c r="N7" s="28">
        <f>roundup(Y7*'VANVA (Future)'!$U$3,0)</f>
        <v>1</v>
      </c>
      <c r="O7" s="28">
        <f>roundup(Y7*'VANVA (Future)'!$U$5,0)</f>
        <v>2</v>
      </c>
      <c r="P7" s="28">
        <f>roundup(Y7*'VANVA (Future)'!$U$6,0)</f>
        <v>3</v>
      </c>
      <c r="Q7" s="28">
        <f>roundup(Y7*'VANVA (Future)'!$U$7,0)</f>
        <v>2</v>
      </c>
      <c r="R7" s="28">
        <f>roundup(Y7*'VANVA (Future)'!$U$8,0)</f>
        <v>1</v>
      </c>
      <c r="S7" s="28">
        <f>roundup(Y7*'VANVA (Future)'!$U$9,0)</f>
        <v>3</v>
      </c>
      <c r="T7" s="29">
        <f t="shared" si="1"/>
        <v>14</v>
      </c>
      <c r="U7" s="29">
        <f t="shared" si="2"/>
        <v>8</v>
      </c>
      <c r="V7" s="29" t="s">
        <v>203</v>
      </c>
      <c r="W7" s="28" t="s">
        <v>172</v>
      </c>
      <c r="X7" s="28" t="s">
        <v>156</v>
      </c>
      <c r="Y7" s="27">
        <f t="shared" si="3"/>
        <v>13</v>
      </c>
      <c r="Z7" s="27">
        <v>5.100134016E9</v>
      </c>
      <c r="AA7" s="28" t="s">
        <v>174</v>
      </c>
      <c r="AB7" s="31"/>
      <c r="AC7" s="28" t="s">
        <v>158</v>
      </c>
      <c r="AD7" s="28" t="s">
        <v>175</v>
      </c>
      <c r="AE7" s="28" t="s">
        <v>186</v>
      </c>
      <c r="AF7" s="27">
        <f t="shared" si="4"/>
        <v>6</v>
      </c>
      <c r="AG7" s="27">
        <v>1.0</v>
      </c>
      <c r="AH7" s="28" t="s">
        <v>204</v>
      </c>
      <c r="AI7" s="28" t="s">
        <v>205</v>
      </c>
      <c r="AJ7" s="28" t="s">
        <v>206</v>
      </c>
      <c r="AK7" s="28" t="s">
        <v>207</v>
      </c>
      <c r="AL7" s="28" t="s">
        <v>208</v>
      </c>
      <c r="AM7" s="27">
        <v>1.0</v>
      </c>
    </row>
    <row r="8">
      <c r="A8" s="27">
        <v>2166575.0</v>
      </c>
      <c r="B8" s="28" t="s">
        <v>147</v>
      </c>
      <c r="C8" s="27">
        <v>2.20009901E9</v>
      </c>
      <c r="D8" s="27">
        <v>10.0</v>
      </c>
      <c r="E8" s="28" t="s">
        <v>148</v>
      </c>
      <c r="F8" s="28" t="s">
        <v>209</v>
      </c>
      <c r="G8" s="28" t="s">
        <v>210</v>
      </c>
      <c r="H8" s="28" t="s">
        <v>168</v>
      </c>
      <c r="I8" s="33">
        <v>45689.0</v>
      </c>
      <c r="J8" s="33">
        <v>45717.0</v>
      </c>
      <c r="K8" s="32">
        <v>45660.0</v>
      </c>
      <c r="L8" s="5">
        <f>Value(left(vlookup(Z8,dayspo,7,0),1))</f>
        <v>4</v>
      </c>
      <c r="M8" s="28">
        <f>roundup(Y8*'VANVA (Future)'!$U$2,0)</f>
        <v>1</v>
      </c>
      <c r="N8" s="28">
        <f>roundup(Y8*'VANVA (Future)'!$U$3,0)</f>
        <v>1</v>
      </c>
      <c r="O8" s="28">
        <f>roundup(Y8*'VANVA (Future)'!$U$5,0)</f>
        <v>1</v>
      </c>
      <c r="P8" s="28">
        <f>roundup(Y8*'VANVA (Future)'!$U$6,0)</f>
        <v>3</v>
      </c>
      <c r="Q8" s="28">
        <f>roundup(Y8*'VANVA (Future)'!$U$7,0)</f>
        <v>2</v>
      </c>
      <c r="R8" s="28">
        <f>roundup(Y8*'VANVA (Future)'!$U$8,0)</f>
        <v>1</v>
      </c>
      <c r="S8" s="28">
        <f>roundup(Y8*'VANVA (Future)'!$U$9,0)</f>
        <v>2</v>
      </c>
      <c r="T8" s="29">
        <f t="shared" si="1"/>
        <v>15</v>
      </c>
      <c r="U8" s="29">
        <f t="shared" si="2"/>
        <v>7</v>
      </c>
      <c r="V8" s="29" t="s">
        <v>211</v>
      </c>
      <c r="W8" s="28" t="s">
        <v>212</v>
      </c>
      <c r="X8" s="28" t="s">
        <v>185</v>
      </c>
      <c r="Y8" s="27">
        <f t="shared" si="3"/>
        <v>10</v>
      </c>
      <c r="Z8" s="27">
        <v>5.100133774E9</v>
      </c>
      <c r="AA8" s="28" t="s">
        <v>213</v>
      </c>
      <c r="AB8" s="31"/>
      <c r="AC8" s="28" t="s">
        <v>158</v>
      </c>
      <c r="AD8" s="28" t="s">
        <v>159</v>
      </c>
      <c r="AE8" s="28" t="s">
        <v>176</v>
      </c>
      <c r="AF8" s="27">
        <f t="shared" si="4"/>
        <v>8</v>
      </c>
      <c r="AG8" s="27">
        <v>1.0</v>
      </c>
      <c r="AH8" s="28" t="s">
        <v>214</v>
      </c>
      <c r="AI8" s="28" t="s">
        <v>215</v>
      </c>
      <c r="AJ8" s="28" t="s">
        <v>216</v>
      </c>
      <c r="AK8" s="28" t="s">
        <v>217</v>
      </c>
      <c r="AL8" s="28" t="s">
        <v>218</v>
      </c>
      <c r="AM8" s="27">
        <v>1.0</v>
      </c>
    </row>
    <row r="9">
      <c r="A9" s="27">
        <v>2166575.0</v>
      </c>
      <c r="B9" s="28" t="s">
        <v>147</v>
      </c>
      <c r="C9" s="27">
        <v>2.200099103E9</v>
      </c>
      <c r="D9" s="27">
        <v>10.0</v>
      </c>
      <c r="E9" s="28" t="s">
        <v>148</v>
      </c>
      <c r="F9" s="28" t="s">
        <v>219</v>
      </c>
      <c r="G9" s="28" t="s">
        <v>220</v>
      </c>
      <c r="H9" s="28" t="s">
        <v>221</v>
      </c>
      <c r="I9" s="33">
        <v>45839.0</v>
      </c>
      <c r="J9" s="27" t="s">
        <v>222</v>
      </c>
      <c r="K9" s="32">
        <v>45667.0</v>
      </c>
      <c r="L9" s="5">
        <f>Value(left(vlookup(Z9,dayspo,7,0),1))</f>
        <v>2</v>
      </c>
      <c r="M9" s="28">
        <f>roundup(Y9*'VANVA (Future)'!$U$2,0)</f>
        <v>1</v>
      </c>
      <c r="N9" s="28">
        <f>roundup(Y9*'VANVA (Future)'!$U$3,0)</f>
        <v>1</v>
      </c>
      <c r="O9" s="28">
        <f>roundup(Y9*'VANVA (Future)'!$U$5,0)</f>
        <v>2</v>
      </c>
      <c r="P9" s="28">
        <f>roundup(Y9*'VANVA (Future)'!$U$6,0)</f>
        <v>3</v>
      </c>
      <c r="Q9" s="28">
        <f>roundup(Y9*'VANVA (Future)'!$U$7,0)</f>
        <v>2</v>
      </c>
      <c r="R9" s="28">
        <f>roundup(Y9*'VANVA (Future)'!$U$8,0)</f>
        <v>1</v>
      </c>
      <c r="S9" s="28">
        <f>roundup(Y9*'VANVA (Future)'!$U$9,0)</f>
        <v>3</v>
      </c>
      <c r="T9" s="29">
        <f t="shared" si="1"/>
        <v>15</v>
      </c>
      <c r="U9" s="29">
        <f t="shared" si="2"/>
        <v>4</v>
      </c>
      <c r="V9" s="32">
        <v>45689.0</v>
      </c>
      <c r="W9" s="28" t="s">
        <v>184</v>
      </c>
      <c r="X9" s="28" t="s">
        <v>223</v>
      </c>
      <c r="Y9" s="27">
        <f t="shared" si="3"/>
        <v>14</v>
      </c>
      <c r="Z9" s="27">
        <v>5.100134053E9</v>
      </c>
      <c r="AA9" s="28" t="s">
        <v>174</v>
      </c>
      <c r="AB9" s="31"/>
      <c r="AC9" s="28" t="s">
        <v>158</v>
      </c>
      <c r="AD9" s="28" t="s">
        <v>175</v>
      </c>
      <c r="AE9" s="28" t="s">
        <v>160</v>
      </c>
      <c r="AF9" s="27">
        <f t="shared" si="4"/>
        <v>11</v>
      </c>
      <c r="AG9" s="27">
        <v>1.0</v>
      </c>
      <c r="AH9" s="28" t="s">
        <v>224</v>
      </c>
      <c r="AI9" s="28" t="s">
        <v>225</v>
      </c>
      <c r="AJ9" s="28" t="s">
        <v>225</v>
      </c>
      <c r="AK9" s="28" t="s">
        <v>226</v>
      </c>
      <c r="AL9" s="28" t="s">
        <v>227</v>
      </c>
      <c r="AM9" s="27">
        <v>1.0</v>
      </c>
    </row>
    <row r="10">
      <c r="A10" s="27">
        <v>2166575.0</v>
      </c>
      <c r="B10" s="28" t="s">
        <v>147</v>
      </c>
      <c r="C10" s="27">
        <v>2.200098397E9</v>
      </c>
      <c r="D10" s="27">
        <v>10.0</v>
      </c>
      <c r="E10" s="28" t="s">
        <v>148</v>
      </c>
      <c r="F10" s="28" t="s">
        <v>228</v>
      </c>
      <c r="G10" s="28" t="s">
        <v>229</v>
      </c>
      <c r="H10" s="28" t="s">
        <v>201</v>
      </c>
      <c r="I10" s="33">
        <v>45334.0</v>
      </c>
      <c r="J10" s="33">
        <v>45901.0</v>
      </c>
      <c r="K10" s="29" t="s">
        <v>170</v>
      </c>
      <c r="L10" s="5">
        <f>Value(left(vlookup(Z10,dayspo,7,0),1))</f>
        <v>1</v>
      </c>
      <c r="M10" s="28">
        <f>roundup(Y10*'VANVA (Future)'!$U$2,0)</f>
        <v>1</v>
      </c>
      <c r="N10" s="28">
        <f>roundup(Y10*'VANVA (Future)'!$U$3,0)</f>
        <v>1</v>
      </c>
      <c r="O10" s="28">
        <f>roundup(Y10*'VANVA (Future)'!$U$5,0)</f>
        <v>1</v>
      </c>
      <c r="P10" s="28">
        <f>roundup(Y10*'VANVA (Future)'!$U$6,0)</f>
        <v>2</v>
      </c>
      <c r="Q10" s="28">
        <f>roundup(Y10*'VANVA (Future)'!$U$7,0)</f>
        <v>1</v>
      </c>
      <c r="R10" s="28">
        <f>roundup(Y10*'VANVA (Future)'!$U$8,0)</f>
        <v>1</v>
      </c>
      <c r="S10" s="28">
        <f>roundup(Y10*'VANVA (Future)'!$U$9,0)</f>
        <v>2</v>
      </c>
      <c r="T10" s="29">
        <f t="shared" si="1"/>
        <v>10</v>
      </c>
      <c r="U10" s="29">
        <f t="shared" si="2"/>
        <v>3</v>
      </c>
      <c r="V10" s="32">
        <v>45692.0</v>
      </c>
      <c r="W10" s="28" t="s">
        <v>155</v>
      </c>
      <c r="X10" s="28" t="s">
        <v>194</v>
      </c>
      <c r="Y10" s="27">
        <f t="shared" si="3"/>
        <v>7</v>
      </c>
      <c r="Z10" s="27">
        <v>5.100134158E9</v>
      </c>
      <c r="AA10" s="28" t="s">
        <v>157</v>
      </c>
      <c r="AB10" s="31"/>
      <c r="AC10" s="28" t="s">
        <v>158</v>
      </c>
      <c r="AD10" s="28" t="s">
        <v>159</v>
      </c>
      <c r="AE10" s="28" t="s">
        <v>194</v>
      </c>
      <c r="AF10" s="27">
        <f t="shared" si="4"/>
        <v>7</v>
      </c>
      <c r="AG10" s="27">
        <v>1.0</v>
      </c>
      <c r="AH10" s="28" t="s">
        <v>230</v>
      </c>
      <c r="AI10" s="28" t="s">
        <v>231</v>
      </c>
      <c r="AJ10" s="28" t="s">
        <v>231</v>
      </c>
      <c r="AK10" s="28" t="s">
        <v>232</v>
      </c>
      <c r="AL10" s="28" t="s">
        <v>233</v>
      </c>
      <c r="AM10" s="27">
        <v>1.0</v>
      </c>
    </row>
    <row r="11">
      <c r="A11" s="27">
        <v>2166575.0</v>
      </c>
      <c r="B11" s="28" t="s">
        <v>147</v>
      </c>
      <c r="C11" s="27">
        <v>2.200099214E9</v>
      </c>
      <c r="D11" s="27">
        <v>10.0</v>
      </c>
      <c r="E11" s="28" t="s">
        <v>148</v>
      </c>
      <c r="F11" s="28" t="s">
        <v>219</v>
      </c>
      <c r="G11" s="28" t="s">
        <v>234</v>
      </c>
      <c r="H11" s="28" t="s">
        <v>221</v>
      </c>
      <c r="I11" s="33">
        <v>45901.0</v>
      </c>
      <c r="J11" s="27" t="s">
        <v>170</v>
      </c>
      <c r="K11" s="29" t="s">
        <v>235</v>
      </c>
      <c r="L11" s="5">
        <f>Value(left(vlookup(Z11,dayspo,7,0),1))</f>
        <v>2</v>
      </c>
      <c r="M11" s="28">
        <f>roundup(Y11*'VANVA (Future)'!$U$2,0)</f>
        <v>1</v>
      </c>
      <c r="N11" s="28">
        <f>roundup(Y11*'VANVA (Future)'!$U$3,0)</f>
        <v>1</v>
      </c>
      <c r="O11" s="28">
        <f>roundup(Y11*'VANVA (Future)'!$U$5,0)</f>
        <v>2</v>
      </c>
      <c r="P11" s="28">
        <f>roundup(Y11*'VANVA (Future)'!$U$6,0)</f>
        <v>5</v>
      </c>
      <c r="Q11" s="28">
        <f>roundup(Y11*'VANVA (Future)'!$U$7,0)</f>
        <v>3</v>
      </c>
      <c r="R11" s="28">
        <f>roundup(Y11*'VANVA (Future)'!$U$8,0)</f>
        <v>1</v>
      </c>
      <c r="S11" s="28">
        <f>roundup(Y11*'VANVA (Future)'!$U$9,0)</f>
        <v>4</v>
      </c>
      <c r="T11" s="29">
        <f t="shared" si="1"/>
        <v>19</v>
      </c>
      <c r="U11" s="29">
        <f t="shared" si="2"/>
        <v>9</v>
      </c>
      <c r="V11" s="29" t="s">
        <v>236</v>
      </c>
      <c r="W11" s="28" t="s">
        <v>184</v>
      </c>
      <c r="X11" s="28" t="s">
        <v>237</v>
      </c>
      <c r="Y11" s="27">
        <f t="shared" si="3"/>
        <v>21</v>
      </c>
      <c r="Z11" s="27">
        <v>5.100135462E9</v>
      </c>
      <c r="AA11" s="28" t="s">
        <v>174</v>
      </c>
      <c r="AB11" s="31"/>
      <c r="AC11" s="28" t="s">
        <v>158</v>
      </c>
      <c r="AD11" s="28" t="s">
        <v>175</v>
      </c>
      <c r="AE11" s="28" t="s">
        <v>185</v>
      </c>
      <c r="AF11" s="27">
        <f t="shared" si="4"/>
        <v>10</v>
      </c>
      <c r="AG11" s="27">
        <v>1.0</v>
      </c>
      <c r="AH11" s="28" t="s">
        <v>238</v>
      </c>
      <c r="AI11" s="28" t="s">
        <v>239</v>
      </c>
      <c r="AJ11" s="28" t="s">
        <v>240</v>
      </c>
      <c r="AK11" s="28" t="s">
        <v>241</v>
      </c>
      <c r="AL11" s="28" t="s">
        <v>242</v>
      </c>
      <c r="AM11" s="27">
        <v>1.0</v>
      </c>
    </row>
    <row r="12">
      <c r="A12" s="27">
        <v>2166575.0</v>
      </c>
      <c r="B12" s="28" t="s">
        <v>147</v>
      </c>
      <c r="C12" s="27">
        <v>2.200099258E9</v>
      </c>
      <c r="D12" s="27">
        <v>10.0</v>
      </c>
      <c r="E12" s="28" t="s">
        <v>148</v>
      </c>
      <c r="F12" s="28" t="s">
        <v>243</v>
      </c>
      <c r="G12" s="28" t="s">
        <v>244</v>
      </c>
      <c r="H12" s="28" t="s">
        <v>201</v>
      </c>
      <c r="I12" s="27" t="s">
        <v>245</v>
      </c>
      <c r="J12" s="27" t="s">
        <v>246</v>
      </c>
      <c r="K12" s="29" t="s">
        <v>247</v>
      </c>
      <c r="L12" s="5">
        <f>Value(left(vlookup(Z12,dayspo,7,0),1))</f>
        <v>0</v>
      </c>
      <c r="M12" s="28">
        <f>roundup(Y12*'VANVA (Future)'!$U$2,0)</f>
        <v>1</v>
      </c>
      <c r="N12" s="28">
        <f>roundup(Y12*'VANVA (Future)'!$U$3,0)</f>
        <v>1</v>
      </c>
      <c r="O12" s="28">
        <f>roundup(Y12*'VANVA (Future)'!$U$5,0)</f>
        <v>1</v>
      </c>
      <c r="P12" s="28">
        <f>roundup(Y12*'VANVA (Future)'!$U$6,0)</f>
        <v>2</v>
      </c>
      <c r="Q12" s="28">
        <f>roundup(Y12*'VANVA (Future)'!$U$7,0)</f>
        <v>1</v>
      </c>
      <c r="R12" s="28">
        <f>roundup(Y12*'VANVA (Future)'!$U$8,0)</f>
        <v>1</v>
      </c>
      <c r="S12" s="28">
        <f>roundup(Y12*'VANVA (Future)'!$U$9,0)</f>
        <v>2</v>
      </c>
      <c r="T12" s="29">
        <f t="shared" si="1"/>
        <v>9</v>
      </c>
      <c r="U12" s="29">
        <f t="shared" si="2"/>
        <v>4</v>
      </c>
      <c r="V12" s="29" t="s">
        <v>153</v>
      </c>
      <c r="W12" s="28" t="s">
        <v>184</v>
      </c>
      <c r="X12" s="28" t="s">
        <v>194</v>
      </c>
      <c r="Y12" s="27">
        <f t="shared" si="3"/>
        <v>7</v>
      </c>
      <c r="Z12" s="27">
        <v>5.100133962E9</v>
      </c>
      <c r="AA12" s="28" t="s">
        <v>174</v>
      </c>
      <c r="AB12" s="31"/>
      <c r="AC12" s="28" t="s">
        <v>158</v>
      </c>
      <c r="AD12" s="28" t="s">
        <v>175</v>
      </c>
      <c r="AE12" s="28" t="s">
        <v>248</v>
      </c>
      <c r="AF12" s="27">
        <f t="shared" si="4"/>
        <v>5</v>
      </c>
      <c r="AG12" s="27">
        <v>1.0</v>
      </c>
      <c r="AH12" s="28" t="s">
        <v>249</v>
      </c>
      <c r="AI12" s="28" t="s">
        <v>250</v>
      </c>
      <c r="AJ12" s="28" t="s">
        <v>250</v>
      </c>
      <c r="AK12" s="28" t="s">
        <v>251</v>
      </c>
      <c r="AL12" s="28" t="s">
        <v>252</v>
      </c>
      <c r="AM12" s="27">
        <v>1.0</v>
      </c>
    </row>
    <row r="13">
      <c r="A13" s="27">
        <v>2166575.0</v>
      </c>
      <c r="B13" s="28" t="s">
        <v>147</v>
      </c>
      <c r="C13" s="27">
        <v>2.200099259E9</v>
      </c>
      <c r="D13" s="27">
        <v>10.0</v>
      </c>
      <c r="E13" s="28" t="s">
        <v>148</v>
      </c>
      <c r="F13" s="28" t="s">
        <v>243</v>
      </c>
      <c r="G13" s="28" t="s">
        <v>253</v>
      </c>
      <c r="H13" s="28" t="s">
        <v>201</v>
      </c>
      <c r="I13" s="27" t="s">
        <v>245</v>
      </c>
      <c r="J13" s="27" t="s">
        <v>254</v>
      </c>
      <c r="K13" s="29" t="s">
        <v>247</v>
      </c>
      <c r="L13" s="5">
        <f>Value(left(vlookup(Z13,dayspo,7,0),1))</f>
        <v>0</v>
      </c>
      <c r="M13" s="28">
        <f>roundup(Y13*'VANVA (Future)'!$U$2,0)</f>
        <v>1</v>
      </c>
      <c r="N13" s="28">
        <f>roundup(Y13*'VANVA (Future)'!$U$3,0)</f>
        <v>1</v>
      </c>
      <c r="O13" s="28">
        <f>roundup(Y13*'VANVA (Future)'!$U$5,0)</f>
        <v>1</v>
      </c>
      <c r="P13" s="28">
        <f>roundup(Y13*'VANVA (Future)'!$U$6,0)</f>
        <v>2</v>
      </c>
      <c r="Q13" s="28">
        <f>roundup(Y13*'VANVA (Future)'!$U$7,0)</f>
        <v>1</v>
      </c>
      <c r="R13" s="28">
        <f>roundup(Y13*'VANVA (Future)'!$U$8,0)</f>
        <v>1</v>
      </c>
      <c r="S13" s="28">
        <f>roundup(Y13*'VANVA (Future)'!$U$9,0)</f>
        <v>2</v>
      </c>
      <c r="T13" s="29">
        <f t="shared" si="1"/>
        <v>9</v>
      </c>
      <c r="U13" s="29">
        <f t="shared" si="2"/>
        <v>5</v>
      </c>
      <c r="V13" s="29" t="s">
        <v>153</v>
      </c>
      <c r="W13" s="28" t="s">
        <v>184</v>
      </c>
      <c r="X13" s="28" t="s">
        <v>194</v>
      </c>
      <c r="Y13" s="27">
        <f t="shared" si="3"/>
        <v>7</v>
      </c>
      <c r="Z13" s="27">
        <v>5.100133981E9</v>
      </c>
      <c r="AA13" s="28" t="s">
        <v>174</v>
      </c>
      <c r="AB13" s="31"/>
      <c r="AC13" s="28" t="s">
        <v>158</v>
      </c>
      <c r="AD13" s="28" t="s">
        <v>175</v>
      </c>
      <c r="AE13" s="28" t="s">
        <v>255</v>
      </c>
      <c r="AF13" s="27">
        <f t="shared" si="4"/>
        <v>4</v>
      </c>
      <c r="AG13" s="27">
        <v>1.0</v>
      </c>
      <c r="AH13" s="28" t="s">
        <v>256</v>
      </c>
      <c r="AI13" s="28" t="s">
        <v>257</v>
      </c>
      <c r="AJ13" s="28" t="s">
        <v>257</v>
      </c>
      <c r="AK13" s="28" t="s">
        <v>258</v>
      </c>
      <c r="AL13" s="28" t="s">
        <v>259</v>
      </c>
      <c r="AM13" s="27">
        <v>1.0</v>
      </c>
    </row>
    <row r="14">
      <c r="A14" s="27">
        <v>2166575.0</v>
      </c>
      <c r="B14" s="28" t="s">
        <v>147</v>
      </c>
      <c r="C14" s="27">
        <v>2.20009926E9</v>
      </c>
      <c r="D14" s="27">
        <v>10.0</v>
      </c>
      <c r="E14" s="28" t="s">
        <v>148</v>
      </c>
      <c r="F14" s="28" t="s">
        <v>243</v>
      </c>
      <c r="G14" s="28" t="s">
        <v>260</v>
      </c>
      <c r="H14" s="28" t="s">
        <v>201</v>
      </c>
      <c r="I14" s="27" t="s">
        <v>245</v>
      </c>
      <c r="J14" s="34" t="s">
        <v>254</v>
      </c>
      <c r="K14" s="29" t="s">
        <v>261</v>
      </c>
      <c r="L14" s="5">
        <f>Value(left(vlookup(Z14,dayspo,7,0),1))</f>
        <v>0</v>
      </c>
      <c r="M14" s="28">
        <f>roundup(Y14*'VANVA (Future)'!$U$2,0)</f>
        <v>1</v>
      </c>
      <c r="N14" s="28">
        <f>roundup(Y14*'VANVA (Future)'!$U$3,0)</f>
        <v>1</v>
      </c>
      <c r="O14" s="28">
        <f>roundup(Y14*'VANVA (Future)'!$U$5,0)</f>
        <v>1</v>
      </c>
      <c r="P14" s="28">
        <f>roundup(Y14*'VANVA (Future)'!$U$6,0)</f>
        <v>2</v>
      </c>
      <c r="Q14" s="28">
        <f>roundup(Y14*'VANVA (Future)'!$U$7,0)</f>
        <v>1</v>
      </c>
      <c r="R14" s="28">
        <f>roundup(Y14*'VANVA (Future)'!$U$8,0)</f>
        <v>1</v>
      </c>
      <c r="S14" s="28">
        <f>roundup(Y14*'VANVA (Future)'!$U$9,0)</f>
        <v>2</v>
      </c>
      <c r="T14" s="29">
        <f t="shared" si="1"/>
        <v>9</v>
      </c>
      <c r="U14" s="29">
        <f t="shared" si="2"/>
        <v>4</v>
      </c>
      <c r="V14" s="29" t="s">
        <v>235</v>
      </c>
      <c r="W14" s="28" t="s">
        <v>184</v>
      </c>
      <c r="X14" s="28" t="s">
        <v>186</v>
      </c>
      <c r="Y14" s="27">
        <f t="shared" si="3"/>
        <v>6</v>
      </c>
      <c r="Z14" s="27">
        <v>5.100134084E9</v>
      </c>
      <c r="AA14" s="28" t="s">
        <v>174</v>
      </c>
      <c r="AB14" s="31"/>
      <c r="AC14" s="28" t="s">
        <v>158</v>
      </c>
      <c r="AD14" s="28" t="s">
        <v>175</v>
      </c>
      <c r="AE14" s="28" t="s">
        <v>248</v>
      </c>
      <c r="AF14" s="27">
        <f t="shared" si="4"/>
        <v>5</v>
      </c>
      <c r="AG14" s="27">
        <v>1.0</v>
      </c>
      <c r="AH14" s="28" t="s">
        <v>262</v>
      </c>
      <c r="AI14" s="28" t="s">
        <v>263</v>
      </c>
      <c r="AJ14" s="28" t="s">
        <v>263</v>
      </c>
      <c r="AK14" s="28" t="s">
        <v>264</v>
      </c>
      <c r="AL14" s="28" t="s">
        <v>265</v>
      </c>
      <c r="AM14" s="27">
        <v>1.0</v>
      </c>
    </row>
    <row r="15">
      <c r="A15" s="27">
        <v>2166575.0</v>
      </c>
      <c r="B15" s="28" t="s">
        <v>147</v>
      </c>
      <c r="C15" s="27">
        <v>2.200099382E9</v>
      </c>
      <c r="D15" s="27">
        <v>10.0</v>
      </c>
      <c r="E15" s="28" t="s">
        <v>148</v>
      </c>
      <c r="F15" s="28" t="s">
        <v>149</v>
      </c>
      <c r="G15" s="28" t="s">
        <v>266</v>
      </c>
      <c r="H15" s="28" t="s">
        <v>151</v>
      </c>
      <c r="I15" s="27" t="s">
        <v>193</v>
      </c>
      <c r="J15" s="27" t="s">
        <v>246</v>
      </c>
      <c r="K15" s="29" t="s">
        <v>211</v>
      </c>
      <c r="L15" s="5">
        <f>Value(left(vlookup(Z15,dayspo,7,0),1))</f>
        <v>0</v>
      </c>
      <c r="M15" s="28">
        <f>roundup(Y15*'VANVA (Future)'!$U$2,0)</f>
        <v>1</v>
      </c>
      <c r="N15" s="28">
        <f>roundup(Y15*'VANVA (Future)'!$U$3,0)</f>
        <v>1</v>
      </c>
      <c r="O15" s="28">
        <f>roundup(Y15*'VANVA (Future)'!$U$5,0)</f>
        <v>3</v>
      </c>
      <c r="P15" s="28">
        <f>roundup(Y15*'VANVA (Future)'!$U$6,0)</f>
        <v>6</v>
      </c>
      <c r="Q15" s="28">
        <f>roundup(Y15*'VANVA (Future)'!$U$7,0)</f>
        <v>4</v>
      </c>
      <c r="R15" s="28">
        <f>roundup(Y15*'VANVA (Future)'!$U$8,0)</f>
        <v>1</v>
      </c>
      <c r="S15" s="28">
        <f>roundup(Y15*'VANVA (Future)'!$U$9,0)</f>
        <v>5</v>
      </c>
      <c r="T15" s="29">
        <f t="shared" si="1"/>
        <v>21</v>
      </c>
      <c r="U15" s="29">
        <f t="shared" si="2"/>
        <v>-2</v>
      </c>
      <c r="V15" s="29" t="s">
        <v>267</v>
      </c>
      <c r="W15" s="28" t="s">
        <v>184</v>
      </c>
      <c r="X15" s="28" t="s">
        <v>268</v>
      </c>
      <c r="Y15" s="27">
        <f t="shared" si="3"/>
        <v>25</v>
      </c>
      <c r="Z15" s="27">
        <v>5.100135176E9</v>
      </c>
      <c r="AA15" s="28" t="s">
        <v>174</v>
      </c>
      <c r="AB15" s="31"/>
      <c r="AC15" s="28" t="s">
        <v>158</v>
      </c>
      <c r="AD15" s="28" t="s">
        <v>175</v>
      </c>
      <c r="AE15" s="28" t="s">
        <v>269</v>
      </c>
      <c r="AF15" s="27">
        <f t="shared" si="4"/>
        <v>23</v>
      </c>
      <c r="AG15" s="27">
        <v>1.0</v>
      </c>
      <c r="AH15" s="28" t="s">
        <v>270</v>
      </c>
      <c r="AI15" s="28" t="s">
        <v>271</v>
      </c>
      <c r="AJ15" s="28" t="s">
        <v>272</v>
      </c>
      <c r="AK15" s="28" t="s">
        <v>273</v>
      </c>
      <c r="AL15" s="28" t="s">
        <v>274</v>
      </c>
      <c r="AM15" s="27">
        <v>1.0</v>
      </c>
    </row>
    <row r="16">
      <c r="A16" s="27">
        <v>2166575.0</v>
      </c>
      <c r="B16" s="28" t="s">
        <v>147</v>
      </c>
      <c r="C16" s="27">
        <v>2.20009932E9</v>
      </c>
      <c r="D16" s="27">
        <v>10.0</v>
      </c>
      <c r="E16" s="28" t="s">
        <v>148</v>
      </c>
      <c r="F16" s="28" t="s">
        <v>209</v>
      </c>
      <c r="G16" s="28" t="s">
        <v>275</v>
      </c>
      <c r="H16" s="28" t="s">
        <v>168</v>
      </c>
      <c r="I16" s="27" t="s">
        <v>193</v>
      </c>
      <c r="J16" s="27" t="s">
        <v>193</v>
      </c>
      <c r="K16" s="29" t="s">
        <v>211</v>
      </c>
      <c r="M16" s="28">
        <f>roundup(Y16*'VANVA (Future)'!$U$2,0)</f>
        <v>1</v>
      </c>
      <c r="N16" s="28">
        <f>roundup(Y16*'VANVA (Future)'!$U$3,0)</f>
        <v>1</v>
      </c>
      <c r="O16" s="28">
        <f>roundup(Y16*'VANVA (Future)'!$U$5,0)</f>
        <v>1</v>
      </c>
      <c r="P16" s="28">
        <f>roundup(Y16*'VANVA (Future)'!$U$6,0)</f>
        <v>3</v>
      </c>
      <c r="Q16" s="28">
        <f>roundup(Y16*'VANVA (Future)'!$U$7,0)</f>
        <v>2</v>
      </c>
      <c r="R16" s="28">
        <f>roundup(Y16*'VANVA (Future)'!$U$8,0)</f>
        <v>1</v>
      </c>
      <c r="S16" s="28">
        <f>roundup(Y16*'VANVA (Future)'!$U$9,0)</f>
        <v>3</v>
      </c>
      <c r="T16" s="29">
        <f t="shared" si="1"/>
        <v>12</v>
      </c>
      <c r="U16" s="29">
        <f t="shared" si="2"/>
        <v>2</v>
      </c>
      <c r="V16" s="32">
        <v>45693.0</v>
      </c>
      <c r="W16" s="28" t="s">
        <v>184</v>
      </c>
      <c r="X16" s="28" t="s">
        <v>160</v>
      </c>
      <c r="Y16" s="27">
        <f t="shared" si="3"/>
        <v>11</v>
      </c>
      <c r="Z16" s="27">
        <v>5.100134248E9</v>
      </c>
      <c r="AA16" s="28" t="s">
        <v>174</v>
      </c>
      <c r="AB16" s="31"/>
      <c r="AC16" s="28" t="s">
        <v>158</v>
      </c>
      <c r="AD16" s="28" t="s">
        <v>175</v>
      </c>
      <c r="AE16" s="28" t="s">
        <v>185</v>
      </c>
      <c r="AF16" s="27">
        <f t="shared" si="4"/>
        <v>10</v>
      </c>
      <c r="AG16" s="27">
        <v>1.0</v>
      </c>
      <c r="AH16" s="28" t="s">
        <v>276</v>
      </c>
      <c r="AI16" s="28" t="s">
        <v>277</v>
      </c>
      <c r="AJ16" s="28" t="s">
        <v>278</v>
      </c>
      <c r="AK16" s="28" t="s">
        <v>279</v>
      </c>
      <c r="AL16" s="28" t="s">
        <v>280</v>
      </c>
      <c r="AM16" s="27">
        <v>1.0</v>
      </c>
    </row>
    <row r="17">
      <c r="A17" s="27">
        <v>2166575.0</v>
      </c>
      <c r="B17" s="28" t="s">
        <v>147</v>
      </c>
      <c r="C17" s="27">
        <v>2.200099482E9</v>
      </c>
      <c r="D17" s="27">
        <v>10.0</v>
      </c>
      <c r="E17" s="28" t="s">
        <v>148</v>
      </c>
      <c r="F17" s="28" t="s">
        <v>281</v>
      </c>
      <c r="G17" s="28" t="s">
        <v>282</v>
      </c>
      <c r="H17" s="28" t="s">
        <v>283</v>
      </c>
      <c r="I17" s="27" t="s">
        <v>261</v>
      </c>
      <c r="J17" s="27" t="s">
        <v>284</v>
      </c>
      <c r="K17" s="29" t="s">
        <v>203</v>
      </c>
      <c r="L17" s="5">
        <f>Value(left(vlookup(Z17,dayspo,7,0),1))</f>
        <v>0</v>
      </c>
      <c r="M17" s="28">
        <f>roundup(Y17*'VANVA (Future)'!$U$2,0)</f>
        <v>1</v>
      </c>
      <c r="N17" s="28">
        <f>roundup(Y17*'VANVA (Future)'!$U$3,0)</f>
        <v>1</v>
      </c>
      <c r="O17" s="28">
        <f>roundup(Y17*'VANVA (Future)'!$U$5,0)</f>
        <v>3</v>
      </c>
      <c r="P17" s="28">
        <f>roundup(Y17*'VANVA (Future)'!$U$6,0)</f>
        <v>6</v>
      </c>
      <c r="Q17" s="28">
        <f>roundup(Y17*'VANVA (Future)'!$U$7,0)</f>
        <v>4</v>
      </c>
      <c r="R17" s="28">
        <f>roundup(Y17*'VANVA (Future)'!$U$8,0)</f>
        <v>1</v>
      </c>
      <c r="S17" s="28">
        <f>roundup(Y17*'VANVA (Future)'!$U$9,0)</f>
        <v>5</v>
      </c>
      <c r="T17" s="29">
        <f t="shared" si="1"/>
        <v>21</v>
      </c>
      <c r="U17" s="29">
        <f t="shared" si="2"/>
        <v>16</v>
      </c>
      <c r="V17" s="32">
        <v>45722.0</v>
      </c>
      <c r="W17" s="28" t="s">
        <v>285</v>
      </c>
      <c r="X17" s="28" t="s">
        <v>286</v>
      </c>
      <c r="Y17" s="27">
        <f t="shared" si="3"/>
        <v>27</v>
      </c>
      <c r="Z17" s="27">
        <v>4.100004803E9</v>
      </c>
      <c r="AA17" s="28" t="s">
        <v>174</v>
      </c>
      <c r="AB17" s="31"/>
      <c r="AC17" s="28" t="s">
        <v>158</v>
      </c>
      <c r="AD17" s="28" t="s">
        <v>175</v>
      </c>
      <c r="AE17" s="28" t="s">
        <v>248</v>
      </c>
      <c r="AF17" s="27">
        <f t="shared" si="4"/>
        <v>5</v>
      </c>
      <c r="AG17" s="27">
        <v>1.0</v>
      </c>
      <c r="AH17" s="28" t="s">
        <v>287</v>
      </c>
      <c r="AI17" s="28" t="s">
        <v>288</v>
      </c>
      <c r="AJ17" s="28" t="s">
        <v>288</v>
      </c>
      <c r="AK17" s="28" t="s">
        <v>289</v>
      </c>
      <c r="AL17" s="28" t="s">
        <v>290</v>
      </c>
      <c r="AM17" s="27">
        <v>1.0</v>
      </c>
    </row>
    <row r="18">
      <c r="A18" s="27">
        <v>2166575.0</v>
      </c>
      <c r="B18" s="28" t="s">
        <v>147</v>
      </c>
      <c r="C18" s="27">
        <v>2.200099516E9</v>
      </c>
      <c r="D18" s="27">
        <v>10.0</v>
      </c>
      <c r="E18" s="28" t="s">
        <v>148</v>
      </c>
      <c r="F18" s="28" t="s">
        <v>291</v>
      </c>
      <c r="G18" s="28" t="s">
        <v>292</v>
      </c>
      <c r="H18" s="28" t="s">
        <v>293</v>
      </c>
      <c r="I18" s="27" t="s">
        <v>170</v>
      </c>
      <c r="J18" s="27" t="s">
        <v>294</v>
      </c>
      <c r="K18" s="29" t="s">
        <v>235</v>
      </c>
      <c r="L18" s="5">
        <f>Value(left(vlookup(Z18,dayspo,7,0),1))</f>
        <v>1</v>
      </c>
      <c r="M18" s="28">
        <f>roundup(Y18*'VANVA (Future)'!$U$2,0)</f>
        <v>1</v>
      </c>
      <c r="N18" s="28">
        <f>roundup(Y18*'VANVA (Future)'!$U$3,0)</f>
        <v>1</v>
      </c>
      <c r="O18" s="28">
        <f>roundup(Y18*'VANVA (Future)'!$U$5,0)</f>
        <v>4</v>
      </c>
      <c r="P18" s="28">
        <f>roundup(Y18*'VANVA (Future)'!$U$6,0)</f>
        <v>8</v>
      </c>
      <c r="Q18" s="28">
        <f>roundup(Y18*'VANVA (Future)'!$U$7,0)</f>
        <v>5</v>
      </c>
      <c r="R18" s="28">
        <f>roundup(Y18*'VANVA (Future)'!$U$8,0)</f>
        <v>2</v>
      </c>
      <c r="S18" s="28">
        <f>roundup(Y18*'VANVA (Future)'!$U$9,0)</f>
        <v>7</v>
      </c>
      <c r="T18" s="29">
        <f t="shared" si="1"/>
        <v>29</v>
      </c>
      <c r="U18" s="29">
        <f t="shared" si="2"/>
        <v>13</v>
      </c>
      <c r="V18" s="29" t="s">
        <v>254</v>
      </c>
      <c r="W18" s="28" t="s">
        <v>295</v>
      </c>
      <c r="X18" s="28" t="s">
        <v>296</v>
      </c>
      <c r="Y18" s="27">
        <f t="shared" si="3"/>
        <v>35</v>
      </c>
      <c r="Z18" s="27">
        <v>4.100004817E9</v>
      </c>
      <c r="AA18" s="28" t="s">
        <v>174</v>
      </c>
      <c r="AB18" s="31"/>
      <c r="AC18" s="28" t="s">
        <v>158</v>
      </c>
      <c r="AD18" s="28" t="s">
        <v>175</v>
      </c>
      <c r="AE18" s="28" t="s">
        <v>297</v>
      </c>
      <c r="AF18" s="27">
        <f t="shared" si="4"/>
        <v>16</v>
      </c>
      <c r="AG18" s="27">
        <v>1.0</v>
      </c>
      <c r="AH18" s="28" t="s">
        <v>298</v>
      </c>
      <c r="AI18" s="28" t="s">
        <v>299</v>
      </c>
      <c r="AJ18" s="28" t="s">
        <v>299</v>
      </c>
      <c r="AK18" s="28" t="s">
        <v>300</v>
      </c>
      <c r="AL18" s="28" t="s">
        <v>301</v>
      </c>
      <c r="AM18" s="27">
        <v>1.0</v>
      </c>
    </row>
    <row r="19">
      <c r="A19" s="27">
        <v>2166575.0</v>
      </c>
      <c r="B19" s="28" t="s">
        <v>147</v>
      </c>
      <c r="C19" s="27">
        <v>2.200099686E9</v>
      </c>
      <c r="D19" s="27">
        <v>10.0</v>
      </c>
      <c r="E19" s="28" t="s">
        <v>148</v>
      </c>
      <c r="F19" s="28" t="s">
        <v>199</v>
      </c>
      <c r="G19" s="28" t="s">
        <v>302</v>
      </c>
      <c r="H19" s="28" t="s">
        <v>201</v>
      </c>
      <c r="I19" s="27" t="s">
        <v>235</v>
      </c>
      <c r="J19" s="27" t="s">
        <v>235</v>
      </c>
      <c r="K19" s="32">
        <v>45691.0</v>
      </c>
      <c r="L19" s="5">
        <f>Value(left(vlookup(Z19,dayspo,7,0),1))</f>
        <v>0</v>
      </c>
      <c r="M19" s="28">
        <f>roundup(Y19*'VANVA (Future)'!$U$2,0)</f>
        <v>1</v>
      </c>
      <c r="N19" s="28">
        <f>roundup(Y19*'VANVA (Future)'!$U$3,0)</f>
        <v>1</v>
      </c>
      <c r="O19" s="28">
        <f>roundup(Y19*'VANVA (Future)'!$U$5,0)</f>
        <v>1</v>
      </c>
      <c r="P19" s="28">
        <f>roundup(Y19*'VANVA (Future)'!$U$6,0)</f>
        <v>2</v>
      </c>
      <c r="Q19" s="28">
        <f>roundup(Y19*'VANVA (Future)'!$U$7,0)</f>
        <v>1</v>
      </c>
      <c r="R19" s="28">
        <f>roundup(Y19*'VANVA (Future)'!$U$8,0)</f>
        <v>1</v>
      </c>
      <c r="S19" s="28">
        <f>roundup(Y19*'VANVA (Future)'!$U$9,0)</f>
        <v>2</v>
      </c>
      <c r="T19" s="29">
        <f t="shared" si="1"/>
        <v>9</v>
      </c>
      <c r="U19" s="29">
        <f t="shared" si="2"/>
        <v>3</v>
      </c>
      <c r="V19" s="32">
        <v>45700.0</v>
      </c>
      <c r="W19" s="28" t="s">
        <v>184</v>
      </c>
      <c r="X19" s="28" t="s">
        <v>194</v>
      </c>
      <c r="Y19" s="27">
        <f t="shared" si="3"/>
        <v>7</v>
      </c>
      <c r="Z19" s="27">
        <v>5.100134541E9</v>
      </c>
      <c r="AA19" s="28" t="s">
        <v>174</v>
      </c>
      <c r="AB19" s="31"/>
      <c r="AC19" s="28" t="s">
        <v>158</v>
      </c>
      <c r="AD19" s="28" t="s">
        <v>175</v>
      </c>
      <c r="AE19" s="28" t="s">
        <v>186</v>
      </c>
      <c r="AF19" s="27">
        <f t="shared" si="4"/>
        <v>6</v>
      </c>
      <c r="AG19" s="27">
        <v>1.0</v>
      </c>
      <c r="AH19" s="28" t="s">
        <v>303</v>
      </c>
      <c r="AI19" s="28" t="s">
        <v>304</v>
      </c>
      <c r="AJ19" s="28" t="s">
        <v>304</v>
      </c>
      <c r="AK19" s="28" t="s">
        <v>305</v>
      </c>
      <c r="AL19" s="28" t="s">
        <v>265</v>
      </c>
      <c r="AM19" s="27">
        <v>1.0</v>
      </c>
    </row>
    <row r="20">
      <c r="A20" s="27">
        <v>2166575.0</v>
      </c>
      <c r="B20" s="28" t="s">
        <v>147</v>
      </c>
      <c r="C20" s="27">
        <v>2.200099771E9</v>
      </c>
      <c r="D20" s="27">
        <v>10.0</v>
      </c>
      <c r="E20" s="28" t="s">
        <v>148</v>
      </c>
      <c r="F20" s="28" t="s">
        <v>306</v>
      </c>
      <c r="G20" s="28" t="s">
        <v>307</v>
      </c>
      <c r="H20" s="28" t="s">
        <v>308</v>
      </c>
      <c r="I20" s="27" t="s">
        <v>309</v>
      </c>
      <c r="J20" s="27" t="s">
        <v>309</v>
      </c>
      <c r="K20" s="32">
        <v>45693.0</v>
      </c>
      <c r="L20" s="5">
        <f>Value(left(vlookup(Z20,dayspo,7,0),1))</f>
        <v>0</v>
      </c>
      <c r="M20" s="28">
        <f>roundup(Y20*'VANVA (Future)'!$U$2,0)</f>
        <v>1</v>
      </c>
      <c r="N20" s="28">
        <f>roundup(Y20*'VANVA (Future)'!$U$3,0)</f>
        <v>1</v>
      </c>
      <c r="O20" s="28">
        <f>roundup(Y20*'VANVA (Future)'!$U$5,0)</f>
        <v>1</v>
      </c>
      <c r="P20" s="28">
        <f>roundup(Y20*'VANVA (Future)'!$U$6,0)</f>
        <v>2</v>
      </c>
      <c r="Q20" s="28">
        <f>roundup(Y20*'VANVA (Future)'!$U$7,0)</f>
        <v>1</v>
      </c>
      <c r="R20" s="28">
        <f>roundup(Y20*'VANVA (Future)'!$U$8,0)</f>
        <v>1</v>
      </c>
      <c r="S20" s="28">
        <f>roundup(Y20*'VANVA (Future)'!$U$9,0)</f>
        <v>2</v>
      </c>
      <c r="T20" s="29">
        <f t="shared" si="1"/>
        <v>9</v>
      </c>
      <c r="U20" s="29">
        <f t="shared" si="2"/>
        <v>4</v>
      </c>
      <c r="V20" s="29" t="s">
        <v>154</v>
      </c>
      <c r="W20" s="28" t="s">
        <v>184</v>
      </c>
      <c r="X20" s="28" t="s">
        <v>186</v>
      </c>
      <c r="Y20" s="27">
        <f t="shared" si="3"/>
        <v>6</v>
      </c>
      <c r="Z20" s="27">
        <v>5.100134577E9</v>
      </c>
      <c r="AA20" s="28" t="s">
        <v>174</v>
      </c>
      <c r="AB20" s="31"/>
      <c r="AC20" s="28" t="s">
        <v>158</v>
      </c>
      <c r="AD20" s="28" t="s">
        <v>175</v>
      </c>
      <c r="AE20" s="28" t="s">
        <v>248</v>
      </c>
      <c r="AF20" s="27">
        <f t="shared" si="4"/>
        <v>5</v>
      </c>
      <c r="AG20" s="27">
        <v>1.0</v>
      </c>
      <c r="AH20" s="28" t="s">
        <v>310</v>
      </c>
      <c r="AI20" s="28" t="s">
        <v>311</v>
      </c>
      <c r="AJ20" s="28" t="s">
        <v>311</v>
      </c>
      <c r="AK20" s="28" t="s">
        <v>312</v>
      </c>
      <c r="AL20" s="28" t="s">
        <v>313</v>
      </c>
      <c r="AM20" s="27">
        <v>1.0</v>
      </c>
    </row>
    <row r="21">
      <c r="A21" s="27">
        <v>2166575.0</v>
      </c>
      <c r="B21" s="28" t="s">
        <v>147</v>
      </c>
      <c r="C21" s="27">
        <v>2.200099425E9</v>
      </c>
      <c r="D21" s="27">
        <v>10.0</v>
      </c>
      <c r="E21" s="28" t="s">
        <v>148</v>
      </c>
      <c r="F21" s="28" t="s">
        <v>314</v>
      </c>
      <c r="G21" s="28" t="s">
        <v>315</v>
      </c>
      <c r="H21" s="28" t="s">
        <v>316</v>
      </c>
      <c r="I21" s="27" t="s">
        <v>193</v>
      </c>
      <c r="J21" s="33">
        <v>45718.0</v>
      </c>
      <c r="K21" s="32">
        <v>45695.0</v>
      </c>
      <c r="L21" s="5">
        <f>Value(left(vlookup(Z21,dayspo,7,0),1))</f>
        <v>0</v>
      </c>
      <c r="M21" s="28">
        <f>roundup(Y21*'VANVA (Future)'!$U$2,0)</f>
        <v>1</v>
      </c>
      <c r="N21" s="28">
        <f>roundup(Y21*'VANVA (Future)'!$U$3,0)</f>
        <v>1</v>
      </c>
      <c r="O21" s="28">
        <f>roundup(Y21*'VANVA (Future)'!$U$5,0)</f>
        <v>2</v>
      </c>
      <c r="P21" s="28">
        <f>roundup(Y21*'VANVA (Future)'!$U$6,0)</f>
        <v>4</v>
      </c>
      <c r="Q21" s="28">
        <f>roundup(Y21*'VANVA (Future)'!$U$7,0)</f>
        <v>2</v>
      </c>
      <c r="R21" s="28">
        <f>roundup(Y21*'VANVA (Future)'!$U$8,0)</f>
        <v>1</v>
      </c>
      <c r="S21" s="28">
        <f>roundup(Y21*'VANVA (Future)'!$U$9,0)</f>
        <v>3</v>
      </c>
      <c r="T21" s="29">
        <f t="shared" si="1"/>
        <v>14</v>
      </c>
      <c r="U21" s="29">
        <f t="shared" si="2"/>
        <v>2</v>
      </c>
      <c r="V21" s="32">
        <v>45719.0</v>
      </c>
      <c r="W21" s="28" t="s">
        <v>317</v>
      </c>
      <c r="X21" s="28" t="s">
        <v>297</v>
      </c>
      <c r="Y21" s="27">
        <f t="shared" si="3"/>
        <v>16</v>
      </c>
      <c r="Z21" s="27">
        <v>5.1001353E9</v>
      </c>
      <c r="AA21" s="28" t="s">
        <v>157</v>
      </c>
      <c r="AB21" s="31"/>
      <c r="AC21" s="28" t="s">
        <v>158</v>
      </c>
      <c r="AD21" s="28" t="s">
        <v>159</v>
      </c>
      <c r="AE21" s="28" t="s">
        <v>318</v>
      </c>
      <c r="AF21" s="27">
        <f t="shared" si="4"/>
        <v>12</v>
      </c>
      <c r="AG21" s="27">
        <v>1.0</v>
      </c>
      <c r="AH21" s="28" t="s">
        <v>319</v>
      </c>
      <c r="AI21" s="28" t="s">
        <v>320</v>
      </c>
      <c r="AJ21" s="28" t="s">
        <v>321</v>
      </c>
      <c r="AK21" s="28" t="s">
        <v>322</v>
      </c>
      <c r="AL21" s="28" t="s">
        <v>323</v>
      </c>
      <c r="AM21" s="27">
        <v>1.0</v>
      </c>
    </row>
    <row r="22">
      <c r="A22" s="27">
        <v>2166575.0</v>
      </c>
      <c r="B22" s="28" t="s">
        <v>147</v>
      </c>
      <c r="C22" s="27">
        <v>2.200099511E9</v>
      </c>
      <c r="D22" s="27">
        <v>10.0</v>
      </c>
      <c r="E22" s="28" t="s">
        <v>148</v>
      </c>
      <c r="F22" s="28" t="s">
        <v>149</v>
      </c>
      <c r="G22" s="28" t="s">
        <v>324</v>
      </c>
      <c r="H22" s="28" t="s">
        <v>151</v>
      </c>
      <c r="I22" s="27" t="s">
        <v>261</v>
      </c>
      <c r="J22" s="33">
        <v>45779.0</v>
      </c>
      <c r="K22" s="32">
        <v>45700.0</v>
      </c>
      <c r="L22" s="5">
        <f>Value(left(vlookup(Z22,dayspo,7,0),1))</f>
        <v>0</v>
      </c>
      <c r="M22" s="28">
        <f>roundup(Y22*'VANVA (Future)'!$U$2,0)</f>
        <v>1</v>
      </c>
      <c r="N22" s="28">
        <f>roundup(Y22*'VANVA (Future)'!$U$3,0)</f>
        <v>1</v>
      </c>
      <c r="O22" s="28">
        <f>roundup(Y22*'VANVA (Future)'!$U$5,0)</f>
        <v>2</v>
      </c>
      <c r="P22" s="28">
        <f>roundup(Y22*'VANVA (Future)'!$U$6,0)</f>
        <v>3</v>
      </c>
      <c r="Q22" s="28">
        <f>roundup(Y22*'VANVA (Future)'!$U$7,0)</f>
        <v>2</v>
      </c>
      <c r="R22" s="28">
        <f>roundup(Y22*'VANVA (Future)'!$U$8,0)</f>
        <v>1</v>
      </c>
      <c r="S22" s="28">
        <f>roundup(Y22*'VANVA (Future)'!$U$9,0)</f>
        <v>3</v>
      </c>
      <c r="T22" s="29">
        <f t="shared" si="1"/>
        <v>13</v>
      </c>
      <c r="U22" s="29">
        <f t="shared" si="2"/>
        <v>3</v>
      </c>
      <c r="V22" s="32">
        <v>45719.0</v>
      </c>
      <c r="W22" s="28" t="s">
        <v>155</v>
      </c>
      <c r="X22" s="28" t="s">
        <v>156</v>
      </c>
      <c r="Y22" s="27">
        <f t="shared" si="3"/>
        <v>13</v>
      </c>
      <c r="Z22" s="27">
        <v>5.100135296E9</v>
      </c>
      <c r="AA22" s="28" t="s">
        <v>157</v>
      </c>
      <c r="AB22" s="31"/>
      <c r="AC22" s="28" t="s">
        <v>158</v>
      </c>
      <c r="AD22" s="28" t="s">
        <v>159</v>
      </c>
      <c r="AE22" s="28" t="s">
        <v>185</v>
      </c>
      <c r="AF22" s="27">
        <f t="shared" si="4"/>
        <v>10</v>
      </c>
      <c r="AG22" s="27">
        <v>1.0</v>
      </c>
      <c r="AH22" s="28" t="s">
        <v>325</v>
      </c>
      <c r="AI22" s="28" t="s">
        <v>326</v>
      </c>
      <c r="AJ22" s="28" t="s">
        <v>327</v>
      </c>
      <c r="AK22" s="28" t="s">
        <v>328</v>
      </c>
      <c r="AL22" s="28" t="s">
        <v>329</v>
      </c>
      <c r="AM22" s="27">
        <v>1.0</v>
      </c>
    </row>
    <row r="23">
      <c r="A23" s="27">
        <v>2166575.0</v>
      </c>
      <c r="B23" s="28" t="s">
        <v>147</v>
      </c>
      <c r="C23" s="27">
        <v>2.200099967E9</v>
      </c>
      <c r="D23" s="27">
        <v>10.0</v>
      </c>
      <c r="E23" s="28" t="s">
        <v>148</v>
      </c>
      <c r="F23" s="28" t="s">
        <v>330</v>
      </c>
      <c r="G23" s="28" t="s">
        <v>331</v>
      </c>
      <c r="H23" s="28" t="s">
        <v>332</v>
      </c>
      <c r="I23" s="33">
        <v>45840.0</v>
      </c>
      <c r="J23" s="33">
        <v>45840.0</v>
      </c>
      <c r="K23" s="29" t="s">
        <v>333</v>
      </c>
      <c r="L23" s="5">
        <f>Value(left(vlookup(Z23,dayspo,7,0),1))</f>
        <v>2</v>
      </c>
      <c r="M23" s="28">
        <f>roundup(Y23*'VANVA (Future)'!$U$2,0)</f>
        <v>1</v>
      </c>
      <c r="N23" s="28">
        <f>roundup(Y23*'VANVA (Future)'!$U$3,0)</f>
        <v>1</v>
      </c>
      <c r="O23" s="28">
        <f>roundup(Y23*'VANVA (Future)'!$U$5,0)</f>
        <v>1</v>
      </c>
      <c r="P23" s="28">
        <f>roundup(Y23*'VANVA (Future)'!$U$6,0)</f>
        <v>2</v>
      </c>
      <c r="Q23" s="28">
        <f>roundup(Y23*'VANVA (Future)'!$U$7,0)</f>
        <v>1</v>
      </c>
      <c r="R23" s="28">
        <f>roundup(Y23*'VANVA (Future)'!$U$8,0)</f>
        <v>1</v>
      </c>
      <c r="S23" s="28">
        <f>roundup(Y23*'VANVA (Future)'!$U$9,0)</f>
        <v>2</v>
      </c>
      <c r="T23" s="29">
        <f t="shared" si="1"/>
        <v>11</v>
      </c>
      <c r="U23" s="29">
        <f t="shared" si="2"/>
        <v>4</v>
      </c>
      <c r="V23" s="29" t="s">
        <v>334</v>
      </c>
      <c r="W23" s="28" t="s">
        <v>335</v>
      </c>
      <c r="X23" s="28" t="s">
        <v>194</v>
      </c>
      <c r="Y23" s="27">
        <f t="shared" si="3"/>
        <v>7</v>
      </c>
      <c r="Z23" s="27">
        <v>5.100135373E9</v>
      </c>
      <c r="AA23" s="28" t="s">
        <v>174</v>
      </c>
      <c r="AB23" s="31"/>
      <c r="AC23" s="28" t="s">
        <v>158</v>
      </c>
      <c r="AD23" s="28" t="s">
        <v>175</v>
      </c>
      <c r="AE23" s="28" t="s">
        <v>194</v>
      </c>
      <c r="AF23" s="27">
        <f t="shared" si="4"/>
        <v>7</v>
      </c>
      <c r="AG23" s="27">
        <v>1.0</v>
      </c>
      <c r="AH23" s="28" t="s">
        <v>336</v>
      </c>
      <c r="AI23" s="28" t="s">
        <v>337</v>
      </c>
      <c r="AJ23" s="28" t="s">
        <v>337</v>
      </c>
      <c r="AK23" s="28" t="s">
        <v>338</v>
      </c>
      <c r="AL23" s="28" t="s">
        <v>339</v>
      </c>
      <c r="AM23" s="27">
        <v>1.0</v>
      </c>
    </row>
    <row r="24">
      <c r="A24" s="27">
        <v>2166575.0</v>
      </c>
      <c r="B24" s="28" t="s">
        <v>147</v>
      </c>
      <c r="C24" s="27">
        <v>2.200100292E9</v>
      </c>
      <c r="D24" s="27">
        <v>10.0</v>
      </c>
      <c r="E24" s="28" t="s">
        <v>148</v>
      </c>
      <c r="F24" s="28" t="s">
        <v>243</v>
      </c>
      <c r="G24" s="28" t="s">
        <v>340</v>
      </c>
      <c r="H24" s="28" t="s">
        <v>201</v>
      </c>
      <c r="I24" s="27" t="s">
        <v>341</v>
      </c>
      <c r="J24" s="27" t="s">
        <v>342</v>
      </c>
      <c r="K24" s="29" t="s">
        <v>343</v>
      </c>
      <c r="L24" s="5">
        <f>Value(left(vlookup(Z24,dayspo,7,0),1))</f>
        <v>1</v>
      </c>
      <c r="M24" s="28">
        <f>roundup(Y24*'VANVA (Future)'!$U$2,0)</f>
        <v>1</v>
      </c>
      <c r="N24" s="28">
        <f>roundup(Y24*'VANVA (Future)'!$U$3,0)</f>
        <v>1</v>
      </c>
      <c r="O24" s="28">
        <f>roundup(Y24*'VANVA (Future)'!$U$5,0)</f>
        <v>1</v>
      </c>
      <c r="P24" s="28">
        <f>roundup(Y24*'VANVA (Future)'!$U$6,0)</f>
        <v>2</v>
      </c>
      <c r="Q24" s="28">
        <f>roundup(Y24*'VANVA (Future)'!$U$7,0)</f>
        <v>1</v>
      </c>
      <c r="R24" s="28">
        <f>roundup(Y24*'VANVA (Future)'!$U$8,0)</f>
        <v>1</v>
      </c>
      <c r="S24" s="28">
        <f>roundup(Y24*'VANVA (Future)'!$U$9,0)</f>
        <v>2</v>
      </c>
      <c r="T24" s="29">
        <f t="shared" si="1"/>
        <v>10</v>
      </c>
      <c r="U24" s="29">
        <f t="shared" si="2"/>
        <v>3</v>
      </c>
      <c r="V24" s="32">
        <v>45720.0</v>
      </c>
      <c r="W24" s="28" t="s">
        <v>184</v>
      </c>
      <c r="X24" s="28" t="s">
        <v>176</v>
      </c>
      <c r="Y24" s="27">
        <f t="shared" si="3"/>
        <v>8</v>
      </c>
      <c r="Z24" s="27">
        <v>5.100135548E9</v>
      </c>
      <c r="AA24" s="28" t="s">
        <v>174</v>
      </c>
      <c r="AB24" s="31"/>
      <c r="AC24" s="28" t="s">
        <v>158</v>
      </c>
      <c r="AD24" s="28" t="s">
        <v>175</v>
      </c>
      <c r="AE24" s="28" t="s">
        <v>194</v>
      </c>
      <c r="AF24" s="27">
        <f t="shared" si="4"/>
        <v>7</v>
      </c>
      <c r="AG24" s="27">
        <v>1.0</v>
      </c>
      <c r="AH24" s="28" t="s">
        <v>344</v>
      </c>
      <c r="AI24" s="28" t="s">
        <v>345</v>
      </c>
      <c r="AJ24" s="28" t="s">
        <v>345</v>
      </c>
      <c r="AK24" s="28" t="s">
        <v>346</v>
      </c>
      <c r="AL24" s="28" t="s">
        <v>347</v>
      </c>
      <c r="AM24" s="27">
        <v>1.0</v>
      </c>
    </row>
    <row r="25">
      <c r="A25" s="27">
        <v>2166575.0</v>
      </c>
      <c r="B25" s="28" t="s">
        <v>147</v>
      </c>
      <c r="C25" s="27">
        <v>2.200100293E9</v>
      </c>
      <c r="D25" s="27">
        <v>10.0</v>
      </c>
      <c r="E25" s="28" t="s">
        <v>148</v>
      </c>
      <c r="F25" s="28" t="s">
        <v>209</v>
      </c>
      <c r="G25" s="28" t="s">
        <v>348</v>
      </c>
      <c r="H25" s="28" t="s">
        <v>168</v>
      </c>
      <c r="I25" s="27" t="s">
        <v>341</v>
      </c>
      <c r="J25" s="27" t="s">
        <v>222</v>
      </c>
      <c r="K25" s="29" t="s">
        <v>333</v>
      </c>
      <c r="L25" s="5">
        <f>Value(left(vlookup(Z25,dayspo,7,0),1))</f>
        <v>3</v>
      </c>
      <c r="M25" s="28">
        <f>roundup(Y25*'VANVA (Future)'!$U$2,0)</f>
        <v>1</v>
      </c>
      <c r="N25" s="28">
        <f>roundup(Y25*'VANVA (Future)'!$U$3,0)</f>
        <v>1</v>
      </c>
      <c r="O25" s="28">
        <f>roundup(Y25*'VANVA (Future)'!$U$5,0)</f>
        <v>2</v>
      </c>
      <c r="P25" s="28">
        <f>roundup(Y25*'VANVA (Future)'!$U$6,0)</f>
        <v>3</v>
      </c>
      <c r="Q25" s="28">
        <f>roundup(Y25*'VANVA (Future)'!$U$7,0)</f>
        <v>2</v>
      </c>
      <c r="R25" s="28">
        <f>roundup(Y25*'VANVA (Future)'!$U$8,0)</f>
        <v>1</v>
      </c>
      <c r="S25" s="28">
        <f>roundup(Y25*'VANVA (Future)'!$U$9,0)</f>
        <v>3</v>
      </c>
      <c r="T25" s="29">
        <f t="shared" si="1"/>
        <v>16</v>
      </c>
      <c r="U25" s="29">
        <f t="shared" si="2"/>
        <v>4</v>
      </c>
      <c r="V25" s="32">
        <v>45723.0</v>
      </c>
      <c r="W25" s="28" t="s">
        <v>184</v>
      </c>
      <c r="X25" s="28" t="s">
        <v>156</v>
      </c>
      <c r="Y25" s="27">
        <f t="shared" si="3"/>
        <v>13</v>
      </c>
      <c r="Z25" s="27">
        <v>5.100135702E9</v>
      </c>
      <c r="AA25" s="28" t="s">
        <v>174</v>
      </c>
      <c r="AB25" s="31"/>
      <c r="AC25" s="28" t="s">
        <v>158</v>
      </c>
      <c r="AD25" s="28" t="s">
        <v>175</v>
      </c>
      <c r="AE25" s="28" t="s">
        <v>318</v>
      </c>
      <c r="AF25" s="27">
        <f t="shared" si="4"/>
        <v>12</v>
      </c>
      <c r="AG25" s="27">
        <v>1.0</v>
      </c>
      <c r="AH25" s="28" t="s">
        <v>349</v>
      </c>
      <c r="AI25" s="28" t="s">
        <v>350</v>
      </c>
      <c r="AJ25" s="28" t="s">
        <v>350</v>
      </c>
      <c r="AK25" s="28" t="s">
        <v>351</v>
      </c>
      <c r="AL25" s="28" t="s">
        <v>352</v>
      </c>
      <c r="AM25" s="27">
        <v>1.0</v>
      </c>
    </row>
    <row r="26">
      <c r="A26" s="27">
        <v>2166575.0</v>
      </c>
      <c r="B26" s="28" t="s">
        <v>147</v>
      </c>
      <c r="C26" s="27">
        <v>2.200100274E9</v>
      </c>
      <c r="D26" s="27">
        <v>10.0</v>
      </c>
      <c r="E26" s="28" t="s">
        <v>148</v>
      </c>
      <c r="F26" s="28" t="s">
        <v>330</v>
      </c>
      <c r="G26" s="28" t="s">
        <v>353</v>
      </c>
      <c r="H26" s="28" t="s">
        <v>332</v>
      </c>
      <c r="I26" s="27" t="s">
        <v>354</v>
      </c>
      <c r="J26" s="27" t="s">
        <v>355</v>
      </c>
      <c r="K26" s="29" t="s">
        <v>356</v>
      </c>
      <c r="L26" s="5">
        <f>Value(left(vlookup(Z26,dayspo,7,0),1))</f>
        <v>0</v>
      </c>
      <c r="M26" s="28">
        <f>roundup(Y26*'VANVA (Future)'!$U$2,0)</f>
        <v>1</v>
      </c>
      <c r="N26" s="28">
        <f>roundup(Y26*'VANVA (Future)'!$U$3,0)</f>
        <v>1</v>
      </c>
      <c r="O26" s="28">
        <f>roundup(Y26*'VANVA (Future)'!$U$5,0)</f>
        <v>2</v>
      </c>
      <c r="P26" s="28">
        <f>roundup(Y26*'VANVA (Future)'!$U$6,0)</f>
        <v>4</v>
      </c>
      <c r="Q26" s="28">
        <f>roundup(Y26*'VANVA (Future)'!$U$7,0)</f>
        <v>2</v>
      </c>
      <c r="R26" s="28">
        <f>roundup(Y26*'VANVA (Future)'!$U$8,0)</f>
        <v>1</v>
      </c>
      <c r="S26" s="28">
        <f>roundup(Y26*'VANVA (Future)'!$U$9,0)</f>
        <v>3</v>
      </c>
      <c r="T26" s="29">
        <f t="shared" si="1"/>
        <v>14</v>
      </c>
      <c r="U26" s="29">
        <f t="shared" si="2"/>
        <v>9</v>
      </c>
      <c r="V26" s="29" t="s">
        <v>357</v>
      </c>
      <c r="W26" s="28" t="s">
        <v>358</v>
      </c>
      <c r="X26" s="28" t="s">
        <v>159</v>
      </c>
      <c r="Y26" s="27">
        <f t="shared" si="3"/>
        <v>15</v>
      </c>
      <c r="Z26" s="27">
        <v>5.100138434E9</v>
      </c>
      <c r="AA26" s="28" t="s">
        <v>174</v>
      </c>
      <c r="AB26" s="31"/>
      <c r="AC26" s="28" t="s">
        <v>158</v>
      </c>
      <c r="AD26" s="28" t="s">
        <v>175</v>
      </c>
      <c r="AE26" s="28" t="s">
        <v>248</v>
      </c>
      <c r="AF26" s="27">
        <f t="shared" si="4"/>
        <v>5</v>
      </c>
      <c r="AG26" s="27">
        <v>1.0</v>
      </c>
      <c r="AH26" s="28" t="s">
        <v>359</v>
      </c>
      <c r="AI26" s="28" t="s">
        <v>360</v>
      </c>
      <c r="AJ26" s="28" t="s">
        <v>361</v>
      </c>
      <c r="AK26" s="28" t="s">
        <v>362</v>
      </c>
      <c r="AL26" s="28" t="s">
        <v>363</v>
      </c>
      <c r="AM26" s="27">
        <v>1.0</v>
      </c>
    </row>
    <row r="27">
      <c r="A27" s="27">
        <v>2166575.0</v>
      </c>
      <c r="B27" s="28" t="s">
        <v>147</v>
      </c>
      <c r="C27" s="27">
        <v>2.200100274E9</v>
      </c>
      <c r="D27" s="27">
        <v>30.0</v>
      </c>
      <c r="E27" s="28" t="s">
        <v>148</v>
      </c>
      <c r="F27" s="28" t="s">
        <v>330</v>
      </c>
      <c r="G27" s="28" t="s">
        <v>364</v>
      </c>
      <c r="H27" s="28" t="s">
        <v>332</v>
      </c>
      <c r="I27" s="27" t="s">
        <v>354</v>
      </c>
      <c r="J27" s="27" t="s">
        <v>355</v>
      </c>
      <c r="K27" s="32">
        <v>45816.0</v>
      </c>
      <c r="L27" s="5">
        <f>Value(left(vlookup(Z27,dayspo,7,0),1))</f>
        <v>2</v>
      </c>
      <c r="M27" s="28">
        <f>roundup(Y27*'VANVA (Future)'!$U$2,0)</f>
        <v>1</v>
      </c>
      <c r="N27" s="28">
        <f>roundup(Y27*'VANVA (Future)'!$U$3,0)</f>
        <v>1</v>
      </c>
      <c r="O27" s="28">
        <f>roundup(Y27*'VANVA (Future)'!$U$5,0)</f>
        <v>3</v>
      </c>
      <c r="P27" s="28">
        <f>roundup(Y27*'VANVA (Future)'!$U$6,0)</f>
        <v>7</v>
      </c>
      <c r="Q27" s="28">
        <f>roundup(Y27*'VANVA (Future)'!$U$7,0)</f>
        <v>4</v>
      </c>
      <c r="R27" s="28">
        <f>roundup(Y27*'VANVA (Future)'!$U$8,0)</f>
        <v>1</v>
      </c>
      <c r="S27" s="28">
        <f>roundup(Y27*'VANVA (Future)'!$U$9,0)</f>
        <v>6</v>
      </c>
      <c r="T27" s="29">
        <f t="shared" si="1"/>
        <v>25</v>
      </c>
      <c r="U27" s="29">
        <f t="shared" si="2"/>
        <v>17</v>
      </c>
      <c r="V27" s="29" t="s">
        <v>365</v>
      </c>
      <c r="W27" s="28" t="s">
        <v>358</v>
      </c>
      <c r="X27" s="28" t="s">
        <v>366</v>
      </c>
      <c r="Y27" s="27">
        <f t="shared" si="3"/>
        <v>32</v>
      </c>
      <c r="Z27" s="27">
        <v>5.10014132E9</v>
      </c>
      <c r="AA27" s="28" t="s">
        <v>174</v>
      </c>
      <c r="AB27" s="31"/>
      <c r="AC27" s="28" t="s">
        <v>158</v>
      </c>
      <c r="AD27" s="28" t="s">
        <v>175</v>
      </c>
      <c r="AE27" s="28" t="s">
        <v>176</v>
      </c>
      <c r="AF27" s="27">
        <f t="shared" si="4"/>
        <v>8</v>
      </c>
      <c r="AG27" s="27">
        <v>1.0</v>
      </c>
      <c r="AH27" s="28" t="s">
        <v>367</v>
      </c>
      <c r="AI27" s="28" t="s">
        <v>368</v>
      </c>
      <c r="AJ27" s="28" t="s">
        <v>369</v>
      </c>
      <c r="AK27" s="28" t="s">
        <v>370</v>
      </c>
      <c r="AL27" s="28" t="s">
        <v>371</v>
      </c>
      <c r="AM27" s="27">
        <v>1.0</v>
      </c>
    </row>
    <row r="28">
      <c r="A28" s="27">
        <v>2166575.0</v>
      </c>
      <c r="B28" s="28" t="s">
        <v>147</v>
      </c>
      <c r="C28" s="27">
        <v>2.200100349E9</v>
      </c>
      <c r="D28" s="27">
        <v>10.0</v>
      </c>
      <c r="E28" s="28" t="s">
        <v>148</v>
      </c>
      <c r="F28" s="28" t="s">
        <v>372</v>
      </c>
      <c r="G28" s="28" t="s">
        <v>373</v>
      </c>
      <c r="H28" s="28" t="s">
        <v>308</v>
      </c>
      <c r="I28" s="27" t="s">
        <v>333</v>
      </c>
      <c r="J28" s="27" t="s">
        <v>333</v>
      </c>
      <c r="K28" s="29" t="s">
        <v>246</v>
      </c>
      <c r="L28" s="5">
        <f>Value(left(vlookup(Z28,dayspo,7,0),1))</f>
        <v>2</v>
      </c>
      <c r="M28" s="28">
        <f>roundup(Y28*'VANVA (Future)'!$U$2,0)</f>
        <v>1</v>
      </c>
      <c r="N28" s="28">
        <f>roundup(Y28*'VANVA (Future)'!$U$3,0)</f>
        <v>1</v>
      </c>
      <c r="O28" s="28">
        <f>roundup(Y28*'VANVA (Future)'!$U$5,0)</f>
        <v>1</v>
      </c>
      <c r="P28" s="28">
        <f>roundup(Y28*'VANVA (Future)'!$U$6,0)</f>
        <v>3</v>
      </c>
      <c r="Q28" s="28">
        <f>roundup(Y28*'VANVA (Future)'!$U$7,0)</f>
        <v>2</v>
      </c>
      <c r="R28" s="28">
        <f>roundup(Y28*'VANVA (Future)'!$U$8,0)</f>
        <v>1</v>
      </c>
      <c r="S28" s="28">
        <f>roundup(Y28*'VANVA (Future)'!$U$9,0)</f>
        <v>2</v>
      </c>
      <c r="T28" s="29">
        <f t="shared" si="1"/>
        <v>13</v>
      </c>
      <c r="U28" s="29">
        <f t="shared" si="2"/>
        <v>4</v>
      </c>
      <c r="V28" s="32">
        <v>45723.0</v>
      </c>
      <c r="W28" s="28" t="s">
        <v>184</v>
      </c>
      <c r="X28" s="28" t="s">
        <v>185</v>
      </c>
      <c r="Y28" s="27">
        <f t="shared" si="3"/>
        <v>10</v>
      </c>
      <c r="Z28" s="27">
        <v>5.100135641E9</v>
      </c>
      <c r="AA28" s="28" t="s">
        <v>174</v>
      </c>
      <c r="AB28" s="31"/>
      <c r="AC28" s="28" t="s">
        <v>158</v>
      </c>
      <c r="AD28" s="28" t="s">
        <v>175</v>
      </c>
      <c r="AE28" s="28" t="s">
        <v>173</v>
      </c>
      <c r="AF28" s="27">
        <f t="shared" si="4"/>
        <v>9</v>
      </c>
      <c r="AG28" s="27">
        <v>1.0</v>
      </c>
      <c r="AH28" s="28" t="s">
        <v>374</v>
      </c>
      <c r="AI28" s="28" t="s">
        <v>375</v>
      </c>
      <c r="AJ28" s="28" t="s">
        <v>376</v>
      </c>
      <c r="AK28" s="28" t="s">
        <v>377</v>
      </c>
      <c r="AL28" s="28" t="s">
        <v>378</v>
      </c>
      <c r="AM28" s="27">
        <v>1.0</v>
      </c>
    </row>
    <row r="29">
      <c r="A29" s="27">
        <v>2166575.0</v>
      </c>
      <c r="B29" s="28" t="s">
        <v>147</v>
      </c>
      <c r="C29" s="27">
        <v>2.200100309E9</v>
      </c>
      <c r="D29" s="27">
        <v>10.0</v>
      </c>
      <c r="E29" s="28" t="s">
        <v>148</v>
      </c>
      <c r="F29" s="28" t="s">
        <v>379</v>
      </c>
      <c r="G29" s="28" t="s">
        <v>380</v>
      </c>
      <c r="H29" s="28" t="s">
        <v>316</v>
      </c>
      <c r="I29" s="27" t="s">
        <v>381</v>
      </c>
      <c r="J29" s="33">
        <v>45812.0</v>
      </c>
      <c r="K29" s="29" t="s">
        <v>382</v>
      </c>
      <c r="L29" s="5">
        <f>Value(left(vlookup(Z29,dayspo,7,0),1))</f>
        <v>1</v>
      </c>
      <c r="M29" s="28">
        <f>roundup(Y29*'VANVA (Future)'!$U$2,0)</f>
        <v>1</v>
      </c>
      <c r="N29" s="28">
        <f>roundup(Y29*'VANVA (Future)'!$U$3,0)</f>
        <v>1</v>
      </c>
      <c r="O29" s="28">
        <f>roundup(Y29*'VANVA (Future)'!$U$5,0)</f>
        <v>1</v>
      </c>
      <c r="P29" s="28">
        <f>roundup(Y29*'VANVA (Future)'!$U$6,0)</f>
        <v>2</v>
      </c>
      <c r="Q29" s="28">
        <f>roundup(Y29*'VANVA (Future)'!$U$7,0)</f>
        <v>1</v>
      </c>
      <c r="R29" s="28">
        <f>roundup(Y29*'VANVA (Future)'!$U$8,0)</f>
        <v>1</v>
      </c>
      <c r="S29" s="28">
        <f>roundup(Y29*'VANVA (Future)'!$U$9,0)</f>
        <v>2</v>
      </c>
      <c r="T29" s="29">
        <f t="shared" si="1"/>
        <v>10</v>
      </c>
      <c r="U29" s="29">
        <f t="shared" si="2"/>
        <v>3</v>
      </c>
      <c r="V29" s="32">
        <v>45726.0</v>
      </c>
      <c r="W29" s="28" t="s">
        <v>383</v>
      </c>
      <c r="X29" s="28" t="s">
        <v>176</v>
      </c>
      <c r="Y29" s="27">
        <f t="shared" si="3"/>
        <v>8</v>
      </c>
      <c r="Z29" s="27">
        <v>5.100135739E9</v>
      </c>
      <c r="AA29" s="28" t="s">
        <v>157</v>
      </c>
      <c r="AB29" s="31"/>
      <c r="AC29" s="28" t="s">
        <v>158</v>
      </c>
      <c r="AD29" s="28" t="s">
        <v>159</v>
      </c>
      <c r="AE29" s="28" t="s">
        <v>194</v>
      </c>
      <c r="AF29" s="27">
        <f t="shared" si="4"/>
        <v>7</v>
      </c>
      <c r="AG29" s="27">
        <v>1.0</v>
      </c>
      <c r="AH29" s="28" t="s">
        <v>384</v>
      </c>
      <c r="AI29" s="28" t="s">
        <v>385</v>
      </c>
      <c r="AJ29" s="28" t="s">
        <v>386</v>
      </c>
      <c r="AK29" s="28" t="s">
        <v>387</v>
      </c>
      <c r="AL29" s="28" t="s">
        <v>388</v>
      </c>
      <c r="AM29" s="27">
        <v>1.0</v>
      </c>
    </row>
    <row r="30">
      <c r="A30" s="27">
        <v>2166575.0</v>
      </c>
      <c r="B30" s="28" t="s">
        <v>147</v>
      </c>
      <c r="C30" s="27">
        <v>2.200100637E9</v>
      </c>
      <c r="D30" s="27">
        <v>10.0</v>
      </c>
      <c r="E30" s="28" t="s">
        <v>148</v>
      </c>
      <c r="F30" s="28" t="s">
        <v>389</v>
      </c>
      <c r="G30" s="28" t="s">
        <v>390</v>
      </c>
      <c r="H30" s="28" t="s">
        <v>332</v>
      </c>
      <c r="I30" s="27" t="s">
        <v>236</v>
      </c>
      <c r="J30" s="27" t="s">
        <v>391</v>
      </c>
      <c r="K30" s="29" t="s">
        <v>392</v>
      </c>
      <c r="L30" s="5">
        <f>Value(left(vlookup(Z30,dayspo,7,0),1))</f>
        <v>4</v>
      </c>
      <c r="M30" s="28">
        <f>roundup(Y30*'VANVA (Future)'!$U$2,0)</f>
        <v>1</v>
      </c>
      <c r="N30" s="28">
        <f>roundup(Y30*'VANVA (Future)'!$U$3,0)</f>
        <v>1</v>
      </c>
      <c r="O30" s="28">
        <f>roundup(Y30*'VANVA (Future)'!$U$5,0)</f>
        <v>1</v>
      </c>
      <c r="P30" s="28">
        <f>roundup(Y30*'VANVA (Future)'!$U$6,0)</f>
        <v>2</v>
      </c>
      <c r="Q30" s="28">
        <f>roundup(Y30*'VANVA (Future)'!$U$7,0)</f>
        <v>1</v>
      </c>
      <c r="R30" s="28">
        <f>roundup(Y30*'VANVA (Future)'!$U$8,0)</f>
        <v>1</v>
      </c>
      <c r="S30" s="28">
        <f>roundup(Y30*'VANVA (Future)'!$U$9,0)</f>
        <v>2</v>
      </c>
      <c r="T30" s="29">
        <f t="shared" si="1"/>
        <v>13</v>
      </c>
      <c r="U30" s="29">
        <f t="shared" si="2"/>
        <v>6</v>
      </c>
      <c r="V30" s="29" t="s">
        <v>393</v>
      </c>
      <c r="W30" s="28" t="s">
        <v>358</v>
      </c>
      <c r="X30" s="28" t="s">
        <v>176</v>
      </c>
      <c r="Y30" s="27">
        <f t="shared" si="3"/>
        <v>8</v>
      </c>
      <c r="Z30" s="27">
        <v>5.100136776E9</v>
      </c>
      <c r="AA30" s="28" t="s">
        <v>174</v>
      </c>
      <c r="AB30" s="31"/>
      <c r="AC30" s="28" t="s">
        <v>158</v>
      </c>
      <c r="AD30" s="28" t="s">
        <v>175</v>
      </c>
      <c r="AE30" s="28" t="s">
        <v>194</v>
      </c>
      <c r="AF30" s="27">
        <f t="shared" si="4"/>
        <v>7</v>
      </c>
      <c r="AG30" s="27">
        <v>1.0</v>
      </c>
      <c r="AH30" s="28" t="s">
        <v>394</v>
      </c>
      <c r="AI30" s="28" t="s">
        <v>395</v>
      </c>
      <c r="AJ30" s="28" t="s">
        <v>395</v>
      </c>
      <c r="AK30" s="28" t="s">
        <v>396</v>
      </c>
      <c r="AL30" s="28" t="s">
        <v>397</v>
      </c>
      <c r="AM30" s="27">
        <v>1.0</v>
      </c>
    </row>
    <row r="31">
      <c r="A31" s="27">
        <v>2166575.0</v>
      </c>
      <c r="B31" s="28" t="s">
        <v>147</v>
      </c>
      <c r="C31" s="27">
        <v>2.200100969E9</v>
      </c>
      <c r="D31" s="27">
        <v>10.0</v>
      </c>
      <c r="E31" s="28" t="s">
        <v>148</v>
      </c>
      <c r="F31" s="28" t="s">
        <v>219</v>
      </c>
      <c r="G31" s="28" t="s">
        <v>398</v>
      </c>
      <c r="H31" s="28" t="s">
        <v>221</v>
      </c>
      <c r="I31" s="33">
        <v>45933.0</v>
      </c>
      <c r="J31" s="27" t="s">
        <v>355</v>
      </c>
      <c r="K31" s="32">
        <v>45727.0</v>
      </c>
      <c r="L31" s="5">
        <f>Value(left(vlookup(Z31,dayspo,7,0),1))</f>
        <v>3</v>
      </c>
      <c r="M31" s="28">
        <f>roundup(Y31*'VANVA (Future)'!$U$2,0)</f>
        <v>1</v>
      </c>
      <c r="N31" s="28">
        <f>roundup(Y31*'VANVA (Future)'!$U$3,0)</f>
        <v>1</v>
      </c>
      <c r="O31" s="28">
        <f>roundup(Y31*'VANVA (Future)'!$U$5,0)</f>
        <v>2</v>
      </c>
      <c r="P31" s="28">
        <f>roundup(Y31*'VANVA (Future)'!$U$6,0)</f>
        <v>4</v>
      </c>
      <c r="Q31" s="28">
        <f>roundup(Y31*'VANVA (Future)'!$U$7,0)</f>
        <v>3</v>
      </c>
      <c r="R31" s="28">
        <f>roundup(Y31*'VANVA (Future)'!$U$8,0)</f>
        <v>1</v>
      </c>
      <c r="S31" s="28">
        <f>roundup(Y31*'VANVA (Future)'!$U$9,0)</f>
        <v>4</v>
      </c>
      <c r="T31" s="29">
        <f t="shared" si="1"/>
        <v>19</v>
      </c>
      <c r="U31" s="29">
        <f t="shared" si="2"/>
        <v>2</v>
      </c>
      <c r="V31" s="29" t="s">
        <v>399</v>
      </c>
      <c r="W31" s="28" t="s">
        <v>400</v>
      </c>
      <c r="X31" s="28" t="s">
        <v>401</v>
      </c>
      <c r="Y31" s="27">
        <f t="shared" si="3"/>
        <v>18</v>
      </c>
      <c r="Z31" s="27">
        <v>5.100136843E9</v>
      </c>
      <c r="AA31" s="28" t="s">
        <v>174</v>
      </c>
      <c r="AB31" s="31"/>
      <c r="AC31" s="28" t="s">
        <v>158</v>
      </c>
      <c r="AD31" s="28" t="s">
        <v>175</v>
      </c>
      <c r="AE31" s="28" t="s">
        <v>402</v>
      </c>
      <c r="AF31" s="27">
        <f t="shared" si="4"/>
        <v>17</v>
      </c>
      <c r="AG31" s="27">
        <v>1.0</v>
      </c>
      <c r="AH31" s="28" t="s">
        <v>403</v>
      </c>
      <c r="AI31" s="28" t="s">
        <v>404</v>
      </c>
      <c r="AJ31" s="28" t="s">
        <v>405</v>
      </c>
      <c r="AK31" s="28" t="s">
        <v>406</v>
      </c>
      <c r="AL31" s="28" t="s">
        <v>407</v>
      </c>
      <c r="AM31" s="27">
        <v>1.0</v>
      </c>
    </row>
    <row r="32">
      <c r="A32" s="27">
        <v>2166575.0</v>
      </c>
      <c r="B32" s="28" t="s">
        <v>147</v>
      </c>
      <c r="C32" s="27">
        <v>2.20010106E9</v>
      </c>
      <c r="D32" s="27">
        <v>10.0</v>
      </c>
      <c r="E32" s="28" t="s">
        <v>148</v>
      </c>
      <c r="F32" s="28" t="s">
        <v>243</v>
      </c>
      <c r="G32" s="28" t="s">
        <v>408</v>
      </c>
      <c r="H32" s="28" t="s">
        <v>201</v>
      </c>
      <c r="I32" s="33">
        <v>45964.0</v>
      </c>
      <c r="J32" s="27" t="s">
        <v>342</v>
      </c>
      <c r="K32" s="29" t="s">
        <v>409</v>
      </c>
      <c r="L32" s="5">
        <f>Value(left(vlookup(Z32,dayspo,7,0),1))</f>
        <v>1</v>
      </c>
      <c r="M32" s="28">
        <f>roundup(Y32*'VANVA (Future)'!$U$2,0)</f>
        <v>1</v>
      </c>
      <c r="N32" s="28">
        <f>roundup(Y32*'VANVA (Future)'!$U$3,0)</f>
        <v>1</v>
      </c>
      <c r="O32" s="28">
        <f>roundup(Y32*'VANVA (Future)'!$U$5,0)</f>
        <v>1</v>
      </c>
      <c r="P32" s="28">
        <f>roundup(Y32*'VANVA (Future)'!$U$6,0)</f>
        <v>3</v>
      </c>
      <c r="Q32" s="28">
        <f>roundup(Y32*'VANVA (Future)'!$U$7,0)</f>
        <v>2</v>
      </c>
      <c r="R32" s="28">
        <f>roundup(Y32*'VANVA (Future)'!$U$8,0)</f>
        <v>1</v>
      </c>
      <c r="S32" s="28">
        <f>roundup(Y32*'VANVA (Future)'!$U$9,0)</f>
        <v>2</v>
      </c>
      <c r="T32" s="29">
        <f t="shared" si="1"/>
        <v>12</v>
      </c>
      <c r="U32" s="29">
        <f t="shared" si="2"/>
        <v>9</v>
      </c>
      <c r="V32" s="29" t="s">
        <v>393</v>
      </c>
      <c r="W32" s="28" t="s">
        <v>184</v>
      </c>
      <c r="X32" s="28" t="s">
        <v>185</v>
      </c>
      <c r="Y32" s="27">
        <f t="shared" si="3"/>
        <v>10</v>
      </c>
      <c r="Z32" s="27">
        <v>5.100136775E9</v>
      </c>
      <c r="AA32" s="28" t="s">
        <v>174</v>
      </c>
      <c r="AB32" s="31"/>
      <c r="AC32" s="28" t="s">
        <v>158</v>
      </c>
      <c r="AD32" s="28" t="s">
        <v>175</v>
      </c>
      <c r="AE32" s="28" t="s">
        <v>410</v>
      </c>
      <c r="AF32" s="27">
        <f t="shared" si="4"/>
        <v>3</v>
      </c>
      <c r="AG32" s="27">
        <v>1.0</v>
      </c>
      <c r="AH32" s="28" t="s">
        <v>411</v>
      </c>
      <c r="AI32" s="28" t="s">
        <v>412</v>
      </c>
      <c r="AJ32" s="28" t="s">
        <v>413</v>
      </c>
      <c r="AK32" s="28" t="s">
        <v>414</v>
      </c>
      <c r="AL32" s="28" t="s">
        <v>415</v>
      </c>
      <c r="AM32" s="27">
        <v>1.0</v>
      </c>
    </row>
    <row r="33">
      <c r="A33" s="27">
        <v>2166575.0</v>
      </c>
      <c r="B33" s="28" t="s">
        <v>147</v>
      </c>
      <c r="C33" s="27">
        <v>2.200101428E9</v>
      </c>
      <c r="D33" s="27">
        <v>10.0</v>
      </c>
      <c r="E33" s="28" t="s">
        <v>148</v>
      </c>
      <c r="F33" s="28" t="s">
        <v>314</v>
      </c>
      <c r="G33" s="28" t="s">
        <v>416</v>
      </c>
      <c r="H33" s="28" t="s">
        <v>316</v>
      </c>
      <c r="I33" s="27" t="s">
        <v>342</v>
      </c>
      <c r="J33" s="27" t="s">
        <v>222</v>
      </c>
      <c r="K33" s="29" t="s">
        <v>417</v>
      </c>
      <c r="L33" s="5">
        <f>Value(left(vlookup(Z33,dayspo,7,0),1))</f>
        <v>1</v>
      </c>
      <c r="M33" s="28">
        <f>roundup(Y33*'VANVA (Future)'!$U$2,0)</f>
        <v>1</v>
      </c>
      <c r="N33" s="28">
        <f>roundup(Y33*'VANVA (Future)'!$U$3,0)</f>
        <v>1</v>
      </c>
      <c r="O33" s="28">
        <f>roundup(Y33*'VANVA (Future)'!$U$5,0)</f>
        <v>1</v>
      </c>
      <c r="P33" s="28">
        <f>roundup(Y33*'VANVA (Future)'!$U$6,0)</f>
        <v>2</v>
      </c>
      <c r="Q33" s="28">
        <f>roundup(Y33*'VANVA (Future)'!$U$7,0)</f>
        <v>1</v>
      </c>
      <c r="R33" s="28">
        <f>roundup(Y33*'VANVA (Future)'!$U$8,0)</f>
        <v>1</v>
      </c>
      <c r="S33" s="28">
        <f>roundup(Y33*'VANVA (Future)'!$U$9,0)</f>
        <v>2</v>
      </c>
      <c r="T33" s="29">
        <f t="shared" si="1"/>
        <v>10</v>
      </c>
      <c r="U33" s="29">
        <f t="shared" si="2"/>
        <v>5</v>
      </c>
      <c r="V33" s="29" t="s">
        <v>393</v>
      </c>
      <c r="W33" s="28" t="s">
        <v>184</v>
      </c>
      <c r="X33" s="28" t="s">
        <v>186</v>
      </c>
      <c r="Y33" s="27">
        <f t="shared" si="3"/>
        <v>6</v>
      </c>
      <c r="Z33" s="27">
        <v>5.100136768E9</v>
      </c>
      <c r="AA33" s="28" t="s">
        <v>174</v>
      </c>
      <c r="AB33" s="31"/>
      <c r="AC33" s="28" t="s">
        <v>158</v>
      </c>
      <c r="AD33" s="28" t="s">
        <v>175</v>
      </c>
      <c r="AE33" s="28" t="s">
        <v>248</v>
      </c>
      <c r="AF33" s="27">
        <f t="shared" si="4"/>
        <v>5</v>
      </c>
      <c r="AG33" s="27">
        <v>1.0</v>
      </c>
      <c r="AH33" s="28" t="s">
        <v>418</v>
      </c>
      <c r="AI33" s="28" t="s">
        <v>419</v>
      </c>
      <c r="AJ33" s="28" t="s">
        <v>420</v>
      </c>
      <c r="AK33" s="28" t="s">
        <v>421</v>
      </c>
      <c r="AL33" s="28" t="s">
        <v>422</v>
      </c>
      <c r="AM33" s="27">
        <v>1.0</v>
      </c>
    </row>
    <row r="34">
      <c r="A34" s="27">
        <v>2166575.0</v>
      </c>
      <c r="B34" s="28" t="s">
        <v>147</v>
      </c>
      <c r="C34" s="27">
        <v>2.200101457E9</v>
      </c>
      <c r="D34" s="27">
        <v>10.0</v>
      </c>
      <c r="E34" s="28" t="s">
        <v>148</v>
      </c>
      <c r="F34" s="28" t="s">
        <v>423</v>
      </c>
      <c r="G34" s="28" t="s">
        <v>424</v>
      </c>
      <c r="H34" s="28" t="s">
        <v>316</v>
      </c>
      <c r="I34" s="27" t="s">
        <v>417</v>
      </c>
      <c r="J34" s="27" t="s">
        <v>222</v>
      </c>
      <c r="K34" s="32">
        <v>45783.0</v>
      </c>
      <c r="L34" s="5">
        <f>Value(left(vlookup(Z34,dayspo,7,0),1))</f>
        <v>0</v>
      </c>
      <c r="M34" s="28">
        <f>roundup(Y34*'VANVA (Future)'!$U$2,0)</f>
        <v>1</v>
      </c>
      <c r="N34" s="28">
        <f>roundup(Y34*'VANVA (Future)'!$U$3,0)</f>
        <v>1</v>
      </c>
      <c r="O34" s="28">
        <f>roundup(Y34*'VANVA (Future)'!$U$5,0)</f>
        <v>1</v>
      </c>
      <c r="P34" s="28">
        <f>roundup(Y34*'VANVA (Future)'!$U$6,0)</f>
        <v>1</v>
      </c>
      <c r="Q34" s="28">
        <f>roundup(Y34*'VANVA (Future)'!$U$7,0)</f>
        <v>1</v>
      </c>
      <c r="R34" s="28">
        <f>roundup(Y34*'VANVA (Future)'!$U$8,0)</f>
        <v>1</v>
      </c>
      <c r="S34" s="28">
        <f>roundup(Y34*'VANVA (Future)'!$U$9,0)</f>
        <v>1</v>
      </c>
      <c r="T34" s="29">
        <f t="shared" si="1"/>
        <v>7</v>
      </c>
      <c r="U34" s="29">
        <f t="shared" si="2"/>
        <v>3</v>
      </c>
      <c r="V34" s="29" t="s">
        <v>425</v>
      </c>
      <c r="W34" s="28" t="s">
        <v>184</v>
      </c>
      <c r="X34" s="28" t="s">
        <v>255</v>
      </c>
      <c r="Y34" s="27">
        <f t="shared" si="3"/>
        <v>4</v>
      </c>
      <c r="Z34" s="27">
        <v>5.10013829E9</v>
      </c>
      <c r="AA34" s="28" t="s">
        <v>174</v>
      </c>
      <c r="AB34" s="31"/>
      <c r="AC34" s="28" t="s">
        <v>158</v>
      </c>
      <c r="AD34" s="28" t="s">
        <v>175</v>
      </c>
      <c r="AE34" s="28" t="s">
        <v>255</v>
      </c>
      <c r="AF34" s="27">
        <f t="shared" si="4"/>
        <v>4</v>
      </c>
      <c r="AG34" s="27">
        <v>1.0</v>
      </c>
      <c r="AH34" s="28" t="s">
        <v>426</v>
      </c>
      <c r="AI34" s="28" t="s">
        <v>427</v>
      </c>
      <c r="AJ34" s="28" t="s">
        <v>428</v>
      </c>
      <c r="AK34" s="28" t="s">
        <v>429</v>
      </c>
      <c r="AL34" s="28" t="s">
        <v>430</v>
      </c>
      <c r="AM34" s="27">
        <v>1.0</v>
      </c>
    </row>
    <row r="35">
      <c r="A35" s="27">
        <v>2166575.0</v>
      </c>
      <c r="B35" s="28" t="s">
        <v>147</v>
      </c>
      <c r="C35" s="27">
        <v>2.200101315E9</v>
      </c>
      <c r="D35" s="27">
        <v>10.0</v>
      </c>
      <c r="E35" s="28" t="s">
        <v>148</v>
      </c>
      <c r="F35" s="28" t="s">
        <v>219</v>
      </c>
      <c r="G35" s="28" t="s">
        <v>431</v>
      </c>
      <c r="H35" s="28" t="s">
        <v>221</v>
      </c>
      <c r="I35" s="27" t="s">
        <v>392</v>
      </c>
      <c r="J35" s="27" t="s">
        <v>432</v>
      </c>
      <c r="K35" s="29" t="s">
        <v>433</v>
      </c>
      <c r="L35" s="5">
        <f>Value(left(vlookup(Z35,dayspo,7,0),1))</f>
        <v>0</v>
      </c>
      <c r="M35" s="28">
        <f>roundup(Y35*'VANVA (Future)'!$U$2,0)</f>
        <v>1</v>
      </c>
      <c r="N35" s="28">
        <f>roundup(Y35*'VANVA (Future)'!$U$3,0)</f>
        <v>1</v>
      </c>
      <c r="O35" s="28">
        <f>roundup(Y35*'VANVA (Future)'!$U$5,0)</f>
        <v>2</v>
      </c>
      <c r="P35" s="28">
        <f>roundup(Y35*'VANVA (Future)'!$U$6,0)</f>
        <v>3</v>
      </c>
      <c r="Q35" s="28">
        <f>roundup(Y35*'VANVA (Future)'!$U$7,0)</f>
        <v>2</v>
      </c>
      <c r="R35" s="28">
        <f>roundup(Y35*'VANVA (Future)'!$U$8,0)</f>
        <v>1</v>
      </c>
      <c r="S35" s="28">
        <f>roundup(Y35*'VANVA (Future)'!$U$9,0)</f>
        <v>3</v>
      </c>
      <c r="T35" s="29">
        <f t="shared" si="1"/>
        <v>13</v>
      </c>
      <c r="U35" s="29">
        <f t="shared" si="2"/>
        <v>4</v>
      </c>
      <c r="V35" s="29" t="s">
        <v>434</v>
      </c>
      <c r="W35" s="28" t="s">
        <v>435</v>
      </c>
      <c r="X35" s="28" t="s">
        <v>156</v>
      </c>
      <c r="Y35" s="27">
        <f t="shared" si="3"/>
        <v>13</v>
      </c>
      <c r="Z35" s="27">
        <v>5.100137063E9</v>
      </c>
      <c r="AA35" s="28" t="s">
        <v>157</v>
      </c>
      <c r="AB35" s="31"/>
      <c r="AC35" s="28" t="s">
        <v>158</v>
      </c>
      <c r="AD35" s="28" t="s">
        <v>159</v>
      </c>
      <c r="AE35" s="28" t="s">
        <v>173</v>
      </c>
      <c r="AF35" s="27">
        <f t="shared" si="4"/>
        <v>9</v>
      </c>
      <c r="AG35" s="27">
        <v>1.0</v>
      </c>
      <c r="AH35" s="28" t="s">
        <v>436</v>
      </c>
      <c r="AI35" s="28" t="s">
        <v>437</v>
      </c>
      <c r="AJ35" s="28" t="s">
        <v>438</v>
      </c>
      <c r="AK35" s="28" t="s">
        <v>439</v>
      </c>
      <c r="AL35" s="28" t="s">
        <v>440</v>
      </c>
      <c r="AM35" s="27">
        <v>1.0</v>
      </c>
    </row>
    <row r="36">
      <c r="A36" s="27">
        <v>2166575.0</v>
      </c>
      <c r="B36" s="28" t="s">
        <v>147</v>
      </c>
      <c r="C36" s="27">
        <v>2.200101462E9</v>
      </c>
      <c r="D36" s="27">
        <v>10.0</v>
      </c>
      <c r="E36" s="28" t="s">
        <v>148</v>
      </c>
      <c r="F36" s="28" t="s">
        <v>219</v>
      </c>
      <c r="G36" s="28" t="s">
        <v>441</v>
      </c>
      <c r="H36" s="28" t="s">
        <v>221</v>
      </c>
      <c r="I36" s="27" t="s">
        <v>417</v>
      </c>
      <c r="J36" s="27" t="s">
        <v>432</v>
      </c>
      <c r="K36" s="29" t="s">
        <v>393</v>
      </c>
      <c r="L36" s="5">
        <f>Value(left(vlookup(Z36,dayspo,7,0),1))</f>
        <v>0</v>
      </c>
      <c r="M36" s="28">
        <f>roundup(Y36*'VANVA (Future)'!$U$2,0)</f>
        <v>1</v>
      </c>
      <c r="N36" s="28">
        <f>roundup(Y36*'VANVA (Future)'!$U$3,0)</f>
        <v>1</v>
      </c>
      <c r="O36" s="28">
        <f>roundup(Y36*'VANVA (Future)'!$U$5,0)</f>
        <v>2</v>
      </c>
      <c r="P36" s="28">
        <f>roundup(Y36*'VANVA (Future)'!$U$6,0)</f>
        <v>5</v>
      </c>
      <c r="Q36" s="28">
        <f>roundup(Y36*'VANVA (Future)'!$U$7,0)</f>
        <v>3</v>
      </c>
      <c r="R36" s="28">
        <f>roundup(Y36*'VANVA (Future)'!$U$8,0)</f>
        <v>1</v>
      </c>
      <c r="S36" s="28">
        <f>roundup(Y36*'VANVA (Future)'!$U$9,0)</f>
        <v>5</v>
      </c>
      <c r="T36" s="29">
        <f t="shared" si="1"/>
        <v>18</v>
      </c>
      <c r="U36" s="29">
        <f t="shared" si="2"/>
        <v>10</v>
      </c>
      <c r="V36" s="32">
        <v>45786.0</v>
      </c>
      <c r="W36" s="28" t="s">
        <v>442</v>
      </c>
      <c r="X36" s="28" t="s">
        <v>443</v>
      </c>
      <c r="Y36" s="27">
        <f t="shared" si="3"/>
        <v>22</v>
      </c>
      <c r="Z36" s="27">
        <v>5.10013822E9</v>
      </c>
      <c r="AA36" s="28" t="s">
        <v>157</v>
      </c>
      <c r="AB36" s="31"/>
      <c r="AC36" s="28" t="s">
        <v>158</v>
      </c>
      <c r="AD36" s="28" t="s">
        <v>159</v>
      </c>
      <c r="AE36" s="28" t="s">
        <v>176</v>
      </c>
      <c r="AF36" s="27">
        <f t="shared" si="4"/>
        <v>8</v>
      </c>
      <c r="AG36" s="27">
        <v>1.0</v>
      </c>
      <c r="AH36" s="28" t="s">
        <v>444</v>
      </c>
      <c r="AI36" s="28" t="s">
        <v>445</v>
      </c>
      <c r="AJ36" s="28" t="s">
        <v>446</v>
      </c>
      <c r="AK36" s="28" t="s">
        <v>447</v>
      </c>
      <c r="AL36" s="28" t="s">
        <v>448</v>
      </c>
      <c r="AM36" s="27">
        <v>1.0</v>
      </c>
    </row>
    <row r="37">
      <c r="A37" s="27">
        <v>2166575.0</v>
      </c>
      <c r="B37" s="28" t="s">
        <v>147</v>
      </c>
      <c r="C37" s="27">
        <v>2.200101239E9</v>
      </c>
      <c r="D37" s="27">
        <v>10.0</v>
      </c>
      <c r="E37" s="28" t="s">
        <v>148</v>
      </c>
      <c r="F37" s="28" t="s">
        <v>199</v>
      </c>
      <c r="G37" s="28" t="s">
        <v>449</v>
      </c>
      <c r="H37" s="28" t="s">
        <v>201</v>
      </c>
      <c r="I37" s="27" t="s">
        <v>450</v>
      </c>
      <c r="J37" s="27" t="s">
        <v>432</v>
      </c>
      <c r="K37" s="29" t="s">
        <v>451</v>
      </c>
      <c r="L37" s="5">
        <f>Value(left(vlookup(Z37,dayspo,7,0),1))</f>
        <v>0</v>
      </c>
      <c r="M37" s="28">
        <f>roundup(Y37*'VANVA (Future)'!$U$2,0)</f>
        <v>1</v>
      </c>
      <c r="N37" s="28">
        <f>roundup(Y37*'VANVA (Future)'!$U$3,0)</f>
        <v>1</v>
      </c>
      <c r="O37" s="28">
        <f>roundup(Y37*'VANVA (Future)'!$U$5,0)</f>
        <v>2</v>
      </c>
      <c r="P37" s="28">
        <f>roundup(Y37*'VANVA (Future)'!$U$6,0)</f>
        <v>5</v>
      </c>
      <c r="Q37" s="28">
        <f>roundup(Y37*'VANVA (Future)'!$U$7,0)</f>
        <v>3</v>
      </c>
      <c r="R37" s="28">
        <f>roundup(Y37*'VANVA (Future)'!$U$8,0)</f>
        <v>1</v>
      </c>
      <c r="S37" s="28">
        <f>roundup(Y37*'VANVA (Future)'!$U$9,0)</f>
        <v>5</v>
      </c>
      <c r="T37" s="29">
        <f t="shared" si="1"/>
        <v>18</v>
      </c>
      <c r="U37" s="29">
        <f t="shared" si="2"/>
        <v>4</v>
      </c>
      <c r="V37" s="32">
        <v>45785.0</v>
      </c>
      <c r="W37" s="28" t="s">
        <v>452</v>
      </c>
      <c r="X37" s="28" t="s">
        <v>443</v>
      </c>
      <c r="Y37" s="27">
        <f t="shared" si="3"/>
        <v>22</v>
      </c>
      <c r="Z37" s="27">
        <v>5.100138109E9</v>
      </c>
      <c r="AA37" s="28" t="s">
        <v>174</v>
      </c>
      <c r="AB37" s="31"/>
      <c r="AC37" s="28" t="s">
        <v>158</v>
      </c>
      <c r="AD37" s="28" t="s">
        <v>175</v>
      </c>
      <c r="AE37" s="28" t="s">
        <v>223</v>
      </c>
      <c r="AF37" s="27">
        <f t="shared" si="4"/>
        <v>14</v>
      </c>
      <c r="AG37" s="27">
        <v>1.0</v>
      </c>
      <c r="AH37" s="28" t="s">
        <v>453</v>
      </c>
      <c r="AI37" s="28" t="s">
        <v>454</v>
      </c>
      <c r="AJ37" s="28" t="s">
        <v>455</v>
      </c>
      <c r="AK37" s="28" t="s">
        <v>456</v>
      </c>
      <c r="AL37" s="28" t="s">
        <v>457</v>
      </c>
      <c r="AM37" s="27">
        <v>1.0</v>
      </c>
    </row>
    <row r="38">
      <c r="A38" s="27">
        <v>2166575.0</v>
      </c>
      <c r="B38" s="28" t="s">
        <v>147</v>
      </c>
      <c r="C38" s="27">
        <v>2.200101803E9</v>
      </c>
      <c r="D38" s="27">
        <v>10.0</v>
      </c>
      <c r="E38" s="28" t="s">
        <v>148</v>
      </c>
      <c r="F38" s="28" t="s">
        <v>458</v>
      </c>
      <c r="G38" s="28" t="s">
        <v>459</v>
      </c>
      <c r="H38" s="28" t="s">
        <v>332</v>
      </c>
      <c r="I38" s="27" t="s">
        <v>451</v>
      </c>
      <c r="J38" s="27" t="s">
        <v>451</v>
      </c>
      <c r="K38" s="29" t="s">
        <v>460</v>
      </c>
      <c r="L38" s="5">
        <f>Value(left(vlookup(Z38,dayspo,7,0),1))</f>
        <v>0</v>
      </c>
      <c r="M38" s="28">
        <f>roundup(Y38*'VANVA (Future)'!$U$2,0)</f>
        <v>1</v>
      </c>
      <c r="N38" s="28">
        <f>roundup(Y38*'VANVA (Future)'!$U$3,0)</f>
        <v>1</v>
      </c>
      <c r="O38" s="28">
        <f>roundup(Y38*'VANVA (Future)'!$U$5,0)</f>
        <v>3</v>
      </c>
      <c r="P38" s="28">
        <f>roundup(Y38*'VANVA (Future)'!$U$6,0)</f>
        <v>6</v>
      </c>
      <c r="Q38" s="28">
        <f>roundup(Y38*'VANVA (Future)'!$U$7,0)</f>
        <v>4</v>
      </c>
      <c r="R38" s="28">
        <f>roundup(Y38*'VANVA (Future)'!$U$8,0)</f>
        <v>1</v>
      </c>
      <c r="S38" s="28">
        <f>roundup(Y38*'VANVA (Future)'!$U$9,0)</f>
        <v>5</v>
      </c>
      <c r="T38" s="29">
        <f t="shared" si="1"/>
        <v>21</v>
      </c>
      <c r="U38" s="29">
        <f t="shared" si="2"/>
        <v>12</v>
      </c>
      <c r="V38" s="29" t="s">
        <v>461</v>
      </c>
      <c r="W38" s="28" t="s">
        <v>462</v>
      </c>
      <c r="X38" s="28" t="s">
        <v>268</v>
      </c>
      <c r="Y38" s="27">
        <f t="shared" si="3"/>
        <v>25</v>
      </c>
      <c r="Z38" s="27">
        <v>5.100138475E9</v>
      </c>
      <c r="AA38" s="28" t="s">
        <v>174</v>
      </c>
      <c r="AB38" s="31"/>
      <c r="AC38" s="28" t="s">
        <v>158</v>
      </c>
      <c r="AD38" s="28" t="s">
        <v>175</v>
      </c>
      <c r="AE38" s="28" t="s">
        <v>173</v>
      </c>
      <c r="AF38" s="27">
        <f t="shared" si="4"/>
        <v>9</v>
      </c>
      <c r="AG38" s="27">
        <v>1.0</v>
      </c>
      <c r="AH38" s="28" t="s">
        <v>463</v>
      </c>
      <c r="AI38" s="28" t="s">
        <v>464</v>
      </c>
      <c r="AJ38" s="28" t="s">
        <v>465</v>
      </c>
      <c r="AK38" s="28" t="s">
        <v>466</v>
      </c>
      <c r="AL38" s="28" t="s">
        <v>467</v>
      </c>
      <c r="AM38" s="27">
        <v>1.0</v>
      </c>
    </row>
    <row r="39">
      <c r="A39" s="27">
        <v>2166575.0</v>
      </c>
      <c r="B39" s="28" t="s">
        <v>147</v>
      </c>
      <c r="C39" s="27">
        <v>2.200101829E9</v>
      </c>
      <c r="D39" s="27">
        <v>10.0</v>
      </c>
      <c r="E39" s="28" t="s">
        <v>148</v>
      </c>
      <c r="F39" s="28" t="s">
        <v>468</v>
      </c>
      <c r="G39" s="28" t="s">
        <v>469</v>
      </c>
      <c r="H39" s="28" t="s">
        <v>308</v>
      </c>
      <c r="I39" s="27" t="s">
        <v>460</v>
      </c>
      <c r="J39" s="27" t="s">
        <v>470</v>
      </c>
      <c r="K39" s="32">
        <v>45754.0</v>
      </c>
      <c r="L39" s="5">
        <f>Value(left(vlookup(Z39,dayspo,7,0),1))</f>
        <v>0</v>
      </c>
      <c r="M39" s="28">
        <f>roundup(Y39*'VANVA (Future)'!$U$2,0)</f>
        <v>1</v>
      </c>
      <c r="N39" s="28">
        <f>roundup(Y39*'VANVA (Future)'!$U$3,0)</f>
        <v>1</v>
      </c>
      <c r="O39" s="28">
        <f>roundup(Y39*'VANVA (Future)'!$U$5,0)</f>
        <v>2</v>
      </c>
      <c r="P39" s="28">
        <f>roundup(Y39*'VANVA (Future)'!$U$6,0)</f>
        <v>4</v>
      </c>
      <c r="Q39" s="28">
        <f>roundup(Y39*'VANVA (Future)'!$U$7,0)</f>
        <v>2</v>
      </c>
      <c r="R39" s="28">
        <f>roundup(Y39*'VANVA (Future)'!$U$8,0)</f>
        <v>1</v>
      </c>
      <c r="S39" s="28">
        <f>roundup(Y39*'VANVA (Future)'!$U$9,0)</f>
        <v>3</v>
      </c>
      <c r="T39" s="29">
        <f t="shared" si="1"/>
        <v>14</v>
      </c>
      <c r="U39" s="29">
        <f t="shared" si="2"/>
        <v>5</v>
      </c>
      <c r="V39" s="29" t="s">
        <v>471</v>
      </c>
      <c r="W39" s="28" t="s">
        <v>184</v>
      </c>
      <c r="X39" s="28" t="s">
        <v>159</v>
      </c>
      <c r="Y39" s="27">
        <f t="shared" si="3"/>
        <v>15</v>
      </c>
      <c r="Z39" s="27">
        <v>5.100137513E9</v>
      </c>
      <c r="AA39" s="28" t="s">
        <v>174</v>
      </c>
      <c r="AB39" s="31"/>
      <c r="AC39" s="28" t="s">
        <v>158</v>
      </c>
      <c r="AD39" s="28" t="s">
        <v>175</v>
      </c>
      <c r="AE39" s="28" t="s">
        <v>173</v>
      </c>
      <c r="AF39" s="27">
        <f t="shared" si="4"/>
        <v>9</v>
      </c>
      <c r="AG39" s="27">
        <v>1.0</v>
      </c>
      <c r="AH39" s="28" t="s">
        <v>472</v>
      </c>
      <c r="AI39" s="28" t="s">
        <v>473</v>
      </c>
      <c r="AJ39" s="28" t="s">
        <v>474</v>
      </c>
      <c r="AK39" s="28" t="s">
        <v>475</v>
      </c>
      <c r="AL39" s="28" t="s">
        <v>476</v>
      </c>
      <c r="AM39" s="27">
        <v>1.0</v>
      </c>
    </row>
    <row r="40">
      <c r="A40" s="27">
        <v>2166575.0</v>
      </c>
      <c r="B40" s="28" t="s">
        <v>147</v>
      </c>
      <c r="C40" s="27">
        <v>2.200101861E9</v>
      </c>
      <c r="D40" s="27">
        <v>10.0</v>
      </c>
      <c r="E40" s="28" t="s">
        <v>148</v>
      </c>
      <c r="F40" s="28" t="s">
        <v>149</v>
      </c>
      <c r="G40" s="28" t="s">
        <v>477</v>
      </c>
      <c r="H40" s="28" t="s">
        <v>151</v>
      </c>
      <c r="I40" s="27" t="s">
        <v>460</v>
      </c>
      <c r="J40" s="27" t="s">
        <v>470</v>
      </c>
      <c r="K40" s="32">
        <v>45754.0</v>
      </c>
      <c r="L40" s="5">
        <f>Value(left(vlookup(Z40,dayspo,7,0),1))</f>
        <v>0</v>
      </c>
      <c r="M40" s="28">
        <f>roundup(Y40*'VANVA (Future)'!$U$2,0)</f>
        <v>1</v>
      </c>
      <c r="N40" s="28">
        <f>roundup(Y40*'VANVA (Future)'!$U$3,0)</f>
        <v>1</v>
      </c>
      <c r="O40" s="28">
        <f>roundup(Y40*'VANVA (Future)'!$U$5,0)</f>
        <v>1</v>
      </c>
      <c r="P40" s="28">
        <f>roundup(Y40*'VANVA (Future)'!$U$6,0)</f>
        <v>2</v>
      </c>
      <c r="Q40" s="28">
        <f>roundup(Y40*'VANVA (Future)'!$U$7,0)</f>
        <v>2</v>
      </c>
      <c r="R40" s="28">
        <f>roundup(Y40*'VANVA (Future)'!$U$8,0)</f>
        <v>1</v>
      </c>
      <c r="S40" s="28">
        <f>roundup(Y40*'VANVA (Future)'!$U$9,0)</f>
        <v>2</v>
      </c>
      <c r="T40" s="29">
        <f t="shared" si="1"/>
        <v>10</v>
      </c>
      <c r="U40" s="29">
        <f t="shared" si="2"/>
        <v>2</v>
      </c>
      <c r="V40" s="29" t="s">
        <v>356</v>
      </c>
      <c r="W40" s="28" t="s">
        <v>184</v>
      </c>
      <c r="X40" s="28" t="s">
        <v>173</v>
      </c>
      <c r="Y40" s="27">
        <f t="shared" si="3"/>
        <v>9</v>
      </c>
      <c r="Z40" s="27">
        <v>5.100137232E9</v>
      </c>
      <c r="AA40" s="28" t="s">
        <v>174</v>
      </c>
      <c r="AB40" s="31"/>
      <c r="AC40" s="28" t="s">
        <v>158</v>
      </c>
      <c r="AD40" s="28" t="s">
        <v>175</v>
      </c>
      <c r="AE40" s="28" t="s">
        <v>176</v>
      </c>
      <c r="AF40" s="27">
        <f t="shared" si="4"/>
        <v>8</v>
      </c>
      <c r="AG40" s="27">
        <v>1.0</v>
      </c>
      <c r="AH40" s="28" t="s">
        <v>478</v>
      </c>
      <c r="AI40" s="28" t="s">
        <v>479</v>
      </c>
      <c r="AJ40" s="28" t="s">
        <v>480</v>
      </c>
      <c r="AK40" s="28" t="s">
        <v>481</v>
      </c>
      <c r="AL40" s="28" t="s">
        <v>482</v>
      </c>
      <c r="AM40" s="27">
        <v>1.0</v>
      </c>
    </row>
    <row r="41">
      <c r="A41" s="27">
        <v>2166575.0</v>
      </c>
      <c r="B41" s="28" t="s">
        <v>147</v>
      </c>
      <c r="C41" s="27">
        <v>2.200102246E9</v>
      </c>
      <c r="D41" s="27">
        <v>10.0</v>
      </c>
      <c r="E41" s="28" t="s">
        <v>148</v>
      </c>
      <c r="F41" s="28" t="s">
        <v>209</v>
      </c>
      <c r="G41" s="28" t="s">
        <v>483</v>
      </c>
      <c r="H41" s="28" t="s">
        <v>168</v>
      </c>
      <c r="I41" s="27" t="s">
        <v>484</v>
      </c>
      <c r="J41" s="27" t="s">
        <v>222</v>
      </c>
      <c r="K41" s="29" t="s">
        <v>485</v>
      </c>
      <c r="L41" s="5">
        <f>Value(left(vlookup(Z41,dayspo,7,0),1))</f>
        <v>1</v>
      </c>
      <c r="M41" s="28">
        <f>roundup(Y41*'VANVA (Future)'!$U$2,0)</f>
        <v>1</v>
      </c>
      <c r="N41" s="28">
        <f>roundup(Y41*'VANVA (Future)'!$U$3,0)</f>
        <v>1</v>
      </c>
      <c r="O41" s="28">
        <f>roundup(Y41*'VANVA (Future)'!$U$5,0)</f>
        <v>1</v>
      </c>
      <c r="P41" s="28">
        <f>roundup(Y41*'VANVA (Future)'!$U$6,0)</f>
        <v>2</v>
      </c>
      <c r="Q41" s="28">
        <f>roundup(Y41*'VANVA (Future)'!$U$7,0)</f>
        <v>1</v>
      </c>
      <c r="R41" s="28">
        <f>roundup(Y41*'VANVA (Future)'!$U$8,0)</f>
        <v>1</v>
      </c>
      <c r="S41" s="28">
        <f>roundup(Y41*'VANVA (Future)'!$U$9,0)</f>
        <v>2</v>
      </c>
      <c r="T41" s="29">
        <f t="shared" si="1"/>
        <v>10</v>
      </c>
      <c r="U41" s="29">
        <f t="shared" si="2"/>
        <v>3</v>
      </c>
      <c r="V41" s="29" t="s">
        <v>486</v>
      </c>
      <c r="W41" s="28" t="s">
        <v>184</v>
      </c>
      <c r="X41" s="28" t="s">
        <v>194</v>
      </c>
      <c r="Y41" s="27">
        <f t="shared" si="3"/>
        <v>7</v>
      </c>
      <c r="Z41" s="27">
        <v>5.100139089E9</v>
      </c>
      <c r="AA41" s="28" t="s">
        <v>174</v>
      </c>
      <c r="AB41" s="31"/>
      <c r="AC41" s="28" t="s">
        <v>158</v>
      </c>
      <c r="AD41" s="28" t="s">
        <v>175</v>
      </c>
      <c r="AE41" s="28" t="s">
        <v>194</v>
      </c>
      <c r="AF41" s="27">
        <f t="shared" si="4"/>
        <v>7</v>
      </c>
      <c r="AG41" s="27">
        <v>1.0</v>
      </c>
      <c r="AH41" s="28" t="s">
        <v>487</v>
      </c>
      <c r="AI41" s="28" t="s">
        <v>488</v>
      </c>
      <c r="AJ41" s="28" t="s">
        <v>488</v>
      </c>
      <c r="AK41" s="28" t="s">
        <v>489</v>
      </c>
      <c r="AL41" s="28" t="s">
        <v>490</v>
      </c>
      <c r="AM41" s="27">
        <v>1.0</v>
      </c>
    </row>
    <row r="42">
      <c r="A42" s="27">
        <v>2166575.0</v>
      </c>
      <c r="B42" s="28" t="s">
        <v>147</v>
      </c>
      <c r="C42" s="27">
        <v>2.200102217E9</v>
      </c>
      <c r="D42" s="27">
        <v>10.0</v>
      </c>
      <c r="E42" s="28" t="s">
        <v>148</v>
      </c>
      <c r="F42" s="28" t="s">
        <v>149</v>
      </c>
      <c r="G42" s="28" t="s">
        <v>491</v>
      </c>
      <c r="H42" s="28" t="s">
        <v>151</v>
      </c>
      <c r="I42" s="27" t="s">
        <v>484</v>
      </c>
      <c r="J42" s="27" t="s">
        <v>484</v>
      </c>
      <c r="K42" s="29" t="s">
        <v>492</v>
      </c>
      <c r="L42" s="5">
        <f>Value(left(vlookup(Z42,dayspo,7,0),1))</f>
        <v>0</v>
      </c>
      <c r="M42" s="28">
        <f>roundup(Y42*'VANVA (Future)'!$U$2,0)</f>
        <v>1</v>
      </c>
      <c r="N42" s="28">
        <f>roundup(Y42*'VANVA (Future)'!$U$3,0)</f>
        <v>1</v>
      </c>
      <c r="O42" s="28">
        <f>roundup(Y42*'VANVA (Future)'!$U$5,0)</f>
        <v>2</v>
      </c>
      <c r="P42" s="28">
        <f>roundup(Y42*'VANVA (Future)'!$U$6,0)</f>
        <v>4</v>
      </c>
      <c r="Q42" s="28">
        <f>roundup(Y42*'VANVA (Future)'!$U$7,0)</f>
        <v>2</v>
      </c>
      <c r="R42" s="28">
        <f>roundup(Y42*'VANVA (Future)'!$U$8,0)</f>
        <v>1</v>
      </c>
      <c r="S42" s="28">
        <f>roundup(Y42*'VANVA (Future)'!$U$9,0)</f>
        <v>3</v>
      </c>
      <c r="T42" s="29">
        <f t="shared" si="1"/>
        <v>14</v>
      </c>
      <c r="U42" s="29">
        <f t="shared" si="2"/>
        <v>3</v>
      </c>
      <c r="V42" s="29" t="s">
        <v>493</v>
      </c>
      <c r="W42" s="28" t="s">
        <v>494</v>
      </c>
      <c r="X42" s="28" t="s">
        <v>159</v>
      </c>
      <c r="Y42" s="27">
        <f t="shared" si="3"/>
        <v>15</v>
      </c>
      <c r="Z42" s="27">
        <v>5.10013857E9</v>
      </c>
      <c r="AA42" s="28" t="s">
        <v>495</v>
      </c>
      <c r="AB42" s="31"/>
      <c r="AC42" s="28" t="s">
        <v>158</v>
      </c>
      <c r="AD42" s="28" t="s">
        <v>175</v>
      </c>
      <c r="AE42" s="28" t="s">
        <v>160</v>
      </c>
      <c r="AF42" s="27">
        <f t="shared" si="4"/>
        <v>11</v>
      </c>
      <c r="AG42" s="27">
        <v>1.0</v>
      </c>
      <c r="AH42" s="28" t="s">
        <v>496</v>
      </c>
      <c r="AI42" s="28" t="s">
        <v>497</v>
      </c>
      <c r="AJ42" s="28" t="s">
        <v>498</v>
      </c>
      <c r="AK42" s="28" t="s">
        <v>499</v>
      </c>
      <c r="AL42" s="28" t="s">
        <v>500</v>
      </c>
      <c r="AM42" s="27">
        <v>1.0</v>
      </c>
    </row>
    <row r="43">
      <c r="A43" s="27">
        <v>2166575.0</v>
      </c>
      <c r="B43" s="28" t="s">
        <v>147</v>
      </c>
      <c r="C43" s="27">
        <v>2.20010251E9</v>
      </c>
      <c r="D43" s="27">
        <v>10.0</v>
      </c>
      <c r="E43" s="28" t="s">
        <v>148</v>
      </c>
      <c r="F43" s="28" t="s">
        <v>389</v>
      </c>
      <c r="G43" s="28" t="s">
        <v>501</v>
      </c>
      <c r="H43" s="28" t="s">
        <v>332</v>
      </c>
      <c r="I43" s="27" t="s">
        <v>502</v>
      </c>
      <c r="J43" s="27" t="s">
        <v>355</v>
      </c>
      <c r="K43" s="29" t="s">
        <v>202</v>
      </c>
      <c r="L43" s="5">
        <f>Value(left(vlookup(Z43,dayspo,7,0),1))</f>
        <v>0</v>
      </c>
      <c r="M43" s="28">
        <f>roundup(Y43*'VANVA (Future)'!$U$2,0)</f>
        <v>1</v>
      </c>
      <c r="N43" s="28">
        <f>roundup(Y43*'VANVA (Future)'!$U$3,0)</f>
        <v>1</v>
      </c>
      <c r="O43" s="28">
        <f>roundup(Y43*'VANVA (Future)'!$U$5,0)</f>
        <v>3</v>
      </c>
      <c r="P43" s="28">
        <f>roundup(Y43*'VANVA (Future)'!$U$6,0)</f>
        <v>6</v>
      </c>
      <c r="Q43" s="28">
        <f>roundup(Y43*'VANVA (Future)'!$U$7,0)</f>
        <v>4</v>
      </c>
      <c r="R43" s="28">
        <f>roundup(Y43*'VANVA (Future)'!$U$8,0)</f>
        <v>1</v>
      </c>
      <c r="S43" s="28">
        <f>roundup(Y43*'VANVA (Future)'!$U$9,0)</f>
        <v>6</v>
      </c>
      <c r="T43" s="29">
        <f t="shared" si="1"/>
        <v>22</v>
      </c>
      <c r="U43" s="29">
        <f t="shared" si="2"/>
        <v>13</v>
      </c>
      <c r="V43" s="32">
        <v>45846.0</v>
      </c>
      <c r="W43" s="28" t="s">
        <v>503</v>
      </c>
      <c r="X43" s="28" t="s">
        <v>504</v>
      </c>
      <c r="Y43" s="27">
        <f t="shared" si="3"/>
        <v>29</v>
      </c>
      <c r="Z43" s="27">
        <v>5.10014039E9</v>
      </c>
      <c r="AA43" s="28" t="s">
        <v>174</v>
      </c>
      <c r="AB43" s="31"/>
      <c r="AC43" s="28" t="s">
        <v>158</v>
      </c>
      <c r="AD43" s="28" t="s">
        <v>175</v>
      </c>
      <c r="AE43" s="28" t="s">
        <v>173</v>
      </c>
      <c r="AF43" s="27">
        <f t="shared" si="4"/>
        <v>9</v>
      </c>
      <c r="AG43" s="27">
        <v>1.0</v>
      </c>
      <c r="AH43" s="28" t="s">
        <v>505</v>
      </c>
      <c r="AI43" s="28" t="s">
        <v>506</v>
      </c>
      <c r="AJ43" s="28" t="s">
        <v>507</v>
      </c>
      <c r="AK43" s="28" t="s">
        <v>508</v>
      </c>
      <c r="AL43" s="28" t="s">
        <v>509</v>
      </c>
      <c r="AM43" s="27">
        <v>1.0</v>
      </c>
    </row>
    <row r="44">
      <c r="A44" s="27">
        <v>2166575.0</v>
      </c>
      <c r="B44" s="28" t="s">
        <v>147</v>
      </c>
      <c r="C44" s="27">
        <v>2.200102556E9</v>
      </c>
      <c r="D44" s="27">
        <v>10.0</v>
      </c>
      <c r="E44" s="28" t="s">
        <v>148</v>
      </c>
      <c r="F44" s="28" t="s">
        <v>389</v>
      </c>
      <c r="G44" s="28" t="s">
        <v>510</v>
      </c>
      <c r="H44" s="28" t="s">
        <v>332</v>
      </c>
      <c r="I44" s="27" t="s">
        <v>502</v>
      </c>
      <c r="J44" s="27" t="s">
        <v>502</v>
      </c>
      <c r="K44" s="32">
        <v>45779.0</v>
      </c>
      <c r="L44" s="5">
        <f>Value(left(vlookup(Z44,dayspo,7,0),1))</f>
        <v>1</v>
      </c>
      <c r="M44" s="28">
        <f>roundup(Y44*'VANVA (Future)'!$U$2,0)</f>
        <v>1</v>
      </c>
      <c r="N44" s="28">
        <f>roundup(Y44*'VANVA (Future)'!$U$3,0)</f>
        <v>1</v>
      </c>
      <c r="O44" s="28">
        <f>roundup(Y44*'VANVA (Future)'!$U$5,0)</f>
        <v>1</v>
      </c>
      <c r="P44" s="28">
        <f>roundup(Y44*'VANVA (Future)'!$U$6,0)</f>
        <v>2</v>
      </c>
      <c r="Q44" s="28">
        <f>roundup(Y44*'VANVA (Future)'!$U$7,0)</f>
        <v>1</v>
      </c>
      <c r="R44" s="28">
        <f>roundup(Y44*'VANVA (Future)'!$U$8,0)</f>
        <v>1</v>
      </c>
      <c r="S44" s="28">
        <f>roundup(Y44*'VANVA (Future)'!$U$9,0)</f>
        <v>2</v>
      </c>
      <c r="T44" s="29">
        <f t="shared" si="1"/>
        <v>10</v>
      </c>
      <c r="U44" s="29">
        <f t="shared" si="2"/>
        <v>4</v>
      </c>
      <c r="V44" s="29" t="s">
        <v>511</v>
      </c>
      <c r="W44" s="28" t="s">
        <v>358</v>
      </c>
      <c r="X44" s="28" t="s">
        <v>194</v>
      </c>
      <c r="Y44" s="27">
        <f t="shared" si="3"/>
        <v>7</v>
      </c>
      <c r="Z44" s="27">
        <v>5.100138387E9</v>
      </c>
      <c r="AA44" s="28" t="s">
        <v>174</v>
      </c>
      <c r="AB44" s="31"/>
      <c r="AC44" s="28" t="s">
        <v>158</v>
      </c>
      <c r="AD44" s="28" t="s">
        <v>175</v>
      </c>
      <c r="AE44" s="28" t="s">
        <v>186</v>
      </c>
      <c r="AF44" s="27">
        <f t="shared" si="4"/>
        <v>6</v>
      </c>
      <c r="AG44" s="27">
        <v>1.0</v>
      </c>
      <c r="AH44" s="28" t="s">
        <v>512</v>
      </c>
      <c r="AI44" s="28" t="s">
        <v>513</v>
      </c>
      <c r="AJ44" s="28" t="s">
        <v>513</v>
      </c>
      <c r="AK44" s="28" t="s">
        <v>514</v>
      </c>
      <c r="AL44" s="28" t="s">
        <v>515</v>
      </c>
      <c r="AM44" s="27">
        <v>1.0</v>
      </c>
    </row>
    <row r="45">
      <c r="A45" s="27">
        <v>2166575.0</v>
      </c>
      <c r="B45" s="28" t="s">
        <v>147</v>
      </c>
      <c r="C45" s="27">
        <v>2.200102105E9</v>
      </c>
      <c r="D45" s="27">
        <v>10.0</v>
      </c>
      <c r="E45" s="28" t="s">
        <v>148</v>
      </c>
      <c r="F45" s="28" t="s">
        <v>209</v>
      </c>
      <c r="G45" s="28" t="s">
        <v>516</v>
      </c>
      <c r="H45" s="28" t="s">
        <v>168</v>
      </c>
      <c r="I45" s="27" t="s">
        <v>517</v>
      </c>
      <c r="J45" s="27" t="s">
        <v>492</v>
      </c>
      <c r="K45" s="29" t="s">
        <v>471</v>
      </c>
      <c r="L45" s="5">
        <f>Value(left(vlookup(Z45,dayspo,7,0),1))</f>
        <v>1</v>
      </c>
      <c r="M45" s="28">
        <f>roundup(Y45*'VANVA (Future)'!$U$2,0)</f>
        <v>1</v>
      </c>
      <c r="N45" s="28">
        <f>roundup(Y45*'VANVA (Future)'!$U$3,0)</f>
        <v>1</v>
      </c>
      <c r="O45" s="28">
        <f>roundup(Y45*'VANVA (Future)'!$U$5,0)</f>
        <v>2</v>
      </c>
      <c r="P45" s="28">
        <f>roundup(Y45*'VANVA (Future)'!$U$6,0)</f>
        <v>3</v>
      </c>
      <c r="Q45" s="28">
        <f>roundup(Y45*'VANVA (Future)'!$U$7,0)</f>
        <v>2</v>
      </c>
      <c r="R45" s="28">
        <f>roundup(Y45*'VANVA (Future)'!$U$8,0)</f>
        <v>1</v>
      </c>
      <c r="S45" s="28">
        <f>roundup(Y45*'VANVA (Future)'!$U$9,0)</f>
        <v>3</v>
      </c>
      <c r="T45" s="29">
        <f t="shared" si="1"/>
        <v>14</v>
      </c>
      <c r="U45" s="29">
        <f t="shared" si="2"/>
        <v>2</v>
      </c>
      <c r="V45" s="29" t="s">
        <v>493</v>
      </c>
      <c r="W45" s="28" t="s">
        <v>442</v>
      </c>
      <c r="X45" s="28" t="s">
        <v>223</v>
      </c>
      <c r="Y45" s="27">
        <f t="shared" si="3"/>
        <v>14</v>
      </c>
      <c r="Z45" s="27">
        <v>5.100138731E9</v>
      </c>
      <c r="AA45" s="28" t="s">
        <v>157</v>
      </c>
      <c r="AB45" s="31"/>
      <c r="AC45" s="28" t="s">
        <v>158</v>
      </c>
      <c r="AD45" s="28" t="s">
        <v>159</v>
      </c>
      <c r="AE45" s="28" t="s">
        <v>318</v>
      </c>
      <c r="AF45" s="27">
        <f t="shared" si="4"/>
        <v>12</v>
      </c>
      <c r="AG45" s="27">
        <v>1.0</v>
      </c>
      <c r="AH45" s="28" t="s">
        <v>518</v>
      </c>
      <c r="AI45" s="28" t="s">
        <v>519</v>
      </c>
      <c r="AJ45" s="28" t="s">
        <v>520</v>
      </c>
      <c r="AK45" s="28" t="s">
        <v>521</v>
      </c>
      <c r="AL45" s="28" t="s">
        <v>522</v>
      </c>
      <c r="AM45" s="27">
        <v>1.0</v>
      </c>
    </row>
    <row r="46">
      <c r="A46" s="27">
        <v>2166575.0</v>
      </c>
      <c r="B46" s="28" t="s">
        <v>147</v>
      </c>
      <c r="C46" s="27">
        <v>2.200102708E9</v>
      </c>
      <c r="D46" s="27">
        <v>10.0</v>
      </c>
      <c r="E46" s="28" t="s">
        <v>148</v>
      </c>
      <c r="F46" s="28" t="s">
        <v>523</v>
      </c>
      <c r="G46" s="28" t="s">
        <v>524</v>
      </c>
      <c r="H46" s="28" t="s">
        <v>201</v>
      </c>
      <c r="I46" s="33">
        <v>45782.0</v>
      </c>
      <c r="J46" s="27" t="s">
        <v>391</v>
      </c>
      <c r="K46" s="29" t="s">
        <v>425</v>
      </c>
      <c r="L46" s="5">
        <f>Value(left(vlookup(Z46,dayspo,7,0),1))</f>
        <v>0</v>
      </c>
      <c r="M46" s="28">
        <f>roundup(Y46*'VANVA (Future)'!$U$2,0)</f>
        <v>1</v>
      </c>
      <c r="N46" s="28">
        <f>roundup(Y46*'VANVA (Future)'!$U$3,0)</f>
        <v>1</v>
      </c>
      <c r="O46" s="28">
        <f>roundup(Y46*'VANVA (Future)'!$U$5,0)</f>
        <v>1</v>
      </c>
      <c r="P46" s="28">
        <f>roundup(Y46*'VANVA (Future)'!$U$6,0)</f>
        <v>2</v>
      </c>
      <c r="Q46" s="28">
        <f>roundup(Y46*'VANVA (Future)'!$U$7,0)</f>
        <v>1</v>
      </c>
      <c r="R46" s="28">
        <f>roundup(Y46*'VANVA (Future)'!$U$8,0)</f>
        <v>1</v>
      </c>
      <c r="S46" s="28">
        <f>roundup(Y46*'VANVA (Future)'!$U$9,0)</f>
        <v>2</v>
      </c>
      <c r="T46" s="29">
        <f t="shared" si="1"/>
        <v>9</v>
      </c>
      <c r="U46" s="29">
        <f t="shared" si="2"/>
        <v>3</v>
      </c>
      <c r="V46" s="29" t="s">
        <v>525</v>
      </c>
      <c r="W46" s="28" t="s">
        <v>184</v>
      </c>
      <c r="X46" s="28" t="s">
        <v>186</v>
      </c>
      <c r="Y46" s="27">
        <f t="shared" si="3"/>
        <v>6</v>
      </c>
      <c r="Z46" s="27">
        <v>5.100138727E9</v>
      </c>
      <c r="AA46" s="28" t="s">
        <v>174</v>
      </c>
      <c r="AB46" s="31"/>
      <c r="AC46" s="28" t="s">
        <v>158</v>
      </c>
      <c r="AD46" s="28" t="s">
        <v>175</v>
      </c>
      <c r="AE46" s="28" t="s">
        <v>186</v>
      </c>
      <c r="AF46" s="27">
        <f t="shared" si="4"/>
        <v>6</v>
      </c>
      <c r="AG46" s="27">
        <v>1.0</v>
      </c>
      <c r="AH46" s="28" t="s">
        <v>526</v>
      </c>
      <c r="AI46" s="28" t="s">
        <v>527</v>
      </c>
      <c r="AJ46" s="28" t="s">
        <v>527</v>
      </c>
      <c r="AK46" s="28" t="s">
        <v>528</v>
      </c>
      <c r="AL46" s="28" t="s">
        <v>529</v>
      </c>
      <c r="AM46" s="27">
        <v>1.0</v>
      </c>
    </row>
    <row r="47">
      <c r="A47" s="27">
        <v>2166575.0</v>
      </c>
      <c r="B47" s="28" t="s">
        <v>147</v>
      </c>
      <c r="C47" s="27">
        <v>2.200102696E9</v>
      </c>
      <c r="D47" s="27">
        <v>10.0</v>
      </c>
      <c r="E47" s="28" t="s">
        <v>148</v>
      </c>
      <c r="F47" s="28" t="s">
        <v>209</v>
      </c>
      <c r="G47" s="28" t="s">
        <v>530</v>
      </c>
      <c r="H47" s="28" t="s">
        <v>168</v>
      </c>
      <c r="I47" s="33">
        <v>45693.0</v>
      </c>
      <c r="J47" s="33">
        <v>45874.0</v>
      </c>
      <c r="K47" s="29" t="s">
        <v>425</v>
      </c>
      <c r="L47" s="5">
        <f>Value(left(vlookup(Z47,dayspo,7,0),1))</f>
        <v>0</v>
      </c>
      <c r="M47" s="28">
        <f>roundup(Y47*'VANVA (Future)'!$U$2,0)</f>
        <v>1</v>
      </c>
      <c r="N47" s="28">
        <f>roundup(Y47*'VANVA (Future)'!$U$3,0)</f>
        <v>1</v>
      </c>
      <c r="O47" s="28">
        <f>roundup(Y47*'VANVA (Future)'!$U$5,0)</f>
        <v>2</v>
      </c>
      <c r="P47" s="28">
        <f>roundup(Y47*'VANVA (Future)'!$U$6,0)</f>
        <v>5</v>
      </c>
      <c r="Q47" s="28">
        <f>roundup(Y47*'VANVA (Future)'!$U$7,0)</f>
        <v>3</v>
      </c>
      <c r="R47" s="28">
        <f>roundup(Y47*'VANVA (Future)'!$U$8,0)</f>
        <v>1</v>
      </c>
      <c r="S47" s="28">
        <f>roundup(Y47*'VANVA (Future)'!$U$9,0)</f>
        <v>4</v>
      </c>
      <c r="T47" s="29">
        <f t="shared" si="1"/>
        <v>17</v>
      </c>
      <c r="U47" s="29">
        <f t="shared" si="2"/>
        <v>3</v>
      </c>
      <c r="V47" s="32">
        <v>45820.0</v>
      </c>
      <c r="W47" s="28" t="s">
        <v>442</v>
      </c>
      <c r="X47" s="28" t="s">
        <v>531</v>
      </c>
      <c r="Y47" s="27">
        <f t="shared" si="3"/>
        <v>20</v>
      </c>
      <c r="Z47" s="27">
        <v>5.100139316E9</v>
      </c>
      <c r="AA47" s="28" t="s">
        <v>157</v>
      </c>
      <c r="AB47" s="31"/>
      <c r="AC47" s="28" t="s">
        <v>158</v>
      </c>
      <c r="AD47" s="28" t="s">
        <v>159</v>
      </c>
      <c r="AE47" s="28" t="s">
        <v>223</v>
      </c>
      <c r="AF47" s="27">
        <f t="shared" si="4"/>
        <v>14</v>
      </c>
      <c r="AG47" s="27">
        <v>1.0</v>
      </c>
      <c r="AH47" s="28" t="s">
        <v>532</v>
      </c>
      <c r="AI47" s="28" t="s">
        <v>533</v>
      </c>
      <c r="AJ47" s="28" t="s">
        <v>534</v>
      </c>
      <c r="AK47" s="28" t="s">
        <v>535</v>
      </c>
      <c r="AL47" s="28" t="s">
        <v>536</v>
      </c>
      <c r="AM47" s="27">
        <v>1.0</v>
      </c>
    </row>
    <row r="48">
      <c r="A48" s="37">
        <v>2166575.0</v>
      </c>
      <c r="B48" s="38" t="s">
        <v>147</v>
      </c>
      <c r="C48" s="37">
        <v>2.200103113E9</v>
      </c>
      <c r="D48" s="37">
        <v>10.0</v>
      </c>
      <c r="E48" s="38" t="s">
        <v>148</v>
      </c>
      <c r="F48" s="38" t="s">
        <v>281</v>
      </c>
      <c r="G48" s="38" t="s">
        <v>537</v>
      </c>
      <c r="H48" s="38" t="s">
        <v>283</v>
      </c>
      <c r="I48" s="37" t="s">
        <v>357</v>
      </c>
      <c r="J48" s="37" t="s">
        <v>432</v>
      </c>
      <c r="K48" s="39" t="s">
        <v>538</v>
      </c>
      <c r="L48" s="5">
        <f>Value(left(vlookup(Z48,dayspo,7,0),1))</f>
        <v>0</v>
      </c>
      <c r="M48" s="28">
        <f>roundup(Y48*'VANVA (Future)'!$U$2,0)</f>
        <v>1</v>
      </c>
      <c r="N48" s="28">
        <f>roundup(Y48*'VANVA (Future)'!$U$3,0)</f>
        <v>1</v>
      </c>
      <c r="O48" s="28">
        <f>roundup(Y48*'VANVA (Future)'!$U$5,0)</f>
        <v>3</v>
      </c>
      <c r="P48" s="28">
        <f>roundup(Y48*'VANVA (Future)'!$U$6,0)</f>
        <v>6</v>
      </c>
      <c r="Q48" s="28">
        <f>roundup(Y48*'VANVA (Future)'!$U$7,0)</f>
        <v>4</v>
      </c>
      <c r="R48" s="28">
        <f>roundup(Y48*'VANVA (Future)'!$U$8,0)</f>
        <v>1</v>
      </c>
      <c r="S48" s="28">
        <f>roundup(Y48*'VANVA (Future)'!$U$9,0)</f>
        <v>6</v>
      </c>
      <c r="T48" s="29">
        <f t="shared" si="1"/>
        <v>22</v>
      </c>
      <c r="U48" s="29">
        <f t="shared" si="2"/>
        <v>-1</v>
      </c>
      <c r="V48" s="40">
        <v>45846.0</v>
      </c>
      <c r="W48" s="38" t="s">
        <v>539</v>
      </c>
      <c r="X48" s="38" t="s">
        <v>540</v>
      </c>
      <c r="Y48" s="27">
        <f t="shared" si="3"/>
        <v>28</v>
      </c>
      <c r="Z48" s="37">
        <v>5.100140323E9</v>
      </c>
      <c r="AA48" s="38" t="s">
        <v>157</v>
      </c>
      <c r="AB48" s="41"/>
      <c r="AC48" s="38" t="s">
        <v>158</v>
      </c>
      <c r="AD48" s="38" t="s">
        <v>159</v>
      </c>
      <c r="AE48" s="38" t="s">
        <v>269</v>
      </c>
      <c r="AF48" s="27">
        <f t="shared" si="4"/>
        <v>23</v>
      </c>
      <c r="AG48" s="37">
        <v>0.0</v>
      </c>
      <c r="AH48" s="38" t="s">
        <v>541</v>
      </c>
      <c r="AI48" s="38" t="s">
        <v>542</v>
      </c>
      <c r="AJ48" s="38" t="s">
        <v>542</v>
      </c>
      <c r="AK48" s="38" t="s">
        <v>543</v>
      </c>
      <c r="AL48" s="38" t="s">
        <v>544</v>
      </c>
      <c r="AM48" s="37">
        <v>1.0</v>
      </c>
    </row>
    <row r="49">
      <c r="A49" s="27">
        <v>2166575.0</v>
      </c>
      <c r="B49" s="28" t="s">
        <v>147</v>
      </c>
      <c r="C49" s="27">
        <v>2.200103129E9</v>
      </c>
      <c r="D49" s="27">
        <v>10.0</v>
      </c>
      <c r="E49" s="28" t="s">
        <v>148</v>
      </c>
      <c r="F49" s="28" t="s">
        <v>209</v>
      </c>
      <c r="G49" s="28" t="s">
        <v>545</v>
      </c>
      <c r="H49" s="28" t="s">
        <v>168</v>
      </c>
      <c r="I49" s="27" t="s">
        <v>357</v>
      </c>
      <c r="J49" s="27" t="s">
        <v>284</v>
      </c>
      <c r="K49" s="29" t="s">
        <v>493</v>
      </c>
      <c r="L49" s="5">
        <f>Value(left(vlookup(Z49,dayspo,7,0),1))</f>
        <v>6</v>
      </c>
      <c r="M49" s="28">
        <f>roundup(Y49*'VANVA (Future)'!$U$2,0)</f>
        <v>1</v>
      </c>
      <c r="N49" s="28">
        <f>roundup(Y49*'VANVA (Future)'!$U$3,0)</f>
        <v>1</v>
      </c>
      <c r="O49" s="28">
        <f>roundup(Y49*'VANVA (Future)'!$U$5,0)</f>
        <v>2</v>
      </c>
      <c r="P49" s="28">
        <f>roundup(Y49*'VANVA (Future)'!$U$6,0)</f>
        <v>4</v>
      </c>
      <c r="Q49" s="28">
        <f>roundup(Y49*'VANVA (Future)'!$U$7,0)</f>
        <v>3</v>
      </c>
      <c r="R49" s="28">
        <f>roundup(Y49*'VANVA (Future)'!$U$8,0)</f>
        <v>1</v>
      </c>
      <c r="S49" s="28">
        <f>roundup(Y49*'VANVA (Future)'!$U$9,0)</f>
        <v>4</v>
      </c>
      <c r="T49" s="29">
        <f t="shared" si="1"/>
        <v>22</v>
      </c>
      <c r="U49" s="29">
        <f t="shared" si="2"/>
        <v>5</v>
      </c>
      <c r="V49" s="29" t="s">
        <v>546</v>
      </c>
      <c r="W49" s="28" t="s">
        <v>547</v>
      </c>
      <c r="X49" s="28" t="s">
        <v>401</v>
      </c>
      <c r="Y49" s="27">
        <f t="shared" si="3"/>
        <v>18</v>
      </c>
      <c r="Z49" s="27">
        <v>5.10013968E9</v>
      </c>
      <c r="AA49" s="28" t="s">
        <v>174</v>
      </c>
      <c r="AB49" s="31"/>
      <c r="AC49" s="28" t="s">
        <v>158</v>
      </c>
      <c r="AD49" s="28" t="s">
        <v>175</v>
      </c>
      <c r="AE49" s="28" t="s">
        <v>402</v>
      </c>
      <c r="AF49" s="27">
        <f t="shared" si="4"/>
        <v>17</v>
      </c>
      <c r="AG49" s="27">
        <v>1.0</v>
      </c>
      <c r="AH49" s="28" t="s">
        <v>548</v>
      </c>
      <c r="AI49" s="28" t="s">
        <v>549</v>
      </c>
      <c r="AJ49" s="28" t="s">
        <v>550</v>
      </c>
      <c r="AK49" s="28" t="s">
        <v>551</v>
      </c>
      <c r="AL49" s="28" t="s">
        <v>552</v>
      </c>
      <c r="AM49" s="27">
        <v>1.0</v>
      </c>
    </row>
    <row r="50">
      <c r="A50" s="27">
        <v>2166575.0</v>
      </c>
      <c r="B50" s="28" t="s">
        <v>147</v>
      </c>
      <c r="C50" s="27">
        <v>2.200103225E9</v>
      </c>
      <c r="D50" s="27">
        <v>10.0</v>
      </c>
      <c r="E50" s="28" t="s">
        <v>148</v>
      </c>
      <c r="F50" s="28" t="s">
        <v>314</v>
      </c>
      <c r="G50" s="28" t="s">
        <v>553</v>
      </c>
      <c r="H50" s="28" t="s">
        <v>316</v>
      </c>
      <c r="I50" s="27" t="s">
        <v>461</v>
      </c>
      <c r="J50" s="27" t="s">
        <v>485</v>
      </c>
      <c r="K50" s="32">
        <v>45810.0</v>
      </c>
      <c r="L50" s="5">
        <f>Value(left(vlookup(Z50,dayspo,7,0),1))</f>
        <v>0</v>
      </c>
      <c r="M50" s="28">
        <f>roundup(Y50*'VANVA (Future)'!$U$2,0)</f>
        <v>1</v>
      </c>
      <c r="N50" s="28">
        <f>roundup(Y50*'VANVA (Future)'!$U$3,0)</f>
        <v>1</v>
      </c>
      <c r="O50" s="28">
        <f>roundup(Y50*'VANVA (Future)'!$U$5,0)</f>
        <v>1</v>
      </c>
      <c r="P50" s="28">
        <f>roundup(Y50*'VANVA (Future)'!$U$6,0)</f>
        <v>2</v>
      </c>
      <c r="Q50" s="28">
        <f>roundup(Y50*'VANVA (Future)'!$U$7,0)</f>
        <v>1</v>
      </c>
      <c r="R50" s="28">
        <f>roundup(Y50*'VANVA (Future)'!$U$8,0)</f>
        <v>1</v>
      </c>
      <c r="S50" s="28">
        <f>roundup(Y50*'VANVA (Future)'!$U$9,0)</f>
        <v>2</v>
      </c>
      <c r="T50" s="29">
        <f t="shared" si="1"/>
        <v>9</v>
      </c>
      <c r="U50" s="29">
        <f t="shared" si="2"/>
        <v>3</v>
      </c>
      <c r="V50" s="29" t="s">
        <v>554</v>
      </c>
      <c r="W50" s="28" t="s">
        <v>317</v>
      </c>
      <c r="X50" s="28" t="s">
        <v>176</v>
      </c>
      <c r="Y50" s="27">
        <f t="shared" si="3"/>
        <v>8</v>
      </c>
      <c r="Z50" s="27">
        <v>5.100139491E9</v>
      </c>
      <c r="AA50" s="28" t="s">
        <v>157</v>
      </c>
      <c r="AB50" s="31"/>
      <c r="AC50" s="28" t="s">
        <v>158</v>
      </c>
      <c r="AD50" s="28" t="s">
        <v>159</v>
      </c>
      <c r="AE50" s="28" t="s">
        <v>186</v>
      </c>
      <c r="AF50" s="27">
        <f t="shared" si="4"/>
        <v>6</v>
      </c>
      <c r="AG50" s="27">
        <v>1.0</v>
      </c>
      <c r="AH50" s="28" t="s">
        <v>555</v>
      </c>
      <c r="AI50" s="28" t="s">
        <v>556</v>
      </c>
      <c r="AJ50" s="28" t="s">
        <v>557</v>
      </c>
      <c r="AK50" s="28" t="s">
        <v>558</v>
      </c>
      <c r="AL50" s="28" t="s">
        <v>559</v>
      </c>
      <c r="AM50" s="27">
        <v>1.0</v>
      </c>
    </row>
    <row r="51">
      <c r="A51" s="27">
        <v>2166575.0</v>
      </c>
      <c r="B51" s="28" t="s">
        <v>147</v>
      </c>
      <c r="C51" s="27">
        <v>2.200103392E9</v>
      </c>
      <c r="D51" s="27">
        <v>10.0</v>
      </c>
      <c r="E51" s="28" t="s">
        <v>148</v>
      </c>
      <c r="F51" s="28" t="s">
        <v>219</v>
      </c>
      <c r="G51" s="28" t="s">
        <v>560</v>
      </c>
      <c r="H51" s="28" t="s">
        <v>221</v>
      </c>
      <c r="I51" s="27" t="s">
        <v>525</v>
      </c>
      <c r="J51" s="27" t="s">
        <v>355</v>
      </c>
      <c r="K51" s="29" t="s">
        <v>486</v>
      </c>
      <c r="L51" s="5">
        <f>Value(left(vlookup(Z51,dayspo,7,0),1))</f>
        <v>0</v>
      </c>
      <c r="M51" s="28">
        <f>roundup(Y51*'VANVA (Future)'!$U$2,0)</f>
        <v>1</v>
      </c>
      <c r="N51" s="28">
        <f>roundup(Y51*'VANVA (Future)'!$U$3,0)</f>
        <v>1</v>
      </c>
      <c r="O51" s="28">
        <f>roundup(Y51*'VANVA (Future)'!$U$5,0)</f>
        <v>3</v>
      </c>
      <c r="P51" s="28">
        <f>roundup(Y51*'VANVA (Future)'!$U$6,0)</f>
        <v>7</v>
      </c>
      <c r="Q51" s="28">
        <f>roundup(Y51*'VANVA (Future)'!$U$7,0)</f>
        <v>4</v>
      </c>
      <c r="R51" s="28">
        <f>roundup(Y51*'VANVA (Future)'!$U$8,0)</f>
        <v>1</v>
      </c>
      <c r="S51" s="28">
        <f>roundup(Y51*'VANVA (Future)'!$U$9,0)</f>
        <v>6</v>
      </c>
      <c r="T51" s="29">
        <f t="shared" si="1"/>
        <v>23</v>
      </c>
      <c r="U51" s="29">
        <f t="shared" si="2"/>
        <v>-4</v>
      </c>
      <c r="V51" s="32">
        <v>45850.0</v>
      </c>
      <c r="W51" s="28" t="s">
        <v>400</v>
      </c>
      <c r="X51" s="28" t="s">
        <v>561</v>
      </c>
      <c r="Y51" s="27">
        <f t="shared" si="3"/>
        <v>30</v>
      </c>
      <c r="Z51" s="27">
        <v>5.100140398E9</v>
      </c>
      <c r="AA51" s="28" t="s">
        <v>174</v>
      </c>
      <c r="AB51" s="31"/>
      <c r="AC51" s="28" t="s">
        <v>158</v>
      </c>
      <c r="AD51" s="28" t="s">
        <v>175</v>
      </c>
      <c r="AE51" s="28" t="s">
        <v>286</v>
      </c>
      <c r="AF51" s="27">
        <f t="shared" si="4"/>
        <v>27</v>
      </c>
      <c r="AG51" s="27">
        <v>1.0</v>
      </c>
      <c r="AH51" s="28" t="s">
        <v>562</v>
      </c>
      <c r="AI51" s="28" t="s">
        <v>563</v>
      </c>
      <c r="AJ51" s="28" t="s">
        <v>564</v>
      </c>
      <c r="AK51" s="28" t="s">
        <v>565</v>
      </c>
      <c r="AL51" s="28" t="s">
        <v>566</v>
      </c>
      <c r="AM51" s="27">
        <v>1.0</v>
      </c>
    </row>
    <row r="52">
      <c r="A52" s="27">
        <v>2166575.0</v>
      </c>
      <c r="B52" s="28" t="s">
        <v>147</v>
      </c>
      <c r="C52" s="27">
        <v>2.200103369E9</v>
      </c>
      <c r="D52" s="27">
        <v>10.0</v>
      </c>
      <c r="E52" s="28" t="s">
        <v>148</v>
      </c>
      <c r="F52" s="28" t="s">
        <v>306</v>
      </c>
      <c r="G52" s="28" t="s">
        <v>567</v>
      </c>
      <c r="H52" s="28" t="s">
        <v>308</v>
      </c>
      <c r="I52" s="27" t="s">
        <v>493</v>
      </c>
      <c r="J52" s="27" t="s">
        <v>391</v>
      </c>
      <c r="K52" s="29" t="s">
        <v>486</v>
      </c>
      <c r="L52" s="5">
        <f>Value(left(vlookup(Z52,dayspo,7,0),1))</f>
        <v>0</v>
      </c>
      <c r="M52" s="28">
        <f>roundup(Y52*'VANVA (Future)'!$U$2,0)</f>
        <v>1</v>
      </c>
      <c r="N52" s="28">
        <f>roundup(Y52*'VANVA (Future)'!$U$3,0)</f>
        <v>1</v>
      </c>
      <c r="O52" s="28">
        <f>roundup(Y52*'VANVA (Future)'!$U$5,0)</f>
        <v>1</v>
      </c>
      <c r="P52" s="28">
        <f>roundup(Y52*'VANVA (Future)'!$U$6,0)</f>
        <v>3</v>
      </c>
      <c r="Q52" s="28">
        <f>roundup(Y52*'VANVA (Future)'!$U$7,0)</f>
        <v>2</v>
      </c>
      <c r="R52" s="28">
        <f>roundup(Y52*'VANVA (Future)'!$U$8,0)</f>
        <v>1</v>
      </c>
      <c r="S52" s="28">
        <f>roundup(Y52*'VANVA (Future)'!$U$9,0)</f>
        <v>2</v>
      </c>
      <c r="T52" s="29">
        <f t="shared" si="1"/>
        <v>11</v>
      </c>
      <c r="U52" s="29">
        <f t="shared" si="2"/>
        <v>2</v>
      </c>
      <c r="V52" s="29" t="s">
        <v>554</v>
      </c>
      <c r="W52" s="28" t="s">
        <v>184</v>
      </c>
      <c r="X52" s="28" t="s">
        <v>185</v>
      </c>
      <c r="Y52" s="27">
        <f t="shared" si="3"/>
        <v>10</v>
      </c>
      <c r="Z52" s="27">
        <v>5.100139487E9</v>
      </c>
      <c r="AA52" s="28" t="s">
        <v>174</v>
      </c>
      <c r="AB52" s="31"/>
      <c r="AC52" s="28" t="s">
        <v>158</v>
      </c>
      <c r="AD52" s="28" t="s">
        <v>175</v>
      </c>
      <c r="AE52" s="28" t="s">
        <v>173</v>
      </c>
      <c r="AF52" s="27">
        <f t="shared" si="4"/>
        <v>9</v>
      </c>
      <c r="AG52" s="27">
        <v>1.0</v>
      </c>
      <c r="AH52" s="28" t="s">
        <v>568</v>
      </c>
      <c r="AI52" s="28" t="s">
        <v>569</v>
      </c>
      <c r="AJ52" s="28" t="s">
        <v>570</v>
      </c>
      <c r="AK52" s="28" t="s">
        <v>251</v>
      </c>
      <c r="AL52" s="28" t="s">
        <v>571</v>
      </c>
      <c r="AM52" s="27">
        <v>1.0</v>
      </c>
    </row>
    <row r="53">
      <c r="A53" s="27">
        <v>2166575.0</v>
      </c>
      <c r="B53" s="28" t="s">
        <v>147</v>
      </c>
      <c r="C53" s="27">
        <v>2.200103524E9</v>
      </c>
      <c r="D53" s="27">
        <v>10.0</v>
      </c>
      <c r="E53" s="28" t="s">
        <v>148</v>
      </c>
      <c r="F53" s="28" t="s">
        <v>572</v>
      </c>
      <c r="G53" s="28" t="s">
        <v>573</v>
      </c>
      <c r="H53" s="28" t="s">
        <v>316</v>
      </c>
      <c r="I53" s="27" t="s">
        <v>574</v>
      </c>
      <c r="J53" s="27" t="s">
        <v>574</v>
      </c>
      <c r="K53" s="32">
        <v>45810.0</v>
      </c>
      <c r="L53" s="5">
        <f>Value(left(vlookup(Z53,dayspo,7,0),1))</f>
        <v>0</v>
      </c>
      <c r="M53" s="28">
        <f>roundup(Y53*'VANVA (Future)'!$U$2,0)</f>
        <v>1</v>
      </c>
      <c r="N53" s="28">
        <f>roundup(Y53*'VANVA (Future)'!$U$3,0)</f>
        <v>1</v>
      </c>
      <c r="O53" s="28">
        <f>roundup(Y53*'VANVA (Future)'!$U$5,0)</f>
        <v>2</v>
      </c>
      <c r="P53" s="28">
        <f>roundup(Y53*'VANVA (Future)'!$U$6,0)</f>
        <v>3</v>
      </c>
      <c r="Q53" s="28">
        <f>roundup(Y53*'VANVA (Future)'!$U$7,0)</f>
        <v>2</v>
      </c>
      <c r="R53" s="28">
        <f>roundup(Y53*'VANVA (Future)'!$U$8,0)</f>
        <v>1</v>
      </c>
      <c r="S53" s="28">
        <f>roundup(Y53*'VANVA (Future)'!$U$9,0)</f>
        <v>3</v>
      </c>
      <c r="T53" s="29">
        <f t="shared" si="1"/>
        <v>13</v>
      </c>
      <c r="U53" s="29">
        <f t="shared" si="2"/>
        <v>2</v>
      </c>
      <c r="V53" s="29" t="s">
        <v>546</v>
      </c>
      <c r="W53" s="28" t="s">
        <v>184</v>
      </c>
      <c r="X53" s="28" t="s">
        <v>318</v>
      </c>
      <c r="Y53" s="27">
        <f t="shared" si="3"/>
        <v>12</v>
      </c>
      <c r="Z53" s="27">
        <v>5.100139566E9</v>
      </c>
      <c r="AA53" s="28" t="s">
        <v>174</v>
      </c>
      <c r="AB53" s="31"/>
      <c r="AC53" s="28" t="s">
        <v>158</v>
      </c>
      <c r="AD53" s="28" t="s">
        <v>175</v>
      </c>
      <c r="AE53" s="28" t="s">
        <v>160</v>
      </c>
      <c r="AF53" s="27">
        <f t="shared" si="4"/>
        <v>11</v>
      </c>
      <c r="AG53" s="27">
        <v>1.0</v>
      </c>
      <c r="AH53" s="28" t="s">
        <v>575</v>
      </c>
      <c r="AI53" s="28" t="s">
        <v>576</v>
      </c>
      <c r="AJ53" s="28" t="s">
        <v>577</v>
      </c>
      <c r="AK53" s="28" t="s">
        <v>578</v>
      </c>
      <c r="AL53" s="28" t="s">
        <v>165</v>
      </c>
      <c r="AM53" s="27">
        <v>1.0</v>
      </c>
    </row>
    <row r="54">
      <c r="A54" s="27">
        <v>2166575.0</v>
      </c>
      <c r="B54" s="28" t="s">
        <v>147</v>
      </c>
      <c r="C54" s="27">
        <v>2.200103662E9</v>
      </c>
      <c r="D54" s="27">
        <v>10.0</v>
      </c>
      <c r="E54" s="28" t="s">
        <v>148</v>
      </c>
      <c r="F54" s="28" t="s">
        <v>579</v>
      </c>
      <c r="G54" s="28" t="s">
        <v>580</v>
      </c>
      <c r="H54" s="28" t="s">
        <v>581</v>
      </c>
      <c r="I54" s="33">
        <v>45722.0</v>
      </c>
      <c r="J54" s="27" t="s">
        <v>391</v>
      </c>
      <c r="K54" s="32">
        <v>45812.0</v>
      </c>
      <c r="L54" s="5">
        <f>Value(left(vlookup(Z54,dayspo,7,0),1))</f>
        <v>4</v>
      </c>
      <c r="M54" s="28">
        <f>roundup(Y54*'VANVA (Future)'!$U$2,0)</f>
        <v>1</v>
      </c>
      <c r="N54" s="28">
        <f>roundup(Y54*'VANVA (Future)'!$U$3,0)</f>
        <v>1</v>
      </c>
      <c r="O54" s="28">
        <f>roundup(Y54*'VANVA (Future)'!$U$5,0)</f>
        <v>1</v>
      </c>
      <c r="P54" s="28">
        <f>roundup(Y54*'VANVA (Future)'!$U$6,0)</f>
        <v>3</v>
      </c>
      <c r="Q54" s="28">
        <f>roundup(Y54*'VANVA (Future)'!$U$7,0)</f>
        <v>2</v>
      </c>
      <c r="R54" s="28">
        <f>roundup(Y54*'VANVA (Future)'!$U$8,0)</f>
        <v>1</v>
      </c>
      <c r="S54" s="28">
        <f>roundup(Y54*'VANVA (Future)'!$U$9,0)</f>
        <v>3</v>
      </c>
      <c r="T54" s="29">
        <f t="shared" si="1"/>
        <v>16</v>
      </c>
      <c r="U54" s="29">
        <f t="shared" si="2"/>
        <v>5</v>
      </c>
      <c r="V54" s="29" t="s">
        <v>582</v>
      </c>
      <c r="W54" s="28" t="s">
        <v>295</v>
      </c>
      <c r="X54" s="28" t="s">
        <v>160</v>
      </c>
      <c r="Y54" s="27">
        <f t="shared" si="3"/>
        <v>11</v>
      </c>
      <c r="Z54" s="27">
        <v>5.100139717E9</v>
      </c>
      <c r="AA54" s="28" t="s">
        <v>174</v>
      </c>
      <c r="AB54" s="31"/>
      <c r="AC54" s="28" t="s">
        <v>158</v>
      </c>
      <c r="AD54" s="28" t="s">
        <v>175</v>
      </c>
      <c r="AE54" s="28" t="s">
        <v>160</v>
      </c>
      <c r="AF54" s="27">
        <f t="shared" si="4"/>
        <v>11</v>
      </c>
      <c r="AG54" s="27">
        <v>1.0</v>
      </c>
      <c r="AH54" s="28" t="s">
        <v>583</v>
      </c>
      <c r="AI54" s="28" t="s">
        <v>584</v>
      </c>
      <c r="AJ54" s="28" t="s">
        <v>584</v>
      </c>
      <c r="AK54" s="28" t="s">
        <v>585</v>
      </c>
      <c r="AL54" s="28" t="s">
        <v>586</v>
      </c>
      <c r="AM54" s="27">
        <v>1.0</v>
      </c>
    </row>
    <row r="55">
      <c r="A55" s="27">
        <v>2166575.0</v>
      </c>
      <c r="B55" s="28" t="s">
        <v>147</v>
      </c>
      <c r="C55" s="27">
        <v>2.200103688E9</v>
      </c>
      <c r="D55" s="27">
        <v>10.0</v>
      </c>
      <c r="E55" s="28" t="s">
        <v>148</v>
      </c>
      <c r="F55" s="28" t="s">
        <v>523</v>
      </c>
      <c r="G55" s="28" t="s">
        <v>587</v>
      </c>
      <c r="H55" s="28" t="s">
        <v>201</v>
      </c>
      <c r="I55" s="33">
        <v>45753.0</v>
      </c>
      <c r="J55" s="33">
        <v>45753.0</v>
      </c>
      <c r="K55" s="29" t="s">
        <v>588</v>
      </c>
      <c r="L55" s="5">
        <f>Value(left(vlookup(Z55,dayspo,7,0),1))</f>
        <v>4</v>
      </c>
      <c r="M55" s="28">
        <f>roundup(Y55*'VANVA (Future)'!$U$2,0)</f>
        <v>1</v>
      </c>
      <c r="N55" s="28">
        <f>roundup(Y55*'VANVA (Future)'!$U$3,0)</f>
        <v>1</v>
      </c>
      <c r="O55" s="28">
        <f>roundup(Y55*'VANVA (Future)'!$U$5,0)</f>
        <v>2</v>
      </c>
      <c r="P55" s="28">
        <f>roundup(Y55*'VANVA (Future)'!$U$6,0)</f>
        <v>4</v>
      </c>
      <c r="Q55" s="28">
        <f>roundup(Y55*'VANVA (Future)'!$U$7,0)</f>
        <v>2</v>
      </c>
      <c r="R55" s="28">
        <f>roundup(Y55*'VANVA (Future)'!$U$8,0)</f>
        <v>1</v>
      </c>
      <c r="S55" s="28">
        <f>roundup(Y55*'VANVA (Future)'!$U$9,0)</f>
        <v>3</v>
      </c>
      <c r="T55" s="29">
        <f t="shared" si="1"/>
        <v>18</v>
      </c>
      <c r="U55" s="29">
        <f t="shared" si="2"/>
        <v>5</v>
      </c>
      <c r="V55" s="32">
        <v>45846.0</v>
      </c>
      <c r="W55" s="28" t="s">
        <v>494</v>
      </c>
      <c r="X55" s="28" t="s">
        <v>159</v>
      </c>
      <c r="Y55" s="27">
        <f t="shared" si="3"/>
        <v>15</v>
      </c>
      <c r="Z55" s="27">
        <v>5.10014046E9</v>
      </c>
      <c r="AA55" s="28" t="s">
        <v>495</v>
      </c>
      <c r="AB55" s="31"/>
      <c r="AC55" s="28" t="s">
        <v>158</v>
      </c>
      <c r="AD55" s="28" t="s">
        <v>175</v>
      </c>
      <c r="AE55" s="28" t="s">
        <v>156</v>
      </c>
      <c r="AF55" s="27">
        <f t="shared" si="4"/>
        <v>13</v>
      </c>
      <c r="AG55" s="27">
        <v>1.0</v>
      </c>
      <c r="AH55" s="28" t="s">
        <v>589</v>
      </c>
      <c r="AI55" s="28" t="s">
        <v>590</v>
      </c>
      <c r="AJ55" s="28" t="s">
        <v>591</v>
      </c>
      <c r="AK55" s="28" t="s">
        <v>592</v>
      </c>
      <c r="AL55" s="28" t="s">
        <v>593</v>
      </c>
      <c r="AM55" s="27">
        <v>1.0</v>
      </c>
    </row>
    <row r="56">
      <c r="A56" s="27">
        <v>2166575.0</v>
      </c>
      <c r="B56" s="28" t="s">
        <v>147</v>
      </c>
      <c r="C56" s="27">
        <v>2.200103739E9</v>
      </c>
      <c r="D56" s="27">
        <v>10.0</v>
      </c>
      <c r="E56" s="28" t="s">
        <v>148</v>
      </c>
      <c r="F56" s="28" t="s">
        <v>209</v>
      </c>
      <c r="G56" s="28" t="s">
        <v>594</v>
      </c>
      <c r="H56" s="28" t="s">
        <v>168</v>
      </c>
      <c r="I56" s="33">
        <v>45906.0</v>
      </c>
      <c r="J56" s="27" t="s">
        <v>595</v>
      </c>
      <c r="K56" s="29" t="s">
        <v>546</v>
      </c>
      <c r="L56" s="5">
        <f>Value(left(vlookup(Z56,dayspo,7,0),1))</f>
        <v>2</v>
      </c>
      <c r="M56" s="28">
        <f>roundup(Y56*'VANVA (Future)'!$U$2,0)</f>
        <v>1</v>
      </c>
      <c r="N56" s="28">
        <f>roundup(Y56*'VANVA (Future)'!$U$3,0)</f>
        <v>1</v>
      </c>
      <c r="O56" s="28">
        <f>roundup(Y56*'VANVA (Future)'!$U$5,0)</f>
        <v>1</v>
      </c>
      <c r="P56" s="28">
        <f>roundup(Y56*'VANVA (Future)'!$U$6,0)</f>
        <v>3</v>
      </c>
      <c r="Q56" s="28">
        <f>roundup(Y56*'VANVA (Future)'!$U$7,0)</f>
        <v>2</v>
      </c>
      <c r="R56" s="28">
        <f>roundup(Y56*'VANVA (Future)'!$U$8,0)</f>
        <v>1</v>
      </c>
      <c r="S56" s="28">
        <f>roundup(Y56*'VANVA (Future)'!$U$9,0)</f>
        <v>3</v>
      </c>
      <c r="T56" s="29">
        <f t="shared" si="1"/>
        <v>14</v>
      </c>
      <c r="U56" s="29">
        <f t="shared" si="2"/>
        <v>4</v>
      </c>
      <c r="V56" s="32">
        <v>45845.0</v>
      </c>
      <c r="W56" s="28" t="s">
        <v>547</v>
      </c>
      <c r="X56" s="28" t="s">
        <v>160</v>
      </c>
      <c r="Y56" s="27">
        <f t="shared" si="3"/>
        <v>11</v>
      </c>
      <c r="Z56" s="27">
        <v>5.100140396E9</v>
      </c>
      <c r="AA56" s="28" t="s">
        <v>174</v>
      </c>
      <c r="AB56" s="31"/>
      <c r="AC56" s="28" t="s">
        <v>158</v>
      </c>
      <c r="AD56" s="28" t="s">
        <v>175</v>
      </c>
      <c r="AE56" s="28" t="s">
        <v>185</v>
      </c>
      <c r="AF56" s="27">
        <f t="shared" si="4"/>
        <v>10</v>
      </c>
      <c r="AG56" s="27">
        <v>1.0</v>
      </c>
      <c r="AH56" s="28" t="s">
        <v>596</v>
      </c>
      <c r="AI56" s="28" t="s">
        <v>597</v>
      </c>
      <c r="AJ56" s="28" t="s">
        <v>598</v>
      </c>
      <c r="AK56" s="28" t="s">
        <v>599</v>
      </c>
      <c r="AL56" s="28" t="s">
        <v>600</v>
      </c>
      <c r="AM56" s="27">
        <v>1.0</v>
      </c>
    </row>
    <row r="57">
      <c r="A57" s="27">
        <v>2166575.0</v>
      </c>
      <c r="B57" s="28" t="s">
        <v>147</v>
      </c>
      <c r="C57" s="27">
        <v>2.20010383E9</v>
      </c>
      <c r="D57" s="27">
        <v>10.0</v>
      </c>
      <c r="E57" s="28" t="s">
        <v>148</v>
      </c>
      <c r="F57" s="28" t="s">
        <v>601</v>
      </c>
      <c r="G57" s="28" t="s">
        <v>602</v>
      </c>
      <c r="H57" s="28" t="s">
        <v>201</v>
      </c>
      <c r="I57" s="33">
        <v>45997.0</v>
      </c>
      <c r="J57" s="27" t="s">
        <v>546</v>
      </c>
      <c r="K57" s="29" t="s">
        <v>582</v>
      </c>
      <c r="M57" s="28">
        <f>roundup(Y57*'VANVA (Future)'!$U$2,0)</f>
        <v>1</v>
      </c>
      <c r="N57" s="28">
        <f>roundup(Y57*'VANVA (Future)'!$U$3,0)</f>
        <v>1</v>
      </c>
      <c r="O57" s="28">
        <f>roundup(Y57*'VANVA (Future)'!$U$5,0)</f>
        <v>1</v>
      </c>
      <c r="P57" s="28">
        <f>roundup(Y57*'VANVA (Future)'!$U$6,0)</f>
        <v>1</v>
      </c>
      <c r="Q57" s="28">
        <f>roundup(Y57*'VANVA (Future)'!$U$7,0)</f>
        <v>1</v>
      </c>
      <c r="R57" s="28">
        <f>roundup(Y57*'VANVA (Future)'!$U$8,0)</f>
        <v>1</v>
      </c>
      <c r="S57" s="28">
        <f>roundup(Y57*'VANVA (Future)'!$U$9,0)</f>
        <v>1</v>
      </c>
      <c r="T57" s="29">
        <f t="shared" si="1"/>
        <v>7</v>
      </c>
      <c r="U57" s="29">
        <f t="shared" si="2"/>
        <v>6</v>
      </c>
      <c r="V57" s="29" t="s">
        <v>603</v>
      </c>
      <c r="W57" s="28" t="s">
        <v>442</v>
      </c>
      <c r="X57" s="28" t="s">
        <v>604</v>
      </c>
      <c r="Y57" s="27">
        <f t="shared" si="3"/>
        <v>1</v>
      </c>
      <c r="Z57" s="27">
        <v>5.100139746E9</v>
      </c>
      <c r="AA57" s="28" t="s">
        <v>157</v>
      </c>
      <c r="AB57" s="27">
        <v>4.000000672E9</v>
      </c>
      <c r="AC57" s="28" t="s">
        <v>605</v>
      </c>
      <c r="AD57" s="28" t="s">
        <v>410</v>
      </c>
      <c r="AE57" s="28" t="s">
        <v>604</v>
      </c>
      <c r="AF57" s="27">
        <f t="shared" si="4"/>
        <v>1</v>
      </c>
      <c r="AG57" s="27">
        <v>1.0</v>
      </c>
      <c r="AH57" s="28" t="s">
        <v>606</v>
      </c>
      <c r="AI57" s="28" t="s">
        <v>607</v>
      </c>
      <c r="AJ57" s="28" t="s">
        <v>607</v>
      </c>
      <c r="AK57" s="28" t="s">
        <v>608</v>
      </c>
      <c r="AL57" s="28" t="s">
        <v>448</v>
      </c>
      <c r="AM57" s="28" t="s">
        <v>367</v>
      </c>
    </row>
    <row r="58">
      <c r="A58" s="27">
        <v>2166575.0</v>
      </c>
      <c r="B58" s="28" t="s">
        <v>147</v>
      </c>
      <c r="C58" s="27">
        <v>2.200104101E9</v>
      </c>
      <c r="D58" s="27">
        <v>10.0</v>
      </c>
      <c r="E58" s="28" t="s">
        <v>148</v>
      </c>
      <c r="F58" s="28" t="s">
        <v>523</v>
      </c>
      <c r="G58" s="28" t="s">
        <v>609</v>
      </c>
      <c r="H58" s="28" t="s">
        <v>201</v>
      </c>
      <c r="I58" s="27" t="s">
        <v>582</v>
      </c>
      <c r="J58" s="27" t="s">
        <v>582</v>
      </c>
      <c r="K58" s="29" t="s">
        <v>603</v>
      </c>
      <c r="L58" s="5">
        <f>Value(left(vlookup(Z58,dayspo,7,0),1))</f>
        <v>2</v>
      </c>
      <c r="M58" s="28">
        <f>roundup(Y58*'VANVA (Future)'!$U$2,0)</f>
        <v>1</v>
      </c>
      <c r="N58" s="28">
        <f>roundup(Y58*'VANVA (Future)'!$U$3,0)</f>
        <v>1</v>
      </c>
      <c r="O58" s="28">
        <f>roundup(Y58*'VANVA (Future)'!$U$5,0)</f>
        <v>2</v>
      </c>
      <c r="P58" s="28">
        <f>roundup(Y58*'VANVA (Future)'!$U$6,0)</f>
        <v>4</v>
      </c>
      <c r="Q58" s="28">
        <f>roundup(Y58*'VANVA (Future)'!$U$7,0)</f>
        <v>2</v>
      </c>
      <c r="R58" s="28">
        <f>roundup(Y58*'VANVA (Future)'!$U$8,0)</f>
        <v>1</v>
      </c>
      <c r="S58" s="28">
        <f>roundup(Y58*'VANVA (Future)'!$U$9,0)</f>
        <v>3</v>
      </c>
      <c r="T58" s="29">
        <f t="shared" si="1"/>
        <v>16</v>
      </c>
      <c r="U58" s="29">
        <f t="shared" si="2"/>
        <v>2</v>
      </c>
      <c r="V58" s="29" t="s">
        <v>610</v>
      </c>
      <c r="W58" s="28" t="s">
        <v>494</v>
      </c>
      <c r="X58" s="28" t="s">
        <v>297</v>
      </c>
      <c r="Y58" s="27">
        <f t="shared" si="3"/>
        <v>16</v>
      </c>
      <c r="Z58" s="27">
        <v>5.100140662E9</v>
      </c>
      <c r="AA58" s="28" t="s">
        <v>495</v>
      </c>
      <c r="AB58" s="31"/>
      <c r="AC58" s="28" t="s">
        <v>158</v>
      </c>
      <c r="AD58" s="28" t="s">
        <v>175</v>
      </c>
      <c r="AE58" s="28" t="s">
        <v>223</v>
      </c>
      <c r="AF58" s="27">
        <f t="shared" si="4"/>
        <v>14</v>
      </c>
      <c r="AG58" s="27">
        <v>1.0</v>
      </c>
      <c r="AH58" s="28" t="s">
        <v>611</v>
      </c>
      <c r="AI58" s="28" t="s">
        <v>612</v>
      </c>
      <c r="AJ58" s="28" t="s">
        <v>613</v>
      </c>
      <c r="AK58" s="28" t="s">
        <v>614</v>
      </c>
      <c r="AL58" s="28" t="s">
        <v>615</v>
      </c>
      <c r="AM58" s="27">
        <v>1.0</v>
      </c>
    </row>
    <row r="61">
      <c r="L61" s="5">
        <f t="shared" ref="L61:S61" si="5">max(L3:L58)</f>
        <v>6</v>
      </c>
      <c r="M61" s="5">
        <f t="shared" si="5"/>
        <v>1</v>
      </c>
      <c r="N61" s="5">
        <f t="shared" si="5"/>
        <v>1</v>
      </c>
      <c r="O61" s="5">
        <f t="shared" si="5"/>
        <v>4</v>
      </c>
      <c r="P61" s="5">
        <f t="shared" si="5"/>
        <v>8</v>
      </c>
      <c r="Q61" s="5">
        <f t="shared" si="5"/>
        <v>5</v>
      </c>
      <c r="R61" s="5">
        <f t="shared" si="5"/>
        <v>2</v>
      </c>
      <c r="S61" s="5">
        <f t="shared" si="5"/>
        <v>7</v>
      </c>
    </row>
    <row r="62">
      <c r="T62" s="5">
        <f>sum(T3:T58)</f>
        <v>796</v>
      </c>
    </row>
    <row r="63">
      <c r="L63" s="5">
        <f t="shared" ref="L63:S63" si="6">average(L3:L58)</f>
        <v>1.037037037</v>
      </c>
      <c r="M63" s="5">
        <f t="shared" si="6"/>
        <v>1</v>
      </c>
      <c r="N63" s="5">
        <f t="shared" si="6"/>
        <v>1</v>
      </c>
      <c r="O63" s="5">
        <f t="shared" si="6"/>
        <v>1.660714286</v>
      </c>
      <c r="P63" s="5">
        <f t="shared" si="6"/>
        <v>3.392857143</v>
      </c>
      <c r="Q63" s="15">
        <f t="shared" si="6"/>
        <v>2.089285714</v>
      </c>
      <c r="R63" s="5">
        <f t="shared" si="6"/>
        <v>1.017857143</v>
      </c>
      <c r="S63" s="5">
        <f t="shared" si="6"/>
        <v>3.053571429</v>
      </c>
      <c r="T63" s="5">
        <f>T62/56</f>
        <v>14.21428571</v>
      </c>
    </row>
    <row r="64">
      <c r="Q64" s="6" t="s">
        <v>616</v>
      </c>
    </row>
    <row r="65">
      <c r="S65" s="6" t="s">
        <v>617</v>
      </c>
      <c r="T65" s="5">
        <f>average(T3:T58)</f>
        <v>14.21428571</v>
      </c>
    </row>
    <row r="66">
      <c r="S66" s="6" t="s">
        <v>618</v>
      </c>
      <c r="T66" s="8">
        <f>'VANVA (Future)'!T12</f>
        <v>34.01041667</v>
      </c>
    </row>
    <row r="67">
      <c r="S67" s="6" t="s">
        <v>619</v>
      </c>
      <c r="T67" s="12">
        <f>(T66-T65)/T66</f>
        <v>0.5820608182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hidden="1" min="1" max="1" width="18.14"/>
    <col customWidth="1" hidden="1" min="2" max="2" width="20.86"/>
    <col customWidth="1" min="3" max="3" width="11.71"/>
    <col customWidth="1" hidden="1" min="4" max="4" width="7.71"/>
    <col customWidth="1" hidden="1" min="5" max="5" width="6.86"/>
    <col customWidth="1" hidden="1" min="6" max="6" width="16.14"/>
    <col customWidth="1" hidden="1" min="7" max="7" width="75.57"/>
    <col customWidth="1" hidden="1" min="8" max="8" width="16.43"/>
    <col customWidth="1" min="9" max="9" width="15.43"/>
    <col customWidth="1" min="10" max="10" width="12.43"/>
    <col customWidth="1" min="11" max="11" width="21.29"/>
    <col customWidth="1" min="12" max="12" width="27.14"/>
    <col customWidth="1" min="13" max="13" width="30.86"/>
    <col customWidth="1" min="14" max="14" width="26.43"/>
    <col customWidth="1" min="15" max="15" width="29.86"/>
    <col customWidth="1" min="16" max="16" width="33.29"/>
    <col customWidth="1" min="17" max="17" width="23.86"/>
    <col customWidth="1" min="18" max="18" width="26.57"/>
    <col customWidth="1" min="19" max="19" width="20.86"/>
    <col customWidth="1" min="20" max="21" width="10.86"/>
    <col customWidth="1" hidden="1" min="22" max="22" width="10.86"/>
    <col customWidth="1" hidden="1" min="23" max="23" width="13.71"/>
    <col customWidth="1" min="24" max="24" width="7.29"/>
    <col customWidth="1" min="25" max="26" width="11.71"/>
    <col customWidth="1" hidden="1" min="27" max="27" width="8.43"/>
    <col customWidth="1" hidden="1" min="28" max="28" width="17.71"/>
    <col customWidth="1" hidden="1" min="29" max="29" width="19.57"/>
    <col customWidth="1" min="30" max="30" width="12.57"/>
    <col customWidth="1" min="31" max="31" width="12.29"/>
    <col customWidth="1" min="32" max="33" width="8.71"/>
    <col customWidth="1" min="34" max="34" width="25.14"/>
    <col customWidth="1" min="35" max="36" width="16.0"/>
    <col customWidth="1" min="37" max="37" width="16.57"/>
    <col customWidth="1" min="38" max="38" width="28.0"/>
    <col customWidth="1" min="39" max="39" width="32.43"/>
  </cols>
  <sheetData>
    <row r="1">
      <c r="A1" s="23" t="s">
        <v>109</v>
      </c>
      <c r="B1" s="23" t="s">
        <v>110</v>
      </c>
      <c r="C1" s="23" t="s">
        <v>111</v>
      </c>
      <c r="D1" s="23" t="s">
        <v>112</v>
      </c>
      <c r="E1" s="23" t="s">
        <v>113</v>
      </c>
      <c r="F1" s="23" t="s">
        <v>114</v>
      </c>
      <c r="G1" s="23" t="s">
        <v>115</v>
      </c>
      <c r="H1" s="23" t="s">
        <v>116</v>
      </c>
      <c r="I1" s="23" t="s">
        <v>117</v>
      </c>
      <c r="J1" s="23" t="s">
        <v>118</v>
      </c>
      <c r="K1" s="23" t="s">
        <v>119</v>
      </c>
      <c r="L1" s="24" t="s">
        <v>120</v>
      </c>
      <c r="M1" s="25" t="s">
        <v>121</v>
      </c>
      <c r="N1" s="24" t="s">
        <v>122</v>
      </c>
      <c r="O1" s="25" t="s">
        <v>123</v>
      </c>
      <c r="P1" s="24" t="s">
        <v>124</v>
      </c>
      <c r="Q1" s="25" t="s">
        <v>125</v>
      </c>
      <c r="R1" s="24" t="s">
        <v>126</v>
      </c>
      <c r="S1" s="25" t="s">
        <v>127</v>
      </c>
      <c r="T1" s="26" t="s">
        <v>128</v>
      </c>
      <c r="U1" s="26" t="s">
        <v>129</v>
      </c>
      <c r="V1" s="23" t="s">
        <v>130</v>
      </c>
      <c r="W1" s="23" t="s">
        <v>131</v>
      </c>
      <c r="X1" s="23" t="s">
        <v>132</v>
      </c>
      <c r="Y1" s="23" t="s">
        <v>129</v>
      </c>
      <c r="Z1" s="23" t="s">
        <v>133</v>
      </c>
      <c r="AA1" s="23" t="s">
        <v>134</v>
      </c>
      <c r="AB1" s="23" t="s">
        <v>135</v>
      </c>
      <c r="AC1" s="23" t="s">
        <v>136</v>
      </c>
      <c r="AD1" s="23" t="s">
        <v>137</v>
      </c>
      <c r="AE1" s="23" t="s">
        <v>138</v>
      </c>
      <c r="AF1" s="26" t="s">
        <v>139</v>
      </c>
      <c r="AG1" s="23" t="s">
        <v>140</v>
      </c>
      <c r="AH1" s="23" t="s">
        <v>141</v>
      </c>
      <c r="AI1" s="23" t="s">
        <v>142</v>
      </c>
      <c r="AJ1" s="23" t="s">
        <v>143</v>
      </c>
      <c r="AK1" s="23" t="s">
        <v>144</v>
      </c>
      <c r="AL1" s="23" t="s">
        <v>145</v>
      </c>
      <c r="AM1" s="23" t="s">
        <v>146</v>
      </c>
    </row>
    <row r="2">
      <c r="A2" s="27"/>
      <c r="B2" s="28"/>
      <c r="C2" s="27"/>
      <c r="D2" s="27"/>
      <c r="E2" s="28"/>
      <c r="F2" s="28"/>
      <c r="G2" s="28"/>
      <c r="H2" s="28"/>
      <c r="I2" s="27"/>
      <c r="J2" s="27"/>
      <c r="K2" s="29"/>
      <c r="L2" s="30">
        <v>7.0</v>
      </c>
      <c r="M2" s="28"/>
      <c r="N2" s="28">
        <v>8.0</v>
      </c>
      <c r="O2" s="28"/>
      <c r="P2" s="28">
        <v>12.0</v>
      </c>
      <c r="Q2" s="28">
        <v>16.0</v>
      </c>
      <c r="R2" s="28"/>
      <c r="S2" s="28">
        <v>19.0</v>
      </c>
      <c r="T2" s="29"/>
      <c r="U2" s="29"/>
      <c r="V2" s="29"/>
      <c r="W2" s="28"/>
      <c r="X2" s="28"/>
      <c r="Y2" s="27"/>
      <c r="Z2" s="27"/>
      <c r="AA2" s="28"/>
      <c r="AB2" s="31"/>
      <c r="AC2" s="28"/>
      <c r="AD2" s="28"/>
      <c r="AE2" s="28"/>
      <c r="AF2" s="27"/>
      <c r="AG2" s="27"/>
      <c r="AH2" s="28"/>
      <c r="AI2" s="28"/>
      <c r="AJ2" s="28"/>
      <c r="AK2" s="28"/>
      <c r="AL2" s="28"/>
      <c r="AM2" s="27"/>
    </row>
    <row r="3">
      <c r="A3" s="27">
        <v>2166575.0</v>
      </c>
      <c r="B3" s="28" t="s">
        <v>147</v>
      </c>
      <c r="C3" s="27">
        <v>2.20009748E9</v>
      </c>
      <c r="D3" s="27">
        <v>10.0</v>
      </c>
      <c r="E3" s="28" t="s">
        <v>148</v>
      </c>
      <c r="F3" s="28" t="s">
        <v>149</v>
      </c>
      <c r="G3" s="28" t="s">
        <v>150</v>
      </c>
      <c r="H3" s="28" t="s">
        <v>151</v>
      </c>
      <c r="I3" s="27" t="s">
        <v>152</v>
      </c>
      <c r="J3" s="30"/>
      <c r="K3" s="29" t="s">
        <v>153</v>
      </c>
      <c r="L3" s="5">
        <f>Value(left(vlookup(Z3,dayspo,7,0),1))</f>
        <v>1</v>
      </c>
      <c r="M3" s="28">
        <f>roundup(Y3*'VANVA (Future) Versi 2'!$V$2,0)</f>
        <v>1</v>
      </c>
      <c r="N3" s="28">
        <f>roundup(Y3*'VANVA (Future) Versi 2'!$V$3,0)</f>
        <v>1</v>
      </c>
      <c r="O3" s="28">
        <f>roundup(Y3*'VANVA (Future) Versi 2'!$V$5,0)</f>
        <v>2</v>
      </c>
      <c r="P3" s="28">
        <f>roundup(Y3*'VANVA (Future) Versi 2'!$V$6,0)</f>
        <v>3</v>
      </c>
      <c r="Q3" s="28">
        <f>roundup(Y3*'VANVA (Future) Versi 2'!$V$7,0)</f>
        <v>2</v>
      </c>
      <c r="R3" s="28">
        <f>roundup(Y3*'VANVA (Future) Versi 2'!$V$8,0)</f>
        <v>1</v>
      </c>
      <c r="S3" s="28">
        <f>roundup(Y3*'VANVA (Future) Versi 2'!$V$9,0)</f>
        <v>3</v>
      </c>
      <c r="T3" s="29">
        <f t="shared" ref="T3:T58" si="1">roundup(sum(L3:S3),0)</f>
        <v>14</v>
      </c>
      <c r="U3" s="29">
        <f t="shared" ref="U3:U58" si="2">T3-AF3</f>
        <v>3</v>
      </c>
      <c r="V3" s="29" t="s">
        <v>154</v>
      </c>
      <c r="W3" s="28" t="s">
        <v>155</v>
      </c>
      <c r="X3" s="28" t="s">
        <v>156</v>
      </c>
      <c r="Y3" s="27">
        <f t="shared" ref="Y3:Y58" si="3">value(left(X3,2))</f>
        <v>13</v>
      </c>
      <c r="Z3" s="27">
        <v>5.100134537E9</v>
      </c>
      <c r="AA3" s="28" t="s">
        <v>157</v>
      </c>
      <c r="AB3" s="31"/>
      <c r="AC3" s="28" t="s">
        <v>158</v>
      </c>
      <c r="AD3" s="28" t="s">
        <v>159</v>
      </c>
      <c r="AE3" s="28" t="s">
        <v>160</v>
      </c>
      <c r="AF3" s="27">
        <f t="shared" ref="AF3:AF58" si="4">value(left(AE3,2))</f>
        <v>11</v>
      </c>
      <c r="AG3" s="27">
        <v>1.0</v>
      </c>
      <c r="AH3" s="28" t="s">
        <v>161</v>
      </c>
      <c r="AI3" s="28" t="s">
        <v>162</v>
      </c>
      <c r="AJ3" s="28" t="s">
        <v>163</v>
      </c>
      <c r="AK3" s="28" t="s">
        <v>164</v>
      </c>
      <c r="AL3" s="28" t="s">
        <v>165</v>
      </c>
      <c r="AM3" s="27">
        <v>1.0</v>
      </c>
    </row>
    <row r="4">
      <c r="A4" s="27">
        <v>2166575.0</v>
      </c>
      <c r="B4" s="28" t="s">
        <v>147</v>
      </c>
      <c r="C4" s="27">
        <v>2.20009891E9</v>
      </c>
      <c r="D4" s="27">
        <v>10.0</v>
      </c>
      <c r="E4" s="28" t="s">
        <v>148</v>
      </c>
      <c r="F4" s="28" t="s">
        <v>166</v>
      </c>
      <c r="G4" s="28" t="s">
        <v>167</v>
      </c>
      <c r="H4" s="28" t="s">
        <v>168</v>
      </c>
      <c r="I4" s="27" t="s">
        <v>169</v>
      </c>
      <c r="J4" s="27" t="s">
        <v>170</v>
      </c>
      <c r="K4" s="32">
        <v>45659.0</v>
      </c>
      <c r="L4" s="5">
        <f>Value(left(vlookup(Z4,dayspo,7,0),1))</f>
        <v>2</v>
      </c>
      <c r="M4" s="28">
        <f>roundup(Y4*'VANVA (Future) Versi 2'!$V$2,0)</f>
        <v>1</v>
      </c>
      <c r="N4" s="28">
        <f>roundup(Y4*'VANVA (Future) Versi 2'!$V$3,0)</f>
        <v>1</v>
      </c>
      <c r="O4" s="28">
        <f>roundup(Y4*'VANVA (Future) Versi 2'!$V$5,0)</f>
        <v>1</v>
      </c>
      <c r="P4" s="28">
        <f>roundup(Y4*'VANVA (Future) Versi 2'!$V$6,0)</f>
        <v>2</v>
      </c>
      <c r="Q4" s="28">
        <f>roundup(Y4*'VANVA (Future) Versi 2'!$V$7,0)</f>
        <v>2</v>
      </c>
      <c r="R4" s="28">
        <f>roundup(Y4*'VANVA (Future) Versi 2'!$V$8,0)</f>
        <v>1</v>
      </c>
      <c r="S4" s="28">
        <f>(value(left(vlookup(Z4,dayspo,19,0),1)))</f>
        <v>2</v>
      </c>
      <c r="T4" s="29">
        <f t="shared" si="1"/>
        <v>12</v>
      </c>
      <c r="U4" s="29">
        <f t="shared" si="2"/>
        <v>4</v>
      </c>
      <c r="V4" s="29" t="s">
        <v>171</v>
      </c>
      <c r="W4" s="28" t="s">
        <v>172</v>
      </c>
      <c r="X4" s="28" t="s">
        <v>173</v>
      </c>
      <c r="Y4" s="27">
        <f t="shared" si="3"/>
        <v>9</v>
      </c>
      <c r="Z4" s="27">
        <v>5.100133759E9</v>
      </c>
      <c r="AA4" s="28" t="s">
        <v>174</v>
      </c>
      <c r="AB4" s="31"/>
      <c r="AC4" s="28" t="s">
        <v>158</v>
      </c>
      <c r="AD4" s="28" t="s">
        <v>175</v>
      </c>
      <c r="AE4" s="28" t="s">
        <v>176</v>
      </c>
      <c r="AF4" s="27">
        <f t="shared" si="4"/>
        <v>8</v>
      </c>
      <c r="AG4" s="27">
        <v>1.0</v>
      </c>
      <c r="AH4" s="28" t="s">
        <v>177</v>
      </c>
      <c r="AI4" s="28" t="s">
        <v>178</v>
      </c>
      <c r="AJ4" s="28" t="s">
        <v>178</v>
      </c>
      <c r="AK4" s="28" t="s">
        <v>179</v>
      </c>
      <c r="AL4" s="28" t="s">
        <v>180</v>
      </c>
      <c r="AM4" s="27">
        <v>1.0</v>
      </c>
    </row>
    <row r="5">
      <c r="A5" s="27">
        <v>2166575.0</v>
      </c>
      <c r="B5" s="28" t="s">
        <v>147</v>
      </c>
      <c r="C5" s="27">
        <v>2.200098928E9</v>
      </c>
      <c r="D5" s="27">
        <v>10.0</v>
      </c>
      <c r="E5" s="28" t="s">
        <v>148</v>
      </c>
      <c r="F5" s="28" t="s">
        <v>181</v>
      </c>
      <c r="G5" s="28" t="s">
        <v>182</v>
      </c>
      <c r="H5" s="28" t="s">
        <v>151</v>
      </c>
      <c r="I5" s="33">
        <v>45689.0</v>
      </c>
      <c r="J5" s="33">
        <v>45689.0</v>
      </c>
      <c r="K5" s="32">
        <v>45663.0</v>
      </c>
      <c r="L5" s="5">
        <f>Value(left(vlookup(Z5,dayspo,7,0),1))</f>
        <v>0</v>
      </c>
      <c r="M5" s="28">
        <f>roundup(Y5*'VANVA (Future) Versi 2'!$V$2,0)</f>
        <v>1</v>
      </c>
      <c r="N5" s="28">
        <f>roundup(Y5*'VANVA (Future) Versi 2'!$V$3,0)</f>
        <v>1</v>
      </c>
      <c r="O5" s="28">
        <f>roundup(Y5*'VANVA (Future) Versi 2'!$V$5,0)</f>
        <v>1</v>
      </c>
      <c r="P5" s="28">
        <f>roundup(Y5*'VANVA (Future) Versi 2'!$V$6,0)</f>
        <v>3</v>
      </c>
      <c r="Q5" s="28">
        <f>roundup(Y5*'VANVA (Future) Versi 2'!$V$7,0)</f>
        <v>2</v>
      </c>
      <c r="R5" s="28">
        <f>roundup(Y5*'VANVA (Future) Versi 2'!$V$8,0)</f>
        <v>1</v>
      </c>
      <c r="S5" s="28">
        <f>(value(left(vlookup(Z5,dayspo,19,0),1)))</f>
        <v>3</v>
      </c>
      <c r="T5" s="29">
        <f t="shared" si="1"/>
        <v>12</v>
      </c>
      <c r="U5" s="29">
        <f t="shared" si="2"/>
        <v>6</v>
      </c>
      <c r="V5" s="29" t="s">
        <v>183</v>
      </c>
      <c r="W5" s="28" t="s">
        <v>184</v>
      </c>
      <c r="X5" s="28" t="s">
        <v>185</v>
      </c>
      <c r="Y5" s="27">
        <f t="shared" si="3"/>
        <v>10</v>
      </c>
      <c r="Z5" s="27">
        <v>5.100133854E9</v>
      </c>
      <c r="AA5" s="28" t="s">
        <v>174</v>
      </c>
      <c r="AB5" s="31"/>
      <c r="AC5" s="28" t="s">
        <v>158</v>
      </c>
      <c r="AD5" s="28" t="s">
        <v>175</v>
      </c>
      <c r="AE5" s="28" t="s">
        <v>186</v>
      </c>
      <c r="AF5" s="27">
        <f t="shared" si="4"/>
        <v>6</v>
      </c>
      <c r="AG5" s="27">
        <v>1.0</v>
      </c>
      <c r="AH5" s="28" t="s">
        <v>187</v>
      </c>
      <c r="AI5" s="28" t="s">
        <v>188</v>
      </c>
      <c r="AJ5" s="28" t="s">
        <v>189</v>
      </c>
      <c r="AK5" s="28" t="s">
        <v>190</v>
      </c>
      <c r="AL5" s="28" t="s">
        <v>191</v>
      </c>
      <c r="AM5" s="27">
        <v>1.0</v>
      </c>
    </row>
    <row r="6">
      <c r="A6" s="27">
        <v>2166575.0</v>
      </c>
      <c r="B6" s="28" t="s">
        <v>147</v>
      </c>
      <c r="C6" s="27">
        <v>2.200099021E9</v>
      </c>
      <c r="D6" s="27">
        <v>10.0</v>
      </c>
      <c r="E6" s="28" t="s">
        <v>148</v>
      </c>
      <c r="F6" s="28" t="s">
        <v>149</v>
      </c>
      <c r="G6" s="28" t="s">
        <v>192</v>
      </c>
      <c r="H6" s="28" t="s">
        <v>151</v>
      </c>
      <c r="I6" s="33">
        <v>45689.0</v>
      </c>
      <c r="J6" s="33">
        <v>45689.0</v>
      </c>
      <c r="K6" s="32">
        <v>45664.0</v>
      </c>
      <c r="L6" s="5">
        <f>Value(left(vlookup(Z6,dayspo,7,0),1))</f>
        <v>1</v>
      </c>
      <c r="M6" s="28">
        <f>roundup(Y6*'VANVA (Future) Versi 2'!$V$2,0)</f>
        <v>1</v>
      </c>
      <c r="N6" s="28">
        <f>roundup(Y6*'VANVA (Future) Versi 2'!$V$3,0)</f>
        <v>1</v>
      </c>
      <c r="O6" s="28">
        <f>roundup(Y6*'VANVA (Future) Versi 2'!$V$5,0)</f>
        <v>1</v>
      </c>
      <c r="P6" s="28">
        <f>roundup(Y6*'VANVA (Future) Versi 2'!$V$6,0)</f>
        <v>2</v>
      </c>
      <c r="Q6" s="28">
        <f>roundup(Y6*'VANVA (Future) Versi 2'!$V$7,0)</f>
        <v>1</v>
      </c>
      <c r="R6" s="28">
        <f>roundup(Y6*'VANVA (Future) Versi 2'!$V$8,0)</f>
        <v>1</v>
      </c>
      <c r="S6" s="28">
        <f>(value(left(vlookup(Z6,dayspo,19,0),1)))</f>
        <v>1</v>
      </c>
      <c r="T6" s="29">
        <f t="shared" si="1"/>
        <v>9</v>
      </c>
      <c r="U6" s="29">
        <f t="shared" si="2"/>
        <v>2</v>
      </c>
      <c r="V6" s="29" t="s">
        <v>193</v>
      </c>
      <c r="W6" s="28" t="s">
        <v>172</v>
      </c>
      <c r="X6" s="28" t="s">
        <v>194</v>
      </c>
      <c r="Y6" s="27">
        <f t="shared" si="3"/>
        <v>7</v>
      </c>
      <c r="Z6" s="27">
        <v>5.100133816E9</v>
      </c>
      <c r="AA6" s="28" t="s">
        <v>174</v>
      </c>
      <c r="AB6" s="31"/>
      <c r="AC6" s="28" t="s">
        <v>158</v>
      </c>
      <c r="AD6" s="28" t="s">
        <v>175</v>
      </c>
      <c r="AE6" s="28" t="s">
        <v>194</v>
      </c>
      <c r="AF6" s="27">
        <f t="shared" si="4"/>
        <v>7</v>
      </c>
      <c r="AG6" s="27">
        <v>1.0</v>
      </c>
      <c r="AH6" s="28" t="s">
        <v>195</v>
      </c>
      <c r="AI6" s="28" t="s">
        <v>196</v>
      </c>
      <c r="AJ6" s="28" t="s">
        <v>196</v>
      </c>
      <c r="AK6" s="28" t="s">
        <v>197</v>
      </c>
      <c r="AL6" s="28" t="s">
        <v>198</v>
      </c>
      <c r="AM6" s="27">
        <v>1.0</v>
      </c>
    </row>
    <row r="7">
      <c r="A7" s="27">
        <v>2166575.0</v>
      </c>
      <c r="B7" s="28" t="s">
        <v>147</v>
      </c>
      <c r="C7" s="27">
        <v>2.200099022E9</v>
      </c>
      <c r="D7" s="27">
        <v>10.0</v>
      </c>
      <c r="E7" s="28" t="s">
        <v>148</v>
      </c>
      <c r="F7" s="28" t="s">
        <v>199</v>
      </c>
      <c r="G7" s="28" t="s">
        <v>200</v>
      </c>
      <c r="H7" s="28" t="s">
        <v>201</v>
      </c>
      <c r="I7" s="33">
        <v>45689.0</v>
      </c>
      <c r="J7" s="27" t="s">
        <v>202</v>
      </c>
      <c r="K7" s="32">
        <v>45664.0</v>
      </c>
      <c r="L7" s="5">
        <f>Value(left(vlookup(Z7,dayspo,7,0),1))</f>
        <v>1</v>
      </c>
      <c r="M7" s="28">
        <f>roundup(Y7*'VANVA (Future) Versi 2'!$V$2,0)</f>
        <v>1</v>
      </c>
      <c r="N7" s="28">
        <f>roundup(Y7*'VANVA (Future) Versi 2'!$V$3,0)</f>
        <v>1</v>
      </c>
      <c r="O7" s="28">
        <f>roundup(Y7*'VANVA (Future) Versi 2'!$V$5,0)</f>
        <v>2</v>
      </c>
      <c r="P7" s="28">
        <f>roundup(Y7*'VANVA (Future) Versi 2'!$V$6,0)</f>
        <v>3</v>
      </c>
      <c r="Q7" s="28">
        <f>roundup(Y7*'VANVA (Future) Versi 2'!$V$7,0)</f>
        <v>2</v>
      </c>
      <c r="R7" s="28">
        <f>roundup(Y7*'VANVA (Future) Versi 2'!$V$8,0)</f>
        <v>1</v>
      </c>
      <c r="S7" s="28">
        <f>(value(left(vlookup(Z7,dayspo,19,0),1)))</f>
        <v>1</v>
      </c>
      <c r="T7" s="29">
        <f t="shared" si="1"/>
        <v>12</v>
      </c>
      <c r="U7" s="29">
        <f t="shared" si="2"/>
        <v>6</v>
      </c>
      <c r="V7" s="29" t="s">
        <v>203</v>
      </c>
      <c r="W7" s="28" t="s">
        <v>172</v>
      </c>
      <c r="X7" s="28" t="s">
        <v>156</v>
      </c>
      <c r="Y7" s="27">
        <f t="shared" si="3"/>
        <v>13</v>
      </c>
      <c r="Z7" s="27">
        <v>5.100134016E9</v>
      </c>
      <c r="AA7" s="28" t="s">
        <v>174</v>
      </c>
      <c r="AB7" s="31"/>
      <c r="AC7" s="28" t="s">
        <v>158</v>
      </c>
      <c r="AD7" s="28" t="s">
        <v>175</v>
      </c>
      <c r="AE7" s="28" t="s">
        <v>186</v>
      </c>
      <c r="AF7" s="27">
        <f t="shared" si="4"/>
        <v>6</v>
      </c>
      <c r="AG7" s="27">
        <v>1.0</v>
      </c>
      <c r="AH7" s="28" t="s">
        <v>204</v>
      </c>
      <c r="AI7" s="28" t="s">
        <v>205</v>
      </c>
      <c r="AJ7" s="28" t="s">
        <v>206</v>
      </c>
      <c r="AK7" s="28" t="s">
        <v>207</v>
      </c>
      <c r="AL7" s="28" t="s">
        <v>208</v>
      </c>
      <c r="AM7" s="27">
        <v>1.0</v>
      </c>
    </row>
    <row r="8">
      <c r="A8" s="27">
        <v>2166575.0</v>
      </c>
      <c r="B8" s="28" t="s">
        <v>147</v>
      </c>
      <c r="C8" s="27">
        <v>2.20009901E9</v>
      </c>
      <c r="D8" s="27">
        <v>10.0</v>
      </c>
      <c r="E8" s="28" t="s">
        <v>148</v>
      </c>
      <c r="F8" s="28" t="s">
        <v>209</v>
      </c>
      <c r="G8" s="28" t="s">
        <v>210</v>
      </c>
      <c r="H8" s="28" t="s">
        <v>168</v>
      </c>
      <c r="I8" s="33">
        <v>45689.0</v>
      </c>
      <c r="J8" s="33">
        <v>45717.0</v>
      </c>
      <c r="K8" s="32">
        <v>45660.0</v>
      </c>
      <c r="L8" s="5">
        <f>Value(left(vlookup(Z8,dayspo,7,0),1))</f>
        <v>4</v>
      </c>
      <c r="M8" s="28">
        <f>roundup(Y8*'VANVA (Future) Versi 2'!$V$2,0)</f>
        <v>1</v>
      </c>
      <c r="N8" s="28">
        <f>roundup(Y8*'VANVA (Future) Versi 2'!$V$3,0)</f>
        <v>1</v>
      </c>
      <c r="O8" s="28">
        <f>roundup(Y8*'VANVA (Future) Versi 2'!$V$5,0)</f>
        <v>1</v>
      </c>
      <c r="P8" s="28">
        <f>roundup(Y8*'VANVA (Future) Versi 2'!$V$6,0)</f>
        <v>3</v>
      </c>
      <c r="Q8" s="28">
        <f>roundup(Y8*'VANVA (Future) Versi 2'!$V$7,0)</f>
        <v>2</v>
      </c>
      <c r="R8" s="28">
        <f>roundup(Y8*'VANVA (Future) Versi 2'!$V$8,0)</f>
        <v>1</v>
      </c>
      <c r="S8" s="28">
        <f>(value(left(vlookup(Z8,dayspo,19,0),1)))</f>
        <v>4</v>
      </c>
      <c r="T8" s="29">
        <f t="shared" si="1"/>
        <v>17</v>
      </c>
      <c r="U8" s="29">
        <f t="shared" si="2"/>
        <v>9</v>
      </c>
      <c r="V8" s="29" t="s">
        <v>211</v>
      </c>
      <c r="W8" s="28" t="s">
        <v>212</v>
      </c>
      <c r="X8" s="28" t="s">
        <v>185</v>
      </c>
      <c r="Y8" s="27">
        <f t="shared" si="3"/>
        <v>10</v>
      </c>
      <c r="Z8" s="27">
        <v>5.100133774E9</v>
      </c>
      <c r="AA8" s="28" t="s">
        <v>213</v>
      </c>
      <c r="AB8" s="31"/>
      <c r="AC8" s="28" t="s">
        <v>158</v>
      </c>
      <c r="AD8" s="28" t="s">
        <v>159</v>
      </c>
      <c r="AE8" s="28" t="s">
        <v>176</v>
      </c>
      <c r="AF8" s="27">
        <f t="shared" si="4"/>
        <v>8</v>
      </c>
      <c r="AG8" s="27">
        <v>1.0</v>
      </c>
      <c r="AH8" s="28" t="s">
        <v>214</v>
      </c>
      <c r="AI8" s="28" t="s">
        <v>215</v>
      </c>
      <c r="AJ8" s="28" t="s">
        <v>216</v>
      </c>
      <c r="AK8" s="28" t="s">
        <v>217</v>
      </c>
      <c r="AL8" s="28" t="s">
        <v>218</v>
      </c>
      <c r="AM8" s="27">
        <v>1.0</v>
      </c>
    </row>
    <row r="9">
      <c r="A9" s="27">
        <v>2166575.0</v>
      </c>
      <c r="B9" s="28" t="s">
        <v>147</v>
      </c>
      <c r="C9" s="27">
        <v>2.200099103E9</v>
      </c>
      <c r="D9" s="27">
        <v>10.0</v>
      </c>
      <c r="E9" s="28" t="s">
        <v>148</v>
      </c>
      <c r="F9" s="28" t="s">
        <v>219</v>
      </c>
      <c r="G9" s="28" t="s">
        <v>220</v>
      </c>
      <c r="H9" s="28" t="s">
        <v>221</v>
      </c>
      <c r="I9" s="33">
        <v>45839.0</v>
      </c>
      <c r="J9" s="27" t="s">
        <v>222</v>
      </c>
      <c r="K9" s="32">
        <v>45667.0</v>
      </c>
      <c r="L9" s="5">
        <f>Value(left(vlookup(Z9,dayspo,7,0),1))</f>
        <v>2</v>
      </c>
      <c r="M9" s="28">
        <f>roundup(Y9*'VANVA (Future) Versi 2'!$V$2,0)</f>
        <v>1</v>
      </c>
      <c r="N9" s="28">
        <f>roundup(Y9*'VANVA (Future) Versi 2'!$V$3,0)</f>
        <v>1</v>
      </c>
      <c r="O9" s="28">
        <f>roundup(Y9*'VANVA (Future) Versi 2'!$V$5,0)</f>
        <v>2</v>
      </c>
      <c r="P9" s="28">
        <f>roundup(Y9*'VANVA (Future) Versi 2'!$V$6,0)</f>
        <v>3</v>
      </c>
      <c r="Q9" s="28">
        <f>roundup(Y9*'VANVA (Future) Versi 2'!$V$7,0)</f>
        <v>2</v>
      </c>
      <c r="R9" s="28">
        <f>roundup(Y9*'VANVA (Future) Versi 2'!$V$8,0)</f>
        <v>1</v>
      </c>
      <c r="S9" s="28">
        <f>(value(left(vlookup(Z9,dayspo,19,0),1)))</f>
        <v>4</v>
      </c>
      <c r="T9" s="29">
        <f t="shared" si="1"/>
        <v>16</v>
      </c>
      <c r="U9" s="29">
        <f t="shared" si="2"/>
        <v>5</v>
      </c>
      <c r="V9" s="32">
        <v>45689.0</v>
      </c>
      <c r="W9" s="28" t="s">
        <v>184</v>
      </c>
      <c r="X9" s="28" t="s">
        <v>223</v>
      </c>
      <c r="Y9" s="27">
        <f t="shared" si="3"/>
        <v>14</v>
      </c>
      <c r="Z9" s="27">
        <v>5.100134053E9</v>
      </c>
      <c r="AA9" s="28" t="s">
        <v>174</v>
      </c>
      <c r="AB9" s="31"/>
      <c r="AC9" s="28" t="s">
        <v>158</v>
      </c>
      <c r="AD9" s="28" t="s">
        <v>175</v>
      </c>
      <c r="AE9" s="28" t="s">
        <v>160</v>
      </c>
      <c r="AF9" s="27">
        <f t="shared" si="4"/>
        <v>11</v>
      </c>
      <c r="AG9" s="27">
        <v>1.0</v>
      </c>
      <c r="AH9" s="28" t="s">
        <v>224</v>
      </c>
      <c r="AI9" s="28" t="s">
        <v>225</v>
      </c>
      <c r="AJ9" s="28" t="s">
        <v>225</v>
      </c>
      <c r="AK9" s="28" t="s">
        <v>226</v>
      </c>
      <c r="AL9" s="28" t="s">
        <v>227</v>
      </c>
      <c r="AM9" s="27">
        <v>1.0</v>
      </c>
    </row>
    <row r="10">
      <c r="A10" s="27">
        <v>2166575.0</v>
      </c>
      <c r="B10" s="28" t="s">
        <v>147</v>
      </c>
      <c r="C10" s="27">
        <v>2.200098397E9</v>
      </c>
      <c r="D10" s="27">
        <v>10.0</v>
      </c>
      <c r="E10" s="28" t="s">
        <v>148</v>
      </c>
      <c r="F10" s="28" t="s">
        <v>228</v>
      </c>
      <c r="G10" s="28" t="s">
        <v>229</v>
      </c>
      <c r="H10" s="28" t="s">
        <v>201</v>
      </c>
      <c r="I10" s="33">
        <v>45334.0</v>
      </c>
      <c r="J10" s="33">
        <v>45901.0</v>
      </c>
      <c r="K10" s="29" t="s">
        <v>170</v>
      </c>
      <c r="L10" s="5">
        <f>Value(left(vlookup(Z10,dayspo,7,0),1))</f>
        <v>1</v>
      </c>
      <c r="M10" s="28">
        <f>roundup(Y10*'VANVA (Future) Versi 2'!$V$2,0)</f>
        <v>1</v>
      </c>
      <c r="N10" s="28">
        <f>roundup(Y10*'VANVA (Future) Versi 2'!$V$3,0)</f>
        <v>1</v>
      </c>
      <c r="O10" s="28">
        <f>roundup(Y10*'VANVA (Future) Versi 2'!$V$5,0)</f>
        <v>1</v>
      </c>
      <c r="P10" s="28">
        <f>roundup(Y10*'VANVA (Future) Versi 2'!$V$6,0)</f>
        <v>2</v>
      </c>
      <c r="Q10" s="28">
        <f>roundup(Y10*'VANVA (Future) Versi 2'!$V$7,0)</f>
        <v>1</v>
      </c>
      <c r="R10" s="28">
        <f>roundup(Y10*'VANVA (Future) Versi 2'!$V$8,0)</f>
        <v>1</v>
      </c>
      <c r="S10" s="28">
        <f>(value(left(vlookup(Z10,dayspo,19,0),1)))</f>
        <v>2</v>
      </c>
      <c r="T10" s="29">
        <f t="shared" si="1"/>
        <v>10</v>
      </c>
      <c r="U10" s="29">
        <f t="shared" si="2"/>
        <v>3</v>
      </c>
      <c r="V10" s="32">
        <v>45692.0</v>
      </c>
      <c r="W10" s="28" t="s">
        <v>155</v>
      </c>
      <c r="X10" s="28" t="s">
        <v>194</v>
      </c>
      <c r="Y10" s="27">
        <f t="shared" si="3"/>
        <v>7</v>
      </c>
      <c r="Z10" s="27">
        <v>5.100134158E9</v>
      </c>
      <c r="AA10" s="28" t="s">
        <v>157</v>
      </c>
      <c r="AB10" s="31"/>
      <c r="AC10" s="28" t="s">
        <v>158</v>
      </c>
      <c r="AD10" s="28" t="s">
        <v>159</v>
      </c>
      <c r="AE10" s="28" t="s">
        <v>194</v>
      </c>
      <c r="AF10" s="27">
        <f t="shared" si="4"/>
        <v>7</v>
      </c>
      <c r="AG10" s="27">
        <v>1.0</v>
      </c>
      <c r="AH10" s="28" t="s">
        <v>230</v>
      </c>
      <c r="AI10" s="28" t="s">
        <v>231</v>
      </c>
      <c r="AJ10" s="28" t="s">
        <v>231</v>
      </c>
      <c r="AK10" s="28" t="s">
        <v>232</v>
      </c>
      <c r="AL10" s="28" t="s">
        <v>233</v>
      </c>
      <c r="AM10" s="27">
        <v>1.0</v>
      </c>
    </row>
    <row r="11">
      <c r="A11" s="27">
        <v>2166575.0</v>
      </c>
      <c r="B11" s="28" t="s">
        <v>147</v>
      </c>
      <c r="C11" s="27">
        <v>2.200099214E9</v>
      </c>
      <c r="D11" s="27">
        <v>10.0</v>
      </c>
      <c r="E11" s="28" t="s">
        <v>148</v>
      </c>
      <c r="F11" s="28" t="s">
        <v>219</v>
      </c>
      <c r="G11" s="28" t="s">
        <v>234</v>
      </c>
      <c r="H11" s="28" t="s">
        <v>221</v>
      </c>
      <c r="I11" s="33">
        <v>45901.0</v>
      </c>
      <c r="J11" s="27" t="s">
        <v>170</v>
      </c>
      <c r="K11" s="29" t="s">
        <v>235</v>
      </c>
      <c r="L11" s="5">
        <f>Value(left(vlookup(Z11,dayspo,7,0),1))</f>
        <v>2</v>
      </c>
      <c r="M11" s="28">
        <f>roundup(Y11*'VANVA (Future) Versi 2'!$V$2,0)</f>
        <v>1</v>
      </c>
      <c r="N11" s="28">
        <f>roundup(Y11*'VANVA (Future) Versi 2'!$V$3,0)</f>
        <v>1</v>
      </c>
      <c r="O11" s="28">
        <f>roundup(Y11*'VANVA (Future) Versi 2'!$V$5,0)</f>
        <v>2</v>
      </c>
      <c r="P11" s="28">
        <f>roundup(Y11*'VANVA (Future) Versi 2'!$V$6,0)</f>
        <v>5</v>
      </c>
      <c r="Q11" s="28">
        <f>roundup(Y11*'VANVA (Future) Versi 2'!$V$7,0)</f>
        <v>3</v>
      </c>
      <c r="R11" s="28">
        <f>roundup(Y11*'VANVA (Future) Versi 2'!$V$8,0)</f>
        <v>1</v>
      </c>
      <c r="S11" s="28">
        <f>(value(left(vlookup(Z11,dayspo,19,0),1)))</f>
        <v>2</v>
      </c>
      <c r="T11" s="29">
        <f t="shared" si="1"/>
        <v>17</v>
      </c>
      <c r="U11" s="29">
        <f t="shared" si="2"/>
        <v>7</v>
      </c>
      <c r="V11" s="29" t="s">
        <v>236</v>
      </c>
      <c r="W11" s="28" t="s">
        <v>184</v>
      </c>
      <c r="X11" s="28" t="s">
        <v>237</v>
      </c>
      <c r="Y11" s="27">
        <f t="shared" si="3"/>
        <v>21</v>
      </c>
      <c r="Z11" s="27">
        <v>5.100135462E9</v>
      </c>
      <c r="AA11" s="28" t="s">
        <v>174</v>
      </c>
      <c r="AB11" s="31"/>
      <c r="AC11" s="28" t="s">
        <v>158</v>
      </c>
      <c r="AD11" s="28" t="s">
        <v>175</v>
      </c>
      <c r="AE11" s="28" t="s">
        <v>185</v>
      </c>
      <c r="AF11" s="27">
        <f t="shared" si="4"/>
        <v>10</v>
      </c>
      <c r="AG11" s="27">
        <v>1.0</v>
      </c>
      <c r="AH11" s="28" t="s">
        <v>238</v>
      </c>
      <c r="AI11" s="28" t="s">
        <v>239</v>
      </c>
      <c r="AJ11" s="28" t="s">
        <v>240</v>
      </c>
      <c r="AK11" s="28" t="s">
        <v>241</v>
      </c>
      <c r="AL11" s="28" t="s">
        <v>242</v>
      </c>
      <c r="AM11" s="27">
        <v>1.0</v>
      </c>
    </row>
    <row r="12">
      <c r="A12" s="27">
        <v>2166575.0</v>
      </c>
      <c r="B12" s="28" t="s">
        <v>147</v>
      </c>
      <c r="C12" s="27">
        <v>2.200099258E9</v>
      </c>
      <c r="D12" s="27">
        <v>10.0</v>
      </c>
      <c r="E12" s="28" t="s">
        <v>148</v>
      </c>
      <c r="F12" s="28" t="s">
        <v>243</v>
      </c>
      <c r="G12" s="28" t="s">
        <v>244</v>
      </c>
      <c r="H12" s="28" t="s">
        <v>201</v>
      </c>
      <c r="I12" s="27" t="s">
        <v>245</v>
      </c>
      <c r="J12" s="27" t="s">
        <v>246</v>
      </c>
      <c r="K12" s="29" t="s">
        <v>247</v>
      </c>
      <c r="L12" s="5">
        <f>Value(left(vlookup(Z12,dayspo,7,0),1))</f>
        <v>0</v>
      </c>
      <c r="M12" s="28">
        <f>roundup(Y12*'VANVA (Future) Versi 2'!$V$2,0)</f>
        <v>1</v>
      </c>
      <c r="N12" s="28">
        <f>roundup(Y12*'VANVA (Future) Versi 2'!$V$3,0)</f>
        <v>1</v>
      </c>
      <c r="O12" s="28">
        <f>roundup(Y12*'VANVA (Future) Versi 2'!$V$5,0)</f>
        <v>1</v>
      </c>
      <c r="P12" s="28">
        <f>roundup(Y12*'VANVA (Future) Versi 2'!$V$6,0)</f>
        <v>2</v>
      </c>
      <c r="Q12" s="28">
        <f>roundup(Y12*'VANVA (Future) Versi 2'!$V$7,0)</f>
        <v>1</v>
      </c>
      <c r="R12" s="28">
        <f>roundup(Y12*'VANVA (Future) Versi 2'!$V$8,0)</f>
        <v>1</v>
      </c>
      <c r="S12" s="28">
        <f>(value(left(vlookup(Z12,dayspo,19,0),1)))</f>
        <v>1</v>
      </c>
      <c r="T12" s="29">
        <f t="shared" si="1"/>
        <v>8</v>
      </c>
      <c r="U12" s="29">
        <f t="shared" si="2"/>
        <v>3</v>
      </c>
      <c r="V12" s="29" t="s">
        <v>153</v>
      </c>
      <c r="W12" s="28" t="s">
        <v>184</v>
      </c>
      <c r="X12" s="28" t="s">
        <v>194</v>
      </c>
      <c r="Y12" s="27">
        <f t="shared" si="3"/>
        <v>7</v>
      </c>
      <c r="Z12" s="27">
        <v>5.100133962E9</v>
      </c>
      <c r="AA12" s="28" t="s">
        <v>174</v>
      </c>
      <c r="AB12" s="31"/>
      <c r="AC12" s="28" t="s">
        <v>158</v>
      </c>
      <c r="AD12" s="28" t="s">
        <v>175</v>
      </c>
      <c r="AE12" s="28" t="s">
        <v>248</v>
      </c>
      <c r="AF12" s="27">
        <f t="shared" si="4"/>
        <v>5</v>
      </c>
      <c r="AG12" s="27">
        <v>1.0</v>
      </c>
      <c r="AH12" s="28" t="s">
        <v>249</v>
      </c>
      <c r="AI12" s="28" t="s">
        <v>250</v>
      </c>
      <c r="AJ12" s="28" t="s">
        <v>250</v>
      </c>
      <c r="AK12" s="28" t="s">
        <v>251</v>
      </c>
      <c r="AL12" s="28" t="s">
        <v>252</v>
      </c>
      <c r="AM12" s="27">
        <v>1.0</v>
      </c>
    </row>
    <row r="13">
      <c r="A13" s="27">
        <v>2166575.0</v>
      </c>
      <c r="B13" s="28" t="s">
        <v>147</v>
      </c>
      <c r="C13" s="27">
        <v>2.200099259E9</v>
      </c>
      <c r="D13" s="27">
        <v>10.0</v>
      </c>
      <c r="E13" s="28" t="s">
        <v>148</v>
      </c>
      <c r="F13" s="28" t="s">
        <v>243</v>
      </c>
      <c r="G13" s="28" t="s">
        <v>253</v>
      </c>
      <c r="H13" s="28" t="s">
        <v>201</v>
      </c>
      <c r="I13" s="27" t="s">
        <v>245</v>
      </c>
      <c r="J13" s="27" t="s">
        <v>254</v>
      </c>
      <c r="K13" s="29" t="s">
        <v>247</v>
      </c>
      <c r="L13" s="5">
        <f>Value(left(vlookup(Z13,dayspo,7,0),1))</f>
        <v>0</v>
      </c>
      <c r="M13" s="28">
        <f>roundup(Y13*'VANVA (Future) Versi 2'!$V$2,0)</f>
        <v>1</v>
      </c>
      <c r="N13" s="28">
        <f>roundup(Y13*'VANVA (Future) Versi 2'!$V$3,0)</f>
        <v>1</v>
      </c>
      <c r="O13" s="28">
        <f>roundup(Y13*'VANVA (Future) Versi 2'!$V$5,0)</f>
        <v>1</v>
      </c>
      <c r="P13" s="28">
        <f>roundup(Y13*'VANVA (Future) Versi 2'!$V$6,0)</f>
        <v>2</v>
      </c>
      <c r="Q13" s="28">
        <f>roundup(Y13*'VANVA (Future) Versi 2'!$V$7,0)</f>
        <v>1</v>
      </c>
      <c r="R13" s="28">
        <f>roundup(Y13*'VANVA (Future) Versi 2'!$V$8,0)</f>
        <v>1</v>
      </c>
      <c r="S13" s="28">
        <f>(value(left(vlookup(Z13,dayspo,19,0),1)))</f>
        <v>0</v>
      </c>
      <c r="T13" s="29">
        <f t="shared" si="1"/>
        <v>7</v>
      </c>
      <c r="U13" s="29">
        <f t="shared" si="2"/>
        <v>3</v>
      </c>
      <c r="V13" s="29" t="s">
        <v>153</v>
      </c>
      <c r="W13" s="28" t="s">
        <v>184</v>
      </c>
      <c r="X13" s="28" t="s">
        <v>194</v>
      </c>
      <c r="Y13" s="27">
        <f t="shared" si="3"/>
        <v>7</v>
      </c>
      <c r="Z13" s="27">
        <v>5.100133981E9</v>
      </c>
      <c r="AA13" s="28" t="s">
        <v>174</v>
      </c>
      <c r="AB13" s="31"/>
      <c r="AC13" s="28" t="s">
        <v>158</v>
      </c>
      <c r="AD13" s="28" t="s">
        <v>175</v>
      </c>
      <c r="AE13" s="28" t="s">
        <v>255</v>
      </c>
      <c r="AF13" s="27">
        <f t="shared" si="4"/>
        <v>4</v>
      </c>
      <c r="AG13" s="27">
        <v>1.0</v>
      </c>
      <c r="AH13" s="28" t="s">
        <v>256</v>
      </c>
      <c r="AI13" s="28" t="s">
        <v>257</v>
      </c>
      <c r="AJ13" s="28" t="s">
        <v>257</v>
      </c>
      <c r="AK13" s="28" t="s">
        <v>258</v>
      </c>
      <c r="AL13" s="28" t="s">
        <v>259</v>
      </c>
      <c r="AM13" s="27">
        <v>1.0</v>
      </c>
    </row>
    <row r="14">
      <c r="A14" s="27">
        <v>2166575.0</v>
      </c>
      <c r="B14" s="28" t="s">
        <v>147</v>
      </c>
      <c r="C14" s="27">
        <v>2.20009926E9</v>
      </c>
      <c r="D14" s="27">
        <v>10.0</v>
      </c>
      <c r="E14" s="28" t="s">
        <v>148</v>
      </c>
      <c r="F14" s="28" t="s">
        <v>243</v>
      </c>
      <c r="G14" s="28" t="s">
        <v>260</v>
      </c>
      <c r="H14" s="28" t="s">
        <v>201</v>
      </c>
      <c r="I14" s="27" t="s">
        <v>245</v>
      </c>
      <c r="J14" s="34" t="s">
        <v>254</v>
      </c>
      <c r="K14" s="29" t="s">
        <v>261</v>
      </c>
      <c r="L14" s="5">
        <f>Value(left(vlookup(Z14,dayspo,7,0),1))</f>
        <v>0</v>
      </c>
      <c r="M14" s="28">
        <f>roundup(Y14*'VANVA (Future) Versi 2'!$V$2,0)</f>
        <v>1</v>
      </c>
      <c r="N14" s="28">
        <f>roundup(Y14*'VANVA (Future) Versi 2'!$V$3,0)</f>
        <v>1</v>
      </c>
      <c r="O14" s="28">
        <f>roundup(Y14*'VANVA (Future) Versi 2'!$V$5,0)</f>
        <v>1</v>
      </c>
      <c r="P14" s="28">
        <f>roundup(Y14*'VANVA (Future) Versi 2'!$V$6,0)</f>
        <v>2</v>
      </c>
      <c r="Q14" s="28">
        <f>roundup(Y14*'VANVA (Future) Versi 2'!$V$7,0)</f>
        <v>1</v>
      </c>
      <c r="R14" s="28">
        <f>roundup(Y14*'VANVA (Future) Versi 2'!$V$8,0)</f>
        <v>1</v>
      </c>
      <c r="S14" s="28">
        <f>(value(left(vlookup(Z14,dayspo,19,0),1)))</f>
        <v>0</v>
      </c>
      <c r="T14" s="29">
        <f t="shared" si="1"/>
        <v>7</v>
      </c>
      <c r="U14" s="29">
        <f t="shared" si="2"/>
        <v>2</v>
      </c>
      <c r="V14" s="29" t="s">
        <v>235</v>
      </c>
      <c r="W14" s="28" t="s">
        <v>184</v>
      </c>
      <c r="X14" s="28" t="s">
        <v>186</v>
      </c>
      <c r="Y14" s="27">
        <f t="shared" si="3"/>
        <v>6</v>
      </c>
      <c r="Z14" s="27">
        <v>5.100134084E9</v>
      </c>
      <c r="AA14" s="28" t="s">
        <v>174</v>
      </c>
      <c r="AB14" s="31"/>
      <c r="AC14" s="28" t="s">
        <v>158</v>
      </c>
      <c r="AD14" s="28" t="s">
        <v>175</v>
      </c>
      <c r="AE14" s="28" t="s">
        <v>248</v>
      </c>
      <c r="AF14" s="27">
        <f t="shared" si="4"/>
        <v>5</v>
      </c>
      <c r="AG14" s="27">
        <v>1.0</v>
      </c>
      <c r="AH14" s="28" t="s">
        <v>262</v>
      </c>
      <c r="AI14" s="28" t="s">
        <v>263</v>
      </c>
      <c r="AJ14" s="28" t="s">
        <v>263</v>
      </c>
      <c r="AK14" s="28" t="s">
        <v>264</v>
      </c>
      <c r="AL14" s="28" t="s">
        <v>265</v>
      </c>
      <c r="AM14" s="27">
        <v>1.0</v>
      </c>
    </row>
    <row r="15">
      <c r="A15" s="27">
        <v>2166575.0</v>
      </c>
      <c r="B15" s="28" t="s">
        <v>147</v>
      </c>
      <c r="C15" s="27">
        <v>2.200099382E9</v>
      </c>
      <c r="D15" s="27">
        <v>10.0</v>
      </c>
      <c r="E15" s="28" t="s">
        <v>148</v>
      </c>
      <c r="F15" s="28" t="s">
        <v>149</v>
      </c>
      <c r="G15" s="28" t="s">
        <v>266</v>
      </c>
      <c r="H15" s="28" t="s">
        <v>151</v>
      </c>
      <c r="I15" s="27" t="s">
        <v>193</v>
      </c>
      <c r="J15" s="27" t="s">
        <v>246</v>
      </c>
      <c r="K15" s="29" t="s">
        <v>211</v>
      </c>
      <c r="L15" s="5">
        <f>Value(left(vlookup(Z15,dayspo,7,0),1))</f>
        <v>0</v>
      </c>
      <c r="M15" s="28">
        <f>roundup(Y15*'VANVA (Future) Versi 2'!$V$2,0)</f>
        <v>1</v>
      </c>
      <c r="N15" s="28">
        <f>roundup(Y15*'VANVA (Future) Versi 2'!$V$3,0)</f>
        <v>1</v>
      </c>
      <c r="O15" s="28">
        <f>roundup(Y15*'VANVA (Future) Versi 2'!$V$5,0)</f>
        <v>3</v>
      </c>
      <c r="P15" s="28">
        <f>roundup(Y15*'VANVA (Future) Versi 2'!$V$6,0)</f>
        <v>6</v>
      </c>
      <c r="Q15" s="28">
        <f>roundup(Y15*'VANVA (Future) Versi 2'!$V$7,0)</f>
        <v>4</v>
      </c>
      <c r="R15" s="28">
        <f>roundup(Y15*'VANVA (Future) Versi 2'!$V$8,0)</f>
        <v>1</v>
      </c>
      <c r="S15" s="28">
        <f>(value(left(vlookup(Z15,dayspo,19,0),1)))</f>
        <v>3</v>
      </c>
      <c r="T15" s="29">
        <f t="shared" si="1"/>
        <v>19</v>
      </c>
      <c r="U15" s="29">
        <f t="shared" si="2"/>
        <v>-4</v>
      </c>
      <c r="V15" s="29" t="s">
        <v>267</v>
      </c>
      <c r="W15" s="28" t="s">
        <v>184</v>
      </c>
      <c r="X15" s="28" t="s">
        <v>268</v>
      </c>
      <c r="Y15" s="27">
        <f t="shared" si="3"/>
        <v>25</v>
      </c>
      <c r="Z15" s="27">
        <v>5.100135176E9</v>
      </c>
      <c r="AA15" s="28" t="s">
        <v>174</v>
      </c>
      <c r="AB15" s="31"/>
      <c r="AC15" s="28" t="s">
        <v>158</v>
      </c>
      <c r="AD15" s="28" t="s">
        <v>175</v>
      </c>
      <c r="AE15" s="28" t="s">
        <v>269</v>
      </c>
      <c r="AF15" s="27">
        <f t="shared" si="4"/>
        <v>23</v>
      </c>
      <c r="AG15" s="27">
        <v>1.0</v>
      </c>
      <c r="AH15" s="28" t="s">
        <v>270</v>
      </c>
      <c r="AI15" s="28" t="s">
        <v>271</v>
      </c>
      <c r="AJ15" s="28" t="s">
        <v>272</v>
      </c>
      <c r="AK15" s="28" t="s">
        <v>273</v>
      </c>
      <c r="AL15" s="28" t="s">
        <v>274</v>
      </c>
      <c r="AM15" s="27">
        <v>1.0</v>
      </c>
    </row>
    <row r="16">
      <c r="A16" s="27">
        <v>2166575.0</v>
      </c>
      <c r="B16" s="28" t="s">
        <v>147</v>
      </c>
      <c r="C16" s="27">
        <v>2.20009932E9</v>
      </c>
      <c r="D16" s="27">
        <v>10.0</v>
      </c>
      <c r="E16" s="28" t="s">
        <v>148</v>
      </c>
      <c r="F16" s="28" t="s">
        <v>209</v>
      </c>
      <c r="G16" s="28" t="s">
        <v>275</v>
      </c>
      <c r="H16" s="28" t="s">
        <v>168</v>
      </c>
      <c r="I16" s="27" t="s">
        <v>193</v>
      </c>
      <c r="J16" s="27" t="s">
        <v>193</v>
      </c>
      <c r="K16" s="29" t="s">
        <v>211</v>
      </c>
      <c r="L16" s="6">
        <v>1.0</v>
      </c>
      <c r="M16" s="28">
        <f>roundup(Y16*'VANVA (Future) Versi 2'!$V$2,0)</f>
        <v>1</v>
      </c>
      <c r="N16" s="28">
        <f>roundup(Y16*'VANVA (Future) Versi 2'!$V$3,0)</f>
        <v>1</v>
      </c>
      <c r="O16" s="28">
        <f>roundup(Y16*'VANVA (Future) Versi 2'!$V$5,0)</f>
        <v>1</v>
      </c>
      <c r="P16" s="28">
        <f>roundup(Y16*'VANVA (Future) Versi 2'!$V$6,0)</f>
        <v>3</v>
      </c>
      <c r="Q16" s="28">
        <f>roundup(Y16*'VANVA (Future) Versi 2'!$V$7,0)</f>
        <v>2</v>
      </c>
      <c r="R16" s="28">
        <f>roundup(Y16*'VANVA (Future) Versi 2'!$V$8,0)</f>
        <v>1</v>
      </c>
      <c r="S16" s="28">
        <f>roundup(Y16*'VANVA (Future) Versi 2'!$V$9,0)</f>
        <v>3</v>
      </c>
      <c r="T16" s="29">
        <f t="shared" si="1"/>
        <v>13</v>
      </c>
      <c r="U16" s="29">
        <f t="shared" si="2"/>
        <v>3</v>
      </c>
      <c r="V16" s="32">
        <v>45693.0</v>
      </c>
      <c r="W16" s="28" t="s">
        <v>184</v>
      </c>
      <c r="X16" s="28" t="s">
        <v>160</v>
      </c>
      <c r="Y16" s="27">
        <f t="shared" si="3"/>
        <v>11</v>
      </c>
      <c r="Z16" s="27">
        <v>5.100134248E9</v>
      </c>
      <c r="AA16" s="28" t="s">
        <v>174</v>
      </c>
      <c r="AB16" s="31"/>
      <c r="AC16" s="28" t="s">
        <v>158</v>
      </c>
      <c r="AD16" s="28" t="s">
        <v>175</v>
      </c>
      <c r="AE16" s="28" t="s">
        <v>185</v>
      </c>
      <c r="AF16" s="27">
        <f t="shared" si="4"/>
        <v>10</v>
      </c>
      <c r="AG16" s="27">
        <v>1.0</v>
      </c>
      <c r="AH16" s="28" t="s">
        <v>276</v>
      </c>
      <c r="AI16" s="28" t="s">
        <v>277</v>
      </c>
      <c r="AJ16" s="28" t="s">
        <v>278</v>
      </c>
      <c r="AK16" s="28" t="s">
        <v>279</v>
      </c>
      <c r="AL16" s="28" t="s">
        <v>280</v>
      </c>
      <c r="AM16" s="27">
        <v>1.0</v>
      </c>
    </row>
    <row r="17">
      <c r="A17" s="27">
        <v>2166575.0</v>
      </c>
      <c r="B17" s="28" t="s">
        <v>147</v>
      </c>
      <c r="C17" s="27">
        <v>2.200099482E9</v>
      </c>
      <c r="D17" s="27">
        <v>10.0</v>
      </c>
      <c r="E17" s="28" t="s">
        <v>148</v>
      </c>
      <c r="F17" s="28" t="s">
        <v>281</v>
      </c>
      <c r="G17" s="28" t="s">
        <v>282</v>
      </c>
      <c r="H17" s="28" t="s">
        <v>283</v>
      </c>
      <c r="I17" s="27" t="s">
        <v>261</v>
      </c>
      <c r="J17" s="27" t="s">
        <v>284</v>
      </c>
      <c r="K17" s="29" t="s">
        <v>203</v>
      </c>
      <c r="L17" s="5">
        <f>Value(left(vlookup(Z17,dayspo,7,0),1))</f>
        <v>0</v>
      </c>
      <c r="M17" s="28">
        <f>roundup(Y17*'VANVA (Future) Versi 2'!$V$2,0)</f>
        <v>1</v>
      </c>
      <c r="N17" s="28">
        <f>roundup(Y17*'VANVA (Future) Versi 2'!$V$3,0)</f>
        <v>1</v>
      </c>
      <c r="O17" s="28">
        <f>roundup(Y17*'VANVA (Future) Versi 2'!$V$5,0)</f>
        <v>3</v>
      </c>
      <c r="P17" s="28">
        <f>roundup(Y17*'VANVA (Future) Versi 2'!$V$6,0)</f>
        <v>6</v>
      </c>
      <c r="Q17" s="28">
        <f>roundup(Y17*'VANVA (Future) Versi 2'!$V$7,0)</f>
        <v>4</v>
      </c>
      <c r="R17" s="28">
        <f>roundup(Y17*'VANVA (Future) Versi 2'!$V$8,0)</f>
        <v>1</v>
      </c>
      <c r="S17" s="28">
        <f>(value(left(vlookup(Z17,dayspo,19,0),1)))</f>
        <v>2</v>
      </c>
      <c r="T17" s="29">
        <f t="shared" si="1"/>
        <v>18</v>
      </c>
      <c r="U17" s="29">
        <f t="shared" si="2"/>
        <v>13</v>
      </c>
      <c r="V17" s="32">
        <v>45722.0</v>
      </c>
      <c r="W17" s="28" t="s">
        <v>285</v>
      </c>
      <c r="X17" s="28" t="s">
        <v>286</v>
      </c>
      <c r="Y17" s="27">
        <f t="shared" si="3"/>
        <v>27</v>
      </c>
      <c r="Z17" s="27">
        <v>4.100004803E9</v>
      </c>
      <c r="AA17" s="28" t="s">
        <v>174</v>
      </c>
      <c r="AB17" s="31"/>
      <c r="AC17" s="28" t="s">
        <v>158</v>
      </c>
      <c r="AD17" s="28" t="s">
        <v>175</v>
      </c>
      <c r="AE17" s="28" t="s">
        <v>248</v>
      </c>
      <c r="AF17" s="27">
        <f t="shared" si="4"/>
        <v>5</v>
      </c>
      <c r="AG17" s="27">
        <v>1.0</v>
      </c>
      <c r="AH17" s="28" t="s">
        <v>287</v>
      </c>
      <c r="AI17" s="28" t="s">
        <v>288</v>
      </c>
      <c r="AJ17" s="28" t="s">
        <v>288</v>
      </c>
      <c r="AK17" s="28" t="s">
        <v>289</v>
      </c>
      <c r="AL17" s="28" t="s">
        <v>290</v>
      </c>
      <c r="AM17" s="27">
        <v>1.0</v>
      </c>
    </row>
    <row r="18">
      <c r="A18" s="27">
        <v>2166575.0</v>
      </c>
      <c r="B18" s="28" t="s">
        <v>147</v>
      </c>
      <c r="C18" s="27">
        <v>2.200099516E9</v>
      </c>
      <c r="D18" s="27">
        <v>10.0</v>
      </c>
      <c r="E18" s="28" t="s">
        <v>148</v>
      </c>
      <c r="F18" s="28" t="s">
        <v>291</v>
      </c>
      <c r="G18" s="28" t="s">
        <v>292</v>
      </c>
      <c r="H18" s="28" t="s">
        <v>293</v>
      </c>
      <c r="I18" s="27" t="s">
        <v>170</v>
      </c>
      <c r="J18" s="27" t="s">
        <v>294</v>
      </c>
      <c r="K18" s="29" t="s">
        <v>235</v>
      </c>
      <c r="L18" s="5">
        <f>Value(left(vlookup(Z18,dayspo,7,0),1))</f>
        <v>1</v>
      </c>
      <c r="M18" s="28">
        <f>roundup(Y18*'VANVA (Future) Versi 2'!$V$2,0)</f>
        <v>1</v>
      </c>
      <c r="N18" s="28">
        <f>roundup(Y18*'VANVA (Future) Versi 2'!$V$3,0)</f>
        <v>1</v>
      </c>
      <c r="O18" s="28">
        <f>roundup(Y18*'VANVA (Future) Versi 2'!$V$5,0)</f>
        <v>4</v>
      </c>
      <c r="P18" s="28">
        <f>roundup(Y18*'VANVA (Future) Versi 2'!$V$6,0)</f>
        <v>8</v>
      </c>
      <c r="Q18" s="28">
        <f>roundup(Y18*'VANVA (Future) Versi 2'!$V$7,0)</f>
        <v>5</v>
      </c>
      <c r="R18" s="28">
        <f>roundup(Y18*'VANVA (Future) Versi 2'!$V$8,0)</f>
        <v>2</v>
      </c>
      <c r="S18" s="28">
        <f>(value(left(vlookup(Z18,dayspo,19,0),1)))</f>
        <v>2</v>
      </c>
      <c r="T18" s="29">
        <f t="shared" si="1"/>
        <v>24</v>
      </c>
      <c r="U18" s="29">
        <f t="shared" si="2"/>
        <v>8</v>
      </c>
      <c r="V18" s="29" t="s">
        <v>254</v>
      </c>
      <c r="W18" s="28" t="s">
        <v>295</v>
      </c>
      <c r="X18" s="28" t="s">
        <v>296</v>
      </c>
      <c r="Y18" s="27">
        <f t="shared" si="3"/>
        <v>35</v>
      </c>
      <c r="Z18" s="27">
        <v>4.100004817E9</v>
      </c>
      <c r="AA18" s="28" t="s">
        <v>174</v>
      </c>
      <c r="AB18" s="31"/>
      <c r="AC18" s="28" t="s">
        <v>158</v>
      </c>
      <c r="AD18" s="28" t="s">
        <v>175</v>
      </c>
      <c r="AE18" s="28" t="s">
        <v>297</v>
      </c>
      <c r="AF18" s="27">
        <f t="shared" si="4"/>
        <v>16</v>
      </c>
      <c r="AG18" s="27">
        <v>1.0</v>
      </c>
      <c r="AH18" s="28" t="s">
        <v>298</v>
      </c>
      <c r="AI18" s="28" t="s">
        <v>299</v>
      </c>
      <c r="AJ18" s="28" t="s">
        <v>299</v>
      </c>
      <c r="AK18" s="28" t="s">
        <v>300</v>
      </c>
      <c r="AL18" s="28" t="s">
        <v>301</v>
      </c>
      <c r="AM18" s="27">
        <v>1.0</v>
      </c>
    </row>
    <row r="19">
      <c r="A19" s="27">
        <v>2166575.0</v>
      </c>
      <c r="B19" s="28" t="s">
        <v>147</v>
      </c>
      <c r="C19" s="27">
        <v>2.200099686E9</v>
      </c>
      <c r="D19" s="27">
        <v>10.0</v>
      </c>
      <c r="E19" s="28" t="s">
        <v>148</v>
      </c>
      <c r="F19" s="28" t="s">
        <v>199</v>
      </c>
      <c r="G19" s="28" t="s">
        <v>302</v>
      </c>
      <c r="H19" s="28" t="s">
        <v>201</v>
      </c>
      <c r="I19" s="27" t="s">
        <v>235</v>
      </c>
      <c r="J19" s="27" t="s">
        <v>235</v>
      </c>
      <c r="K19" s="32">
        <v>45691.0</v>
      </c>
      <c r="L19" s="5">
        <f>Value(left(vlookup(Z19,dayspo,7,0),1))</f>
        <v>0</v>
      </c>
      <c r="M19" s="28">
        <f>roundup(Y19*'VANVA (Future) Versi 2'!$V$2,0)</f>
        <v>1</v>
      </c>
      <c r="N19" s="28">
        <f>roundup(Y19*'VANVA (Future) Versi 2'!$V$3,0)</f>
        <v>1</v>
      </c>
      <c r="O19" s="28">
        <f>roundup(Y19*'VANVA (Future) Versi 2'!$V$5,0)</f>
        <v>1</v>
      </c>
      <c r="P19" s="28">
        <f>roundup(Y19*'VANVA (Future) Versi 2'!$V$6,0)</f>
        <v>2</v>
      </c>
      <c r="Q19" s="28">
        <f>roundup(Y19*'VANVA (Future) Versi 2'!$V$7,0)</f>
        <v>1</v>
      </c>
      <c r="R19" s="28">
        <f>roundup(Y19*'VANVA (Future) Versi 2'!$V$8,0)</f>
        <v>1</v>
      </c>
      <c r="S19" s="28">
        <f>(value(left(vlookup(Z19,dayspo,19,0),1)))</f>
        <v>3</v>
      </c>
      <c r="T19" s="29">
        <f t="shared" si="1"/>
        <v>10</v>
      </c>
      <c r="U19" s="29">
        <f t="shared" si="2"/>
        <v>4</v>
      </c>
      <c r="V19" s="32">
        <v>45700.0</v>
      </c>
      <c r="W19" s="28" t="s">
        <v>184</v>
      </c>
      <c r="X19" s="28" t="s">
        <v>194</v>
      </c>
      <c r="Y19" s="27">
        <f t="shared" si="3"/>
        <v>7</v>
      </c>
      <c r="Z19" s="27">
        <v>5.100134541E9</v>
      </c>
      <c r="AA19" s="28" t="s">
        <v>174</v>
      </c>
      <c r="AB19" s="31"/>
      <c r="AC19" s="28" t="s">
        <v>158</v>
      </c>
      <c r="AD19" s="28" t="s">
        <v>175</v>
      </c>
      <c r="AE19" s="28" t="s">
        <v>186</v>
      </c>
      <c r="AF19" s="27">
        <f t="shared" si="4"/>
        <v>6</v>
      </c>
      <c r="AG19" s="27">
        <v>1.0</v>
      </c>
      <c r="AH19" s="28" t="s">
        <v>303</v>
      </c>
      <c r="AI19" s="28" t="s">
        <v>304</v>
      </c>
      <c r="AJ19" s="28" t="s">
        <v>304</v>
      </c>
      <c r="AK19" s="28" t="s">
        <v>305</v>
      </c>
      <c r="AL19" s="28" t="s">
        <v>265</v>
      </c>
      <c r="AM19" s="27">
        <v>1.0</v>
      </c>
    </row>
    <row r="20">
      <c r="A20" s="27">
        <v>2166575.0</v>
      </c>
      <c r="B20" s="28" t="s">
        <v>147</v>
      </c>
      <c r="C20" s="27">
        <v>2.200099771E9</v>
      </c>
      <c r="D20" s="27">
        <v>10.0</v>
      </c>
      <c r="E20" s="28" t="s">
        <v>148</v>
      </c>
      <c r="F20" s="28" t="s">
        <v>306</v>
      </c>
      <c r="G20" s="28" t="s">
        <v>307</v>
      </c>
      <c r="H20" s="28" t="s">
        <v>308</v>
      </c>
      <c r="I20" s="27" t="s">
        <v>309</v>
      </c>
      <c r="J20" s="27" t="s">
        <v>309</v>
      </c>
      <c r="K20" s="32">
        <v>45693.0</v>
      </c>
      <c r="L20" s="5">
        <f>Value(left(vlookup(Z20,dayspo,7,0),1))</f>
        <v>0</v>
      </c>
      <c r="M20" s="28">
        <f>roundup(Y20*'VANVA (Future) Versi 2'!$V$2,0)</f>
        <v>1</v>
      </c>
      <c r="N20" s="28">
        <f>roundup(Y20*'VANVA (Future) Versi 2'!$V$3,0)</f>
        <v>1</v>
      </c>
      <c r="O20" s="28">
        <f>roundup(Y20*'VANVA (Future) Versi 2'!$V$5,0)</f>
        <v>1</v>
      </c>
      <c r="P20" s="28">
        <f>roundup(Y20*'VANVA (Future) Versi 2'!$V$6,0)</f>
        <v>2</v>
      </c>
      <c r="Q20" s="28">
        <f>roundup(Y20*'VANVA (Future) Versi 2'!$V$7,0)</f>
        <v>1</v>
      </c>
      <c r="R20" s="28">
        <f>roundup(Y20*'VANVA (Future) Versi 2'!$V$8,0)</f>
        <v>1</v>
      </c>
      <c r="S20" s="28">
        <f>(value(left(vlookup(Z20,dayspo,19,0),1)))</f>
        <v>1</v>
      </c>
      <c r="T20" s="29">
        <f t="shared" si="1"/>
        <v>8</v>
      </c>
      <c r="U20" s="29">
        <f t="shared" si="2"/>
        <v>3</v>
      </c>
      <c r="V20" s="29" t="s">
        <v>154</v>
      </c>
      <c r="W20" s="28" t="s">
        <v>184</v>
      </c>
      <c r="X20" s="28" t="s">
        <v>186</v>
      </c>
      <c r="Y20" s="27">
        <f t="shared" si="3"/>
        <v>6</v>
      </c>
      <c r="Z20" s="27">
        <v>5.100134577E9</v>
      </c>
      <c r="AA20" s="28" t="s">
        <v>174</v>
      </c>
      <c r="AB20" s="31"/>
      <c r="AC20" s="28" t="s">
        <v>158</v>
      </c>
      <c r="AD20" s="28" t="s">
        <v>175</v>
      </c>
      <c r="AE20" s="28" t="s">
        <v>248</v>
      </c>
      <c r="AF20" s="27">
        <f t="shared" si="4"/>
        <v>5</v>
      </c>
      <c r="AG20" s="27">
        <v>1.0</v>
      </c>
      <c r="AH20" s="28" t="s">
        <v>310</v>
      </c>
      <c r="AI20" s="28" t="s">
        <v>311</v>
      </c>
      <c r="AJ20" s="28" t="s">
        <v>311</v>
      </c>
      <c r="AK20" s="28" t="s">
        <v>312</v>
      </c>
      <c r="AL20" s="28" t="s">
        <v>313</v>
      </c>
      <c r="AM20" s="27">
        <v>1.0</v>
      </c>
    </row>
    <row r="21">
      <c r="A21" s="27">
        <v>2166575.0</v>
      </c>
      <c r="B21" s="28" t="s">
        <v>147</v>
      </c>
      <c r="C21" s="27">
        <v>2.200099425E9</v>
      </c>
      <c r="D21" s="27">
        <v>10.0</v>
      </c>
      <c r="E21" s="28" t="s">
        <v>148</v>
      </c>
      <c r="F21" s="28" t="s">
        <v>314</v>
      </c>
      <c r="G21" s="28" t="s">
        <v>315</v>
      </c>
      <c r="H21" s="28" t="s">
        <v>316</v>
      </c>
      <c r="I21" s="27" t="s">
        <v>193</v>
      </c>
      <c r="J21" s="33">
        <v>45718.0</v>
      </c>
      <c r="K21" s="32">
        <v>45695.0</v>
      </c>
      <c r="L21" s="5">
        <f>Value(left(vlookup(Z21,dayspo,7,0),1))</f>
        <v>0</v>
      </c>
      <c r="M21" s="28">
        <f>roundup(Y21*'VANVA (Future) Versi 2'!$V$2,0)</f>
        <v>1</v>
      </c>
      <c r="N21" s="28">
        <f>roundup(Y21*'VANVA (Future) Versi 2'!$V$3,0)</f>
        <v>1</v>
      </c>
      <c r="O21" s="28">
        <f>roundup(Y21*'VANVA (Future) Versi 2'!$V$5,0)</f>
        <v>2</v>
      </c>
      <c r="P21" s="28">
        <f>roundup(Y21*'VANVA (Future) Versi 2'!$V$6,0)</f>
        <v>4</v>
      </c>
      <c r="Q21" s="28">
        <f>roundup(Y21*'VANVA (Future) Versi 2'!$V$7,0)</f>
        <v>2</v>
      </c>
      <c r="R21" s="28">
        <f>roundup(Y21*'VANVA (Future) Versi 2'!$V$8,0)</f>
        <v>1</v>
      </c>
      <c r="S21" s="28">
        <f>(value(left(vlookup(Z21,dayspo,19,0),1)))</f>
        <v>7</v>
      </c>
      <c r="T21" s="29">
        <f t="shared" si="1"/>
        <v>18</v>
      </c>
      <c r="U21" s="29">
        <f t="shared" si="2"/>
        <v>6</v>
      </c>
      <c r="V21" s="32">
        <v>45719.0</v>
      </c>
      <c r="W21" s="28" t="s">
        <v>317</v>
      </c>
      <c r="X21" s="28" t="s">
        <v>297</v>
      </c>
      <c r="Y21" s="27">
        <f t="shared" si="3"/>
        <v>16</v>
      </c>
      <c r="Z21" s="27">
        <v>5.1001353E9</v>
      </c>
      <c r="AA21" s="28" t="s">
        <v>157</v>
      </c>
      <c r="AB21" s="31"/>
      <c r="AC21" s="28" t="s">
        <v>158</v>
      </c>
      <c r="AD21" s="28" t="s">
        <v>159</v>
      </c>
      <c r="AE21" s="28" t="s">
        <v>318</v>
      </c>
      <c r="AF21" s="27">
        <f t="shared" si="4"/>
        <v>12</v>
      </c>
      <c r="AG21" s="27">
        <v>1.0</v>
      </c>
      <c r="AH21" s="28" t="s">
        <v>319</v>
      </c>
      <c r="AI21" s="28" t="s">
        <v>320</v>
      </c>
      <c r="AJ21" s="28" t="s">
        <v>321</v>
      </c>
      <c r="AK21" s="28" t="s">
        <v>322</v>
      </c>
      <c r="AL21" s="28" t="s">
        <v>323</v>
      </c>
      <c r="AM21" s="27">
        <v>1.0</v>
      </c>
    </row>
    <row r="22">
      <c r="A22" s="27">
        <v>2166575.0</v>
      </c>
      <c r="B22" s="28" t="s">
        <v>147</v>
      </c>
      <c r="C22" s="27">
        <v>2.200099511E9</v>
      </c>
      <c r="D22" s="27">
        <v>10.0</v>
      </c>
      <c r="E22" s="28" t="s">
        <v>148</v>
      </c>
      <c r="F22" s="28" t="s">
        <v>149</v>
      </c>
      <c r="G22" s="28" t="s">
        <v>324</v>
      </c>
      <c r="H22" s="28" t="s">
        <v>151</v>
      </c>
      <c r="I22" s="27" t="s">
        <v>261</v>
      </c>
      <c r="J22" s="33">
        <v>45779.0</v>
      </c>
      <c r="K22" s="32">
        <v>45700.0</v>
      </c>
      <c r="L22" s="5">
        <f>Value(left(vlookup(Z22,dayspo,7,0),1))</f>
        <v>0</v>
      </c>
      <c r="M22" s="28">
        <f>roundup(Y22*'VANVA (Future) Versi 2'!$V$2,0)</f>
        <v>1</v>
      </c>
      <c r="N22" s="28">
        <f>roundup(Y22*'VANVA (Future) Versi 2'!$V$3,0)</f>
        <v>1</v>
      </c>
      <c r="O22" s="28">
        <f>roundup(Y22*'VANVA (Future) Versi 2'!$V$5,0)</f>
        <v>2</v>
      </c>
      <c r="P22" s="28">
        <f>roundup(Y22*'VANVA (Future) Versi 2'!$V$6,0)</f>
        <v>3</v>
      </c>
      <c r="Q22" s="28">
        <f>roundup(Y22*'VANVA (Future) Versi 2'!$V$7,0)</f>
        <v>2</v>
      </c>
      <c r="R22" s="28">
        <f>roundup(Y22*'VANVA (Future) Versi 2'!$V$8,0)</f>
        <v>1</v>
      </c>
      <c r="S22" s="28">
        <f>(value(left(vlookup(Z22,dayspo,19,0),1)))</f>
        <v>5</v>
      </c>
      <c r="T22" s="29">
        <f t="shared" si="1"/>
        <v>15</v>
      </c>
      <c r="U22" s="29">
        <f t="shared" si="2"/>
        <v>5</v>
      </c>
      <c r="V22" s="32">
        <v>45719.0</v>
      </c>
      <c r="W22" s="28" t="s">
        <v>155</v>
      </c>
      <c r="X22" s="28" t="s">
        <v>156</v>
      </c>
      <c r="Y22" s="27">
        <f t="shared" si="3"/>
        <v>13</v>
      </c>
      <c r="Z22" s="27">
        <v>5.100135296E9</v>
      </c>
      <c r="AA22" s="28" t="s">
        <v>157</v>
      </c>
      <c r="AB22" s="31"/>
      <c r="AC22" s="28" t="s">
        <v>158</v>
      </c>
      <c r="AD22" s="28" t="s">
        <v>159</v>
      </c>
      <c r="AE22" s="28" t="s">
        <v>185</v>
      </c>
      <c r="AF22" s="27">
        <f t="shared" si="4"/>
        <v>10</v>
      </c>
      <c r="AG22" s="27">
        <v>1.0</v>
      </c>
      <c r="AH22" s="28" t="s">
        <v>325</v>
      </c>
      <c r="AI22" s="28" t="s">
        <v>326</v>
      </c>
      <c r="AJ22" s="28" t="s">
        <v>327</v>
      </c>
      <c r="AK22" s="28" t="s">
        <v>328</v>
      </c>
      <c r="AL22" s="28" t="s">
        <v>329</v>
      </c>
      <c r="AM22" s="27">
        <v>1.0</v>
      </c>
    </row>
    <row r="23">
      <c r="A23" s="27">
        <v>2166575.0</v>
      </c>
      <c r="B23" s="28" t="s">
        <v>147</v>
      </c>
      <c r="C23" s="27">
        <v>2.200099967E9</v>
      </c>
      <c r="D23" s="27">
        <v>10.0</v>
      </c>
      <c r="E23" s="28" t="s">
        <v>148</v>
      </c>
      <c r="F23" s="28" t="s">
        <v>330</v>
      </c>
      <c r="G23" s="28" t="s">
        <v>331</v>
      </c>
      <c r="H23" s="28" t="s">
        <v>332</v>
      </c>
      <c r="I23" s="33">
        <v>45840.0</v>
      </c>
      <c r="J23" s="33">
        <v>45840.0</v>
      </c>
      <c r="K23" s="29" t="s">
        <v>333</v>
      </c>
      <c r="L23" s="5">
        <f>Value(left(vlookup(Z23,dayspo,7,0),1))</f>
        <v>2</v>
      </c>
      <c r="M23" s="28">
        <f>roundup(Y23*'VANVA (Future) Versi 2'!$V$2,0)</f>
        <v>1</v>
      </c>
      <c r="N23" s="28">
        <f>roundup(Y23*'VANVA (Future) Versi 2'!$V$3,0)</f>
        <v>1</v>
      </c>
      <c r="O23" s="28">
        <f>roundup(Y23*'VANVA (Future) Versi 2'!$V$5,0)</f>
        <v>1</v>
      </c>
      <c r="P23" s="28">
        <f>roundup(Y23*'VANVA (Future) Versi 2'!$V$6,0)</f>
        <v>2</v>
      </c>
      <c r="Q23" s="28">
        <f>roundup(Y23*'VANVA (Future) Versi 2'!$V$7,0)</f>
        <v>1</v>
      </c>
      <c r="R23" s="28">
        <f>roundup(Y23*'VANVA (Future) Versi 2'!$V$8,0)</f>
        <v>1</v>
      </c>
      <c r="S23" s="28">
        <f>(value(left(vlookup(Z23,dayspo,19,0),1)))</f>
        <v>1</v>
      </c>
      <c r="T23" s="29">
        <f t="shared" si="1"/>
        <v>10</v>
      </c>
      <c r="U23" s="29">
        <f t="shared" si="2"/>
        <v>3</v>
      </c>
      <c r="V23" s="29" t="s">
        <v>334</v>
      </c>
      <c r="W23" s="28" t="s">
        <v>335</v>
      </c>
      <c r="X23" s="28" t="s">
        <v>194</v>
      </c>
      <c r="Y23" s="27">
        <f t="shared" si="3"/>
        <v>7</v>
      </c>
      <c r="Z23" s="27">
        <v>5.100135373E9</v>
      </c>
      <c r="AA23" s="28" t="s">
        <v>174</v>
      </c>
      <c r="AB23" s="31"/>
      <c r="AC23" s="28" t="s">
        <v>158</v>
      </c>
      <c r="AD23" s="28" t="s">
        <v>175</v>
      </c>
      <c r="AE23" s="28" t="s">
        <v>194</v>
      </c>
      <c r="AF23" s="27">
        <f t="shared" si="4"/>
        <v>7</v>
      </c>
      <c r="AG23" s="27">
        <v>1.0</v>
      </c>
      <c r="AH23" s="28" t="s">
        <v>336</v>
      </c>
      <c r="AI23" s="28" t="s">
        <v>337</v>
      </c>
      <c r="AJ23" s="28" t="s">
        <v>337</v>
      </c>
      <c r="AK23" s="28" t="s">
        <v>338</v>
      </c>
      <c r="AL23" s="28" t="s">
        <v>339</v>
      </c>
      <c r="AM23" s="27">
        <v>1.0</v>
      </c>
    </row>
    <row r="24">
      <c r="A24" s="27">
        <v>2166575.0</v>
      </c>
      <c r="B24" s="28" t="s">
        <v>147</v>
      </c>
      <c r="C24" s="27">
        <v>2.200100292E9</v>
      </c>
      <c r="D24" s="27">
        <v>10.0</v>
      </c>
      <c r="E24" s="28" t="s">
        <v>148</v>
      </c>
      <c r="F24" s="28" t="s">
        <v>243</v>
      </c>
      <c r="G24" s="28" t="s">
        <v>340</v>
      </c>
      <c r="H24" s="28" t="s">
        <v>201</v>
      </c>
      <c r="I24" s="27" t="s">
        <v>341</v>
      </c>
      <c r="J24" s="27" t="s">
        <v>342</v>
      </c>
      <c r="K24" s="29" t="s">
        <v>343</v>
      </c>
      <c r="L24" s="5">
        <f>Value(left(vlookup(Z24,dayspo,7,0),1))</f>
        <v>1</v>
      </c>
      <c r="M24" s="28">
        <f>roundup(Y24*'VANVA (Future) Versi 2'!$V$2,0)</f>
        <v>1</v>
      </c>
      <c r="N24" s="28">
        <f>roundup(Y24*'VANVA (Future) Versi 2'!$V$3,0)</f>
        <v>1</v>
      </c>
      <c r="O24" s="28">
        <f>roundup(Y24*'VANVA (Future) Versi 2'!$V$5,0)</f>
        <v>1</v>
      </c>
      <c r="P24" s="28">
        <f>roundup(Y24*'VANVA (Future) Versi 2'!$V$6,0)</f>
        <v>2</v>
      </c>
      <c r="Q24" s="28">
        <f>roundup(Y24*'VANVA (Future) Versi 2'!$V$7,0)</f>
        <v>1</v>
      </c>
      <c r="R24" s="28">
        <f>roundup(Y24*'VANVA (Future) Versi 2'!$V$8,0)</f>
        <v>1</v>
      </c>
      <c r="S24" s="28">
        <f>(value(left(vlookup(Z24,dayspo,19,0),1)))</f>
        <v>2</v>
      </c>
      <c r="T24" s="29">
        <f t="shared" si="1"/>
        <v>10</v>
      </c>
      <c r="U24" s="29">
        <f t="shared" si="2"/>
        <v>3</v>
      </c>
      <c r="V24" s="32">
        <v>45720.0</v>
      </c>
      <c r="W24" s="28" t="s">
        <v>184</v>
      </c>
      <c r="X24" s="28" t="s">
        <v>176</v>
      </c>
      <c r="Y24" s="27">
        <f t="shared" si="3"/>
        <v>8</v>
      </c>
      <c r="Z24" s="27">
        <v>5.100135548E9</v>
      </c>
      <c r="AA24" s="28" t="s">
        <v>174</v>
      </c>
      <c r="AB24" s="31"/>
      <c r="AC24" s="28" t="s">
        <v>158</v>
      </c>
      <c r="AD24" s="28" t="s">
        <v>175</v>
      </c>
      <c r="AE24" s="28" t="s">
        <v>194</v>
      </c>
      <c r="AF24" s="27">
        <f t="shared" si="4"/>
        <v>7</v>
      </c>
      <c r="AG24" s="27">
        <v>1.0</v>
      </c>
      <c r="AH24" s="28" t="s">
        <v>344</v>
      </c>
      <c r="AI24" s="28" t="s">
        <v>345</v>
      </c>
      <c r="AJ24" s="28" t="s">
        <v>345</v>
      </c>
      <c r="AK24" s="28" t="s">
        <v>346</v>
      </c>
      <c r="AL24" s="28" t="s">
        <v>347</v>
      </c>
      <c r="AM24" s="27">
        <v>1.0</v>
      </c>
    </row>
    <row r="25">
      <c r="A25" s="27">
        <v>2166575.0</v>
      </c>
      <c r="B25" s="28" t="s">
        <v>147</v>
      </c>
      <c r="C25" s="27">
        <v>2.200100293E9</v>
      </c>
      <c r="D25" s="27">
        <v>10.0</v>
      </c>
      <c r="E25" s="28" t="s">
        <v>148</v>
      </c>
      <c r="F25" s="28" t="s">
        <v>209</v>
      </c>
      <c r="G25" s="28" t="s">
        <v>348</v>
      </c>
      <c r="H25" s="28" t="s">
        <v>168</v>
      </c>
      <c r="I25" s="27" t="s">
        <v>341</v>
      </c>
      <c r="J25" s="27" t="s">
        <v>222</v>
      </c>
      <c r="K25" s="29" t="s">
        <v>333</v>
      </c>
      <c r="L25" s="5">
        <f>Value(left(vlookup(Z25,dayspo,7,0),1))</f>
        <v>3</v>
      </c>
      <c r="M25" s="28">
        <f>roundup(Y25*'VANVA (Future) Versi 2'!$V$2,0)</f>
        <v>1</v>
      </c>
      <c r="N25" s="28">
        <f>roundup(Y25*'VANVA (Future) Versi 2'!$V$3,0)</f>
        <v>1</v>
      </c>
      <c r="O25" s="28">
        <f>roundup(Y25*'VANVA (Future) Versi 2'!$V$5,0)</f>
        <v>2</v>
      </c>
      <c r="P25" s="28">
        <f>roundup(Y25*'VANVA (Future) Versi 2'!$V$6,0)</f>
        <v>3</v>
      </c>
      <c r="Q25" s="28">
        <f>roundup(Y25*'VANVA (Future) Versi 2'!$V$7,0)</f>
        <v>2</v>
      </c>
      <c r="R25" s="28">
        <f>roundup(Y25*'VANVA (Future) Versi 2'!$V$8,0)</f>
        <v>1</v>
      </c>
      <c r="S25" s="28">
        <f>(value(left(vlookup(Z25,dayspo,19,0),1)))</f>
        <v>1</v>
      </c>
      <c r="T25" s="29">
        <f t="shared" si="1"/>
        <v>14</v>
      </c>
      <c r="U25" s="29">
        <f t="shared" si="2"/>
        <v>2</v>
      </c>
      <c r="V25" s="32">
        <v>45723.0</v>
      </c>
      <c r="W25" s="28" t="s">
        <v>184</v>
      </c>
      <c r="X25" s="28" t="s">
        <v>156</v>
      </c>
      <c r="Y25" s="27">
        <f t="shared" si="3"/>
        <v>13</v>
      </c>
      <c r="Z25" s="27">
        <v>5.100135702E9</v>
      </c>
      <c r="AA25" s="28" t="s">
        <v>174</v>
      </c>
      <c r="AB25" s="31"/>
      <c r="AC25" s="28" t="s">
        <v>158</v>
      </c>
      <c r="AD25" s="28" t="s">
        <v>175</v>
      </c>
      <c r="AE25" s="28" t="s">
        <v>318</v>
      </c>
      <c r="AF25" s="27">
        <f t="shared" si="4"/>
        <v>12</v>
      </c>
      <c r="AG25" s="27">
        <v>1.0</v>
      </c>
      <c r="AH25" s="28" t="s">
        <v>349</v>
      </c>
      <c r="AI25" s="28" t="s">
        <v>350</v>
      </c>
      <c r="AJ25" s="28" t="s">
        <v>350</v>
      </c>
      <c r="AK25" s="28" t="s">
        <v>351</v>
      </c>
      <c r="AL25" s="28" t="s">
        <v>352</v>
      </c>
      <c r="AM25" s="27">
        <v>1.0</v>
      </c>
    </row>
    <row r="26">
      <c r="A26" s="27">
        <v>2166575.0</v>
      </c>
      <c r="B26" s="28" t="s">
        <v>147</v>
      </c>
      <c r="C26" s="27">
        <v>2.200100274E9</v>
      </c>
      <c r="D26" s="27">
        <v>10.0</v>
      </c>
      <c r="E26" s="28" t="s">
        <v>148</v>
      </c>
      <c r="F26" s="28" t="s">
        <v>330</v>
      </c>
      <c r="G26" s="28" t="s">
        <v>353</v>
      </c>
      <c r="H26" s="28" t="s">
        <v>332</v>
      </c>
      <c r="I26" s="27" t="s">
        <v>354</v>
      </c>
      <c r="J26" s="27" t="s">
        <v>355</v>
      </c>
      <c r="K26" s="29" t="s">
        <v>356</v>
      </c>
      <c r="L26" s="5">
        <f>Value(left(vlookup(Z26,dayspo,7,0),1))</f>
        <v>0</v>
      </c>
      <c r="M26" s="28">
        <f>roundup(Y26*'VANVA (Future) Versi 2'!$V$2,0)</f>
        <v>1</v>
      </c>
      <c r="N26" s="28">
        <f>roundup(Y26*'VANVA (Future) Versi 2'!$V$3,0)</f>
        <v>1</v>
      </c>
      <c r="O26" s="28">
        <f>roundup(Y26*'VANVA (Future) Versi 2'!$V$5,0)</f>
        <v>2</v>
      </c>
      <c r="P26" s="28">
        <f>roundup(Y26*'VANVA (Future) Versi 2'!$V$6,0)</f>
        <v>4</v>
      </c>
      <c r="Q26" s="28">
        <f>roundup(Y26*'VANVA (Future) Versi 2'!$V$7,0)</f>
        <v>2</v>
      </c>
      <c r="R26" s="28">
        <f>roundup(Y26*'VANVA (Future) Versi 2'!$V$8,0)</f>
        <v>1</v>
      </c>
      <c r="S26" s="28">
        <f>(value(left(vlookup(Z26,dayspo,19,0),1)))</f>
        <v>3</v>
      </c>
      <c r="T26" s="29">
        <f t="shared" si="1"/>
        <v>14</v>
      </c>
      <c r="U26" s="29">
        <f t="shared" si="2"/>
        <v>9</v>
      </c>
      <c r="V26" s="29" t="s">
        <v>357</v>
      </c>
      <c r="W26" s="28" t="s">
        <v>358</v>
      </c>
      <c r="X26" s="28" t="s">
        <v>159</v>
      </c>
      <c r="Y26" s="27">
        <f t="shared" si="3"/>
        <v>15</v>
      </c>
      <c r="Z26" s="27">
        <v>5.100138434E9</v>
      </c>
      <c r="AA26" s="28" t="s">
        <v>174</v>
      </c>
      <c r="AB26" s="31"/>
      <c r="AC26" s="28" t="s">
        <v>158</v>
      </c>
      <c r="AD26" s="28" t="s">
        <v>175</v>
      </c>
      <c r="AE26" s="28" t="s">
        <v>248</v>
      </c>
      <c r="AF26" s="27">
        <f t="shared" si="4"/>
        <v>5</v>
      </c>
      <c r="AG26" s="27">
        <v>1.0</v>
      </c>
      <c r="AH26" s="28" t="s">
        <v>359</v>
      </c>
      <c r="AI26" s="28" t="s">
        <v>360</v>
      </c>
      <c r="AJ26" s="28" t="s">
        <v>361</v>
      </c>
      <c r="AK26" s="28" t="s">
        <v>362</v>
      </c>
      <c r="AL26" s="28" t="s">
        <v>363</v>
      </c>
      <c r="AM26" s="27">
        <v>1.0</v>
      </c>
    </row>
    <row r="27">
      <c r="A27" s="27">
        <v>2166575.0</v>
      </c>
      <c r="B27" s="28" t="s">
        <v>147</v>
      </c>
      <c r="C27" s="27">
        <v>2.200100274E9</v>
      </c>
      <c r="D27" s="27">
        <v>30.0</v>
      </c>
      <c r="E27" s="28" t="s">
        <v>148</v>
      </c>
      <c r="F27" s="28" t="s">
        <v>330</v>
      </c>
      <c r="G27" s="28" t="s">
        <v>364</v>
      </c>
      <c r="H27" s="28" t="s">
        <v>332</v>
      </c>
      <c r="I27" s="27" t="s">
        <v>354</v>
      </c>
      <c r="J27" s="27" t="s">
        <v>355</v>
      </c>
      <c r="K27" s="32">
        <v>45816.0</v>
      </c>
      <c r="L27" s="5">
        <f>Value(left(vlookup(Z27,dayspo,7,0),1))</f>
        <v>2</v>
      </c>
      <c r="M27" s="28">
        <f>roundup(Y27*'VANVA (Future) Versi 2'!$V$2,0)</f>
        <v>1</v>
      </c>
      <c r="N27" s="28">
        <f>roundup(Y27*'VANVA (Future) Versi 2'!$V$3,0)</f>
        <v>1</v>
      </c>
      <c r="O27" s="28">
        <f>roundup(Y27*'VANVA (Future) Versi 2'!$V$5,0)</f>
        <v>3</v>
      </c>
      <c r="P27" s="28">
        <f>roundup(Y27*'VANVA (Future) Versi 2'!$V$6,0)</f>
        <v>7</v>
      </c>
      <c r="Q27" s="28">
        <f>roundup(Y27*'VANVA (Future) Versi 2'!$V$7,0)</f>
        <v>4</v>
      </c>
      <c r="R27" s="28">
        <f>roundup(Y27*'VANVA (Future) Versi 2'!$V$8,0)</f>
        <v>1</v>
      </c>
      <c r="S27" s="28">
        <f>(value(left(vlookup(Z27,dayspo,19,0),1)))</f>
        <v>1</v>
      </c>
      <c r="T27" s="29">
        <f t="shared" si="1"/>
        <v>20</v>
      </c>
      <c r="U27" s="29">
        <f t="shared" si="2"/>
        <v>12</v>
      </c>
      <c r="V27" s="29" t="s">
        <v>365</v>
      </c>
      <c r="W27" s="28" t="s">
        <v>358</v>
      </c>
      <c r="X27" s="28" t="s">
        <v>366</v>
      </c>
      <c r="Y27" s="27">
        <f t="shared" si="3"/>
        <v>32</v>
      </c>
      <c r="Z27" s="27">
        <v>5.10014132E9</v>
      </c>
      <c r="AA27" s="28" t="s">
        <v>174</v>
      </c>
      <c r="AB27" s="31"/>
      <c r="AC27" s="28" t="s">
        <v>158</v>
      </c>
      <c r="AD27" s="28" t="s">
        <v>175</v>
      </c>
      <c r="AE27" s="28" t="s">
        <v>176</v>
      </c>
      <c r="AF27" s="27">
        <f t="shared" si="4"/>
        <v>8</v>
      </c>
      <c r="AG27" s="27">
        <v>1.0</v>
      </c>
      <c r="AH27" s="28" t="s">
        <v>367</v>
      </c>
      <c r="AI27" s="28" t="s">
        <v>368</v>
      </c>
      <c r="AJ27" s="28" t="s">
        <v>369</v>
      </c>
      <c r="AK27" s="28" t="s">
        <v>370</v>
      </c>
      <c r="AL27" s="28" t="s">
        <v>371</v>
      </c>
      <c r="AM27" s="27">
        <v>1.0</v>
      </c>
    </row>
    <row r="28">
      <c r="A28" s="27">
        <v>2166575.0</v>
      </c>
      <c r="B28" s="28" t="s">
        <v>147</v>
      </c>
      <c r="C28" s="27">
        <v>2.200100349E9</v>
      </c>
      <c r="D28" s="27">
        <v>10.0</v>
      </c>
      <c r="E28" s="28" t="s">
        <v>148</v>
      </c>
      <c r="F28" s="28" t="s">
        <v>372</v>
      </c>
      <c r="G28" s="28" t="s">
        <v>373</v>
      </c>
      <c r="H28" s="28" t="s">
        <v>308</v>
      </c>
      <c r="I28" s="27" t="s">
        <v>333</v>
      </c>
      <c r="J28" s="27" t="s">
        <v>333</v>
      </c>
      <c r="K28" s="29" t="s">
        <v>246</v>
      </c>
      <c r="L28" s="5">
        <f>Value(left(vlookup(Z28,dayspo,7,0),1))</f>
        <v>2</v>
      </c>
      <c r="M28" s="28">
        <f>roundup(Y28*'VANVA (Future) Versi 2'!$V$2,0)</f>
        <v>1</v>
      </c>
      <c r="N28" s="28">
        <f>roundup(Y28*'VANVA (Future) Versi 2'!$V$3,0)</f>
        <v>1</v>
      </c>
      <c r="O28" s="28">
        <f>roundup(Y28*'VANVA (Future) Versi 2'!$V$5,0)</f>
        <v>1</v>
      </c>
      <c r="P28" s="28">
        <f>roundup(Y28*'VANVA (Future) Versi 2'!$V$6,0)</f>
        <v>3</v>
      </c>
      <c r="Q28" s="28">
        <f>roundup(Y28*'VANVA (Future) Versi 2'!$V$7,0)</f>
        <v>2</v>
      </c>
      <c r="R28" s="28">
        <f>roundup(Y28*'VANVA (Future) Versi 2'!$V$8,0)</f>
        <v>1</v>
      </c>
      <c r="S28" s="28">
        <f>(value(left(vlookup(Z28,dayspo,19,0),1)))</f>
        <v>2</v>
      </c>
      <c r="T28" s="29">
        <f t="shared" si="1"/>
        <v>13</v>
      </c>
      <c r="U28" s="29">
        <f t="shared" si="2"/>
        <v>4</v>
      </c>
      <c r="V28" s="32">
        <v>45723.0</v>
      </c>
      <c r="W28" s="28" t="s">
        <v>184</v>
      </c>
      <c r="X28" s="28" t="s">
        <v>185</v>
      </c>
      <c r="Y28" s="27">
        <f t="shared" si="3"/>
        <v>10</v>
      </c>
      <c r="Z28" s="27">
        <v>5.100135641E9</v>
      </c>
      <c r="AA28" s="28" t="s">
        <v>174</v>
      </c>
      <c r="AB28" s="31"/>
      <c r="AC28" s="28" t="s">
        <v>158</v>
      </c>
      <c r="AD28" s="28" t="s">
        <v>175</v>
      </c>
      <c r="AE28" s="28" t="s">
        <v>173</v>
      </c>
      <c r="AF28" s="27">
        <f t="shared" si="4"/>
        <v>9</v>
      </c>
      <c r="AG28" s="27">
        <v>1.0</v>
      </c>
      <c r="AH28" s="28" t="s">
        <v>374</v>
      </c>
      <c r="AI28" s="28" t="s">
        <v>375</v>
      </c>
      <c r="AJ28" s="28" t="s">
        <v>376</v>
      </c>
      <c r="AK28" s="28" t="s">
        <v>377</v>
      </c>
      <c r="AL28" s="28" t="s">
        <v>378</v>
      </c>
      <c r="AM28" s="27">
        <v>1.0</v>
      </c>
    </row>
    <row r="29">
      <c r="A29" s="27">
        <v>2166575.0</v>
      </c>
      <c r="B29" s="28" t="s">
        <v>147</v>
      </c>
      <c r="C29" s="27">
        <v>2.200100309E9</v>
      </c>
      <c r="D29" s="27">
        <v>10.0</v>
      </c>
      <c r="E29" s="28" t="s">
        <v>148</v>
      </c>
      <c r="F29" s="28" t="s">
        <v>379</v>
      </c>
      <c r="G29" s="28" t="s">
        <v>380</v>
      </c>
      <c r="H29" s="28" t="s">
        <v>316</v>
      </c>
      <c r="I29" s="27" t="s">
        <v>381</v>
      </c>
      <c r="J29" s="33">
        <v>45812.0</v>
      </c>
      <c r="K29" s="29" t="s">
        <v>382</v>
      </c>
      <c r="L29" s="5">
        <f>Value(left(vlookup(Z29,dayspo,7,0),1))</f>
        <v>1</v>
      </c>
      <c r="M29" s="28">
        <f>roundup(Y29*'VANVA (Future) Versi 2'!$V$2,0)</f>
        <v>1</v>
      </c>
      <c r="N29" s="28">
        <f>roundup(Y29*'VANVA (Future) Versi 2'!$V$3,0)</f>
        <v>1</v>
      </c>
      <c r="O29" s="28">
        <f>roundup(Y29*'VANVA (Future) Versi 2'!$V$5,0)</f>
        <v>1</v>
      </c>
      <c r="P29" s="28">
        <f>roundup(Y29*'VANVA (Future) Versi 2'!$V$6,0)</f>
        <v>2</v>
      </c>
      <c r="Q29" s="28">
        <f>roundup(Y29*'VANVA (Future) Versi 2'!$V$7,0)</f>
        <v>1</v>
      </c>
      <c r="R29" s="28">
        <f>roundup(Y29*'VANVA (Future) Versi 2'!$V$8,0)</f>
        <v>1</v>
      </c>
      <c r="S29" s="28">
        <f>(value(left(vlookup(Z29,dayspo,19,0),1)))</f>
        <v>1</v>
      </c>
      <c r="T29" s="29">
        <f t="shared" si="1"/>
        <v>9</v>
      </c>
      <c r="U29" s="29">
        <f t="shared" si="2"/>
        <v>2</v>
      </c>
      <c r="V29" s="32">
        <v>45726.0</v>
      </c>
      <c r="W29" s="28" t="s">
        <v>383</v>
      </c>
      <c r="X29" s="28" t="s">
        <v>176</v>
      </c>
      <c r="Y29" s="27">
        <f t="shared" si="3"/>
        <v>8</v>
      </c>
      <c r="Z29" s="27">
        <v>5.100135739E9</v>
      </c>
      <c r="AA29" s="28" t="s">
        <v>157</v>
      </c>
      <c r="AB29" s="31"/>
      <c r="AC29" s="28" t="s">
        <v>158</v>
      </c>
      <c r="AD29" s="28" t="s">
        <v>159</v>
      </c>
      <c r="AE29" s="28" t="s">
        <v>194</v>
      </c>
      <c r="AF29" s="27">
        <f t="shared" si="4"/>
        <v>7</v>
      </c>
      <c r="AG29" s="27">
        <v>1.0</v>
      </c>
      <c r="AH29" s="28" t="s">
        <v>384</v>
      </c>
      <c r="AI29" s="28" t="s">
        <v>385</v>
      </c>
      <c r="AJ29" s="28" t="s">
        <v>386</v>
      </c>
      <c r="AK29" s="28" t="s">
        <v>387</v>
      </c>
      <c r="AL29" s="28" t="s">
        <v>388</v>
      </c>
      <c r="AM29" s="27">
        <v>1.0</v>
      </c>
    </row>
    <row r="30">
      <c r="A30" s="27">
        <v>2166575.0</v>
      </c>
      <c r="B30" s="28" t="s">
        <v>147</v>
      </c>
      <c r="C30" s="27">
        <v>2.200100637E9</v>
      </c>
      <c r="D30" s="27">
        <v>10.0</v>
      </c>
      <c r="E30" s="28" t="s">
        <v>148</v>
      </c>
      <c r="F30" s="28" t="s">
        <v>389</v>
      </c>
      <c r="G30" s="28" t="s">
        <v>390</v>
      </c>
      <c r="H30" s="28" t="s">
        <v>332</v>
      </c>
      <c r="I30" s="27" t="s">
        <v>236</v>
      </c>
      <c r="J30" s="27" t="s">
        <v>391</v>
      </c>
      <c r="K30" s="29" t="s">
        <v>392</v>
      </c>
      <c r="L30" s="5">
        <f>Value(left(vlookup(Z30,dayspo,7,0),1))</f>
        <v>4</v>
      </c>
      <c r="M30" s="28">
        <f>roundup(Y30*'VANVA (Future) Versi 2'!$V$2,0)</f>
        <v>1</v>
      </c>
      <c r="N30" s="28">
        <f>roundup(Y30*'VANVA (Future) Versi 2'!$V$3,0)</f>
        <v>1</v>
      </c>
      <c r="O30" s="28">
        <f>roundup(Y30*'VANVA (Future) Versi 2'!$V$5,0)</f>
        <v>1</v>
      </c>
      <c r="P30" s="28">
        <f>roundup(Y30*'VANVA (Future) Versi 2'!$V$6,0)</f>
        <v>2</v>
      </c>
      <c r="Q30" s="28">
        <f>roundup(Y30*'VANVA (Future) Versi 2'!$V$7,0)</f>
        <v>1</v>
      </c>
      <c r="R30" s="28">
        <f>roundup(Y30*'VANVA (Future) Versi 2'!$V$8,0)</f>
        <v>1</v>
      </c>
      <c r="S30" s="28">
        <f>(value(left(vlookup(Z30,dayspo,19,0),1)))</f>
        <v>0</v>
      </c>
      <c r="T30" s="29">
        <f t="shared" si="1"/>
        <v>11</v>
      </c>
      <c r="U30" s="29">
        <f t="shared" si="2"/>
        <v>4</v>
      </c>
      <c r="V30" s="29" t="s">
        <v>393</v>
      </c>
      <c r="W30" s="28" t="s">
        <v>358</v>
      </c>
      <c r="X30" s="28" t="s">
        <v>176</v>
      </c>
      <c r="Y30" s="27">
        <f t="shared" si="3"/>
        <v>8</v>
      </c>
      <c r="Z30" s="27">
        <v>5.100136776E9</v>
      </c>
      <c r="AA30" s="28" t="s">
        <v>174</v>
      </c>
      <c r="AB30" s="31"/>
      <c r="AC30" s="28" t="s">
        <v>158</v>
      </c>
      <c r="AD30" s="28" t="s">
        <v>175</v>
      </c>
      <c r="AE30" s="28" t="s">
        <v>194</v>
      </c>
      <c r="AF30" s="27">
        <f t="shared" si="4"/>
        <v>7</v>
      </c>
      <c r="AG30" s="27">
        <v>1.0</v>
      </c>
      <c r="AH30" s="28" t="s">
        <v>394</v>
      </c>
      <c r="AI30" s="28" t="s">
        <v>395</v>
      </c>
      <c r="AJ30" s="28" t="s">
        <v>395</v>
      </c>
      <c r="AK30" s="28" t="s">
        <v>396</v>
      </c>
      <c r="AL30" s="28" t="s">
        <v>397</v>
      </c>
      <c r="AM30" s="27">
        <v>1.0</v>
      </c>
    </row>
    <row r="31">
      <c r="A31" s="27">
        <v>2166575.0</v>
      </c>
      <c r="B31" s="28" t="s">
        <v>147</v>
      </c>
      <c r="C31" s="27">
        <v>2.200100969E9</v>
      </c>
      <c r="D31" s="27">
        <v>10.0</v>
      </c>
      <c r="E31" s="28" t="s">
        <v>148</v>
      </c>
      <c r="F31" s="28" t="s">
        <v>219</v>
      </c>
      <c r="G31" s="28" t="s">
        <v>398</v>
      </c>
      <c r="H31" s="28" t="s">
        <v>221</v>
      </c>
      <c r="I31" s="33">
        <v>45933.0</v>
      </c>
      <c r="J31" s="27" t="s">
        <v>355</v>
      </c>
      <c r="K31" s="32">
        <v>45727.0</v>
      </c>
      <c r="L31" s="5">
        <f>Value(left(vlookup(Z31,dayspo,7,0),1))</f>
        <v>3</v>
      </c>
      <c r="M31" s="28">
        <f>roundup(Y31*'VANVA (Future) Versi 2'!$V$2,0)</f>
        <v>1</v>
      </c>
      <c r="N31" s="28">
        <f>roundup(Y31*'VANVA (Future) Versi 2'!$V$3,0)</f>
        <v>1</v>
      </c>
      <c r="O31" s="28">
        <f>roundup(Y31*'VANVA (Future) Versi 2'!$V$5,0)</f>
        <v>2</v>
      </c>
      <c r="P31" s="28">
        <f>roundup(Y31*'VANVA (Future) Versi 2'!$V$6,0)</f>
        <v>4</v>
      </c>
      <c r="Q31" s="28">
        <f>roundup(Y31*'VANVA (Future) Versi 2'!$V$7,0)</f>
        <v>3</v>
      </c>
      <c r="R31" s="28">
        <f>roundup(Y31*'VANVA (Future) Versi 2'!$V$8,0)</f>
        <v>1</v>
      </c>
      <c r="S31" s="28">
        <f>(value(left(vlookup(Z31,dayspo,19,0),1)))</f>
        <v>6</v>
      </c>
      <c r="T31" s="29">
        <f t="shared" si="1"/>
        <v>21</v>
      </c>
      <c r="U31" s="29">
        <f t="shared" si="2"/>
        <v>4</v>
      </c>
      <c r="V31" s="29" t="s">
        <v>399</v>
      </c>
      <c r="W31" s="28" t="s">
        <v>400</v>
      </c>
      <c r="X31" s="28" t="s">
        <v>401</v>
      </c>
      <c r="Y31" s="27">
        <f t="shared" si="3"/>
        <v>18</v>
      </c>
      <c r="Z31" s="27">
        <v>5.100136843E9</v>
      </c>
      <c r="AA31" s="28" t="s">
        <v>174</v>
      </c>
      <c r="AB31" s="31"/>
      <c r="AC31" s="28" t="s">
        <v>158</v>
      </c>
      <c r="AD31" s="28" t="s">
        <v>175</v>
      </c>
      <c r="AE31" s="28" t="s">
        <v>402</v>
      </c>
      <c r="AF31" s="27">
        <f t="shared" si="4"/>
        <v>17</v>
      </c>
      <c r="AG31" s="27">
        <v>1.0</v>
      </c>
      <c r="AH31" s="28" t="s">
        <v>403</v>
      </c>
      <c r="AI31" s="28" t="s">
        <v>404</v>
      </c>
      <c r="AJ31" s="28" t="s">
        <v>405</v>
      </c>
      <c r="AK31" s="28" t="s">
        <v>406</v>
      </c>
      <c r="AL31" s="28" t="s">
        <v>407</v>
      </c>
      <c r="AM31" s="27">
        <v>1.0</v>
      </c>
    </row>
    <row r="32">
      <c r="A32" s="27">
        <v>2166575.0</v>
      </c>
      <c r="B32" s="28" t="s">
        <v>147</v>
      </c>
      <c r="C32" s="27">
        <v>2.20010106E9</v>
      </c>
      <c r="D32" s="27">
        <v>10.0</v>
      </c>
      <c r="E32" s="28" t="s">
        <v>148</v>
      </c>
      <c r="F32" s="28" t="s">
        <v>243</v>
      </c>
      <c r="G32" s="28" t="s">
        <v>408</v>
      </c>
      <c r="H32" s="28" t="s">
        <v>201</v>
      </c>
      <c r="I32" s="33">
        <v>45964.0</v>
      </c>
      <c r="J32" s="27" t="s">
        <v>342</v>
      </c>
      <c r="K32" s="29" t="s">
        <v>409</v>
      </c>
      <c r="L32" s="5">
        <f>Value(left(vlookup(Z32,dayspo,7,0),1))</f>
        <v>1</v>
      </c>
      <c r="M32" s="28">
        <f>roundup(Y32*'VANVA (Future) Versi 2'!$V$2,0)</f>
        <v>1</v>
      </c>
      <c r="N32" s="28">
        <f>roundup(Y32*'VANVA (Future) Versi 2'!$V$3,0)</f>
        <v>1</v>
      </c>
      <c r="O32" s="28">
        <f>roundup(Y32*'VANVA (Future) Versi 2'!$V$5,0)</f>
        <v>1</v>
      </c>
      <c r="P32" s="28">
        <f>roundup(Y32*'VANVA (Future) Versi 2'!$V$6,0)</f>
        <v>3</v>
      </c>
      <c r="Q32" s="28">
        <f>roundup(Y32*'VANVA (Future) Versi 2'!$V$7,0)</f>
        <v>2</v>
      </c>
      <c r="R32" s="28">
        <f>roundup(Y32*'VANVA (Future) Versi 2'!$V$8,0)</f>
        <v>1</v>
      </c>
      <c r="S32" s="28">
        <f>(value(left(vlookup(Z32,dayspo,19,0),1)))</f>
        <v>2</v>
      </c>
      <c r="T32" s="29">
        <f t="shared" si="1"/>
        <v>12</v>
      </c>
      <c r="U32" s="29">
        <f t="shared" si="2"/>
        <v>9</v>
      </c>
      <c r="V32" s="29" t="s">
        <v>393</v>
      </c>
      <c r="W32" s="28" t="s">
        <v>184</v>
      </c>
      <c r="X32" s="28" t="s">
        <v>185</v>
      </c>
      <c r="Y32" s="27">
        <f t="shared" si="3"/>
        <v>10</v>
      </c>
      <c r="Z32" s="27">
        <v>5.100136775E9</v>
      </c>
      <c r="AA32" s="28" t="s">
        <v>174</v>
      </c>
      <c r="AB32" s="31"/>
      <c r="AC32" s="28" t="s">
        <v>158</v>
      </c>
      <c r="AD32" s="28" t="s">
        <v>175</v>
      </c>
      <c r="AE32" s="28" t="s">
        <v>410</v>
      </c>
      <c r="AF32" s="27">
        <f t="shared" si="4"/>
        <v>3</v>
      </c>
      <c r="AG32" s="27">
        <v>1.0</v>
      </c>
      <c r="AH32" s="28" t="s">
        <v>411</v>
      </c>
      <c r="AI32" s="28" t="s">
        <v>412</v>
      </c>
      <c r="AJ32" s="28" t="s">
        <v>413</v>
      </c>
      <c r="AK32" s="28" t="s">
        <v>414</v>
      </c>
      <c r="AL32" s="28" t="s">
        <v>415</v>
      </c>
      <c r="AM32" s="27">
        <v>1.0</v>
      </c>
    </row>
    <row r="33">
      <c r="A33" s="27">
        <v>2166575.0</v>
      </c>
      <c r="B33" s="28" t="s">
        <v>147</v>
      </c>
      <c r="C33" s="27">
        <v>2.200101428E9</v>
      </c>
      <c r="D33" s="27">
        <v>10.0</v>
      </c>
      <c r="E33" s="28" t="s">
        <v>148</v>
      </c>
      <c r="F33" s="28" t="s">
        <v>314</v>
      </c>
      <c r="G33" s="28" t="s">
        <v>416</v>
      </c>
      <c r="H33" s="28" t="s">
        <v>316</v>
      </c>
      <c r="I33" s="27" t="s">
        <v>342</v>
      </c>
      <c r="J33" s="27" t="s">
        <v>222</v>
      </c>
      <c r="K33" s="29" t="s">
        <v>417</v>
      </c>
      <c r="L33" s="5">
        <f>Value(left(vlookup(Z33,dayspo,7,0),1))</f>
        <v>1</v>
      </c>
      <c r="M33" s="28">
        <f>roundup(Y33*'VANVA (Future) Versi 2'!$V$2,0)</f>
        <v>1</v>
      </c>
      <c r="N33" s="28">
        <f>roundup(Y33*'VANVA (Future) Versi 2'!$V$3,0)</f>
        <v>1</v>
      </c>
      <c r="O33" s="28">
        <f>roundup(Y33*'VANVA (Future) Versi 2'!$V$5,0)</f>
        <v>1</v>
      </c>
      <c r="P33" s="28">
        <f>roundup(Y33*'VANVA (Future) Versi 2'!$V$6,0)</f>
        <v>2</v>
      </c>
      <c r="Q33" s="28">
        <f>roundup(Y33*'VANVA (Future) Versi 2'!$V$7,0)</f>
        <v>1</v>
      </c>
      <c r="R33" s="28">
        <f>roundup(Y33*'VANVA (Future) Versi 2'!$V$8,0)</f>
        <v>1</v>
      </c>
      <c r="S33" s="28">
        <f>(value(left(vlookup(Z33,dayspo,19,0),1)))</f>
        <v>0</v>
      </c>
      <c r="T33" s="29">
        <f t="shared" si="1"/>
        <v>8</v>
      </c>
      <c r="U33" s="29">
        <f t="shared" si="2"/>
        <v>3</v>
      </c>
      <c r="V33" s="29" t="s">
        <v>393</v>
      </c>
      <c r="W33" s="28" t="s">
        <v>184</v>
      </c>
      <c r="X33" s="28" t="s">
        <v>186</v>
      </c>
      <c r="Y33" s="27">
        <f t="shared" si="3"/>
        <v>6</v>
      </c>
      <c r="Z33" s="27">
        <v>5.100136768E9</v>
      </c>
      <c r="AA33" s="28" t="s">
        <v>174</v>
      </c>
      <c r="AB33" s="31"/>
      <c r="AC33" s="28" t="s">
        <v>158</v>
      </c>
      <c r="AD33" s="28" t="s">
        <v>175</v>
      </c>
      <c r="AE33" s="28" t="s">
        <v>248</v>
      </c>
      <c r="AF33" s="27">
        <f t="shared" si="4"/>
        <v>5</v>
      </c>
      <c r="AG33" s="27">
        <v>1.0</v>
      </c>
      <c r="AH33" s="28" t="s">
        <v>418</v>
      </c>
      <c r="AI33" s="28" t="s">
        <v>419</v>
      </c>
      <c r="AJ33" s="28" t="s">
        <v>420</v>
      </c>
      <c r="AK33" s="28" t="s">
        <v>421</v>
      </c>
      <c r="AL33" s="28" t="s">
        <v>422</v>
      </c>
      <c r="AM33" s="27">
        <v>1.0</v>
      </c>
    </row>
    <row r="34">
      <c r="A34" s="27">
        <v>2166575.0</v>
      </c>
      <c r="B34" s="28" t="s">
        <v>147</v>
      </c>
      <c r="C34" s="27">
        <v>2.200101457E9</v>
      </c>
      <c r="D34" s="27">
        <v>10.0</v>
      </c>
      <c r="E34" s="28" t="s">
        <v>148</v>
      </c>
      <c r="F34" s="28" t="s">
        <v>423</v>
      </c>
      <c r="G34" s="28" t="s">
        <v>424</v>
      </c>
      <c r="H34" s="28" t="s">
        <v>316</v>
      </c>
      <c r="I34" s="27" t="s">
        <v>417</v>
      </c>
      <c r="J34" s="27" t="s">
        <v>222</v>
      </c>
      <c r="K34" s="32">
        <v>45783.0</v>
      </c>
      <c r="L34" s="5">
        <f>Value(left(vlookup(Z34,dayspo,7,0),1))</f>
        <v>0</v>
      </c>
      <c r="M34" s="28">
        <f>roundup(Y34*'VANVA (Future) Versi 2'!$V$2,0)</f>
        <v>1</v>
      </c>
      <c r="N34" s="28">
        <f>roundup(Y34*'VANVA (Future) Versi 2'!$V$3,0)</f>
        <v>1</v>
      </c>
      <c r="O34" s="28">
        <f>roundup(Y34*'VANVA (Future) Versi 2'!$V$5,0)</f>
        <v>1</v>
      </c>
      <c r="P34" s="28">
        <f>roundup(Y34*'VANVA (Future) Versi 2'!$V$6,0)</f>
        <v>1</v>
      </c>
      <c r="Q34" s="28">
        <f>roundup(Y34*'VANVA (Future) Versi 2'!$V$7,0)</f>
        <v>1</v>
      </c>
      <c r="R34" s="28">
        <f>roundup(Y34*'VANVA (Future) Versi 2'!$V$8,0)</f>
        <v>1</v>
      </c>
      <c r="S34" s="28">
        <f>(value(left(vlookup(Z34,dayspo,19,0),1)))</f>
        <v>1</v>
      </c>
      <c r="T34" s="29">
        <f t="shared" si="1"/>
        <v>7</v>
      </c>
      <c r="U34" s="29">
        <f t="shared" si="2"/>
        <v>3</v>
      </c>
      <c r="V34" s="29" t="s">
        <v>425</v>
      </c>
      <c r="W34" s="28" t="s">
        <v>184</v>
      </c>
      <c r="X34" s="28" t="s">
        <v>255</v>
      </c>
      <c r="Y34" s="27">
        <f t="shared" si="3"/>
        <v>4</v>
      </c>
      <c r="Z34" s="27">
        <v>5.10013829E9</v>
      </c>
      <c r="AA34" s="28" t="s">
        <v>174</v>
      </c>
      <c r="AB34" s="31"/>
      <c r="AC34" s="28" t="s">
        <v>158</v>
      </c>
      <c r="AD34" s="28" t="s">
        <v>175</v>
      </c>
      <c r="AE34" s="28" t="s">
        <v>255</v>
      </c>
      <c r="AF34" s="27">
        <f t="shared" si="4"/>
        <v>4</v>
      </c>
      <c r="AG34" s="27">
        <v>1.0</v>
      </c>
      <c r="AH34" s="28" t="s">
        <v>426</v>
      </c>
      <c r="AI34" s="28" t="s">
        <v>427</v>
      </c>
      <c r="AJ34" s="28" t="s">
        <v>428</v>
      </c>
      <c r="AK34" s="28" t="s">
        <v>429</v>
      </c>
      <c r="AL34" s="28" t="s">
        <v>430</v>
      </c>
      <c r="AM34" s="27">
        <v>1.0</v>
      </c>
    </row>
    <row r="35">
      <c r="A35" s="27">
        <v>2166575.0</v>
      </c>
      <c r="B35" s="28" t="s">
        <v>147</v>
      </c>
      <c r="C35" s="27">
        <v>2.200101315E9</v>
      </c>
      <c r="D35" s="27">
        <v>10.0</v>
      </c>
      <c r="E35" s="28" t="s">
        <v>148</v>
      </c>
      <c r="F35" s="28" t="s">
        <v>219</v>
      </c>
      <c r="G35" s="28" t="s">
        <v>431</v>
      </c>
      <c r="H35" s="28" t="s">
        <v>221</v>
      </c>
      <c r="I35" s="27" t="s">
        <v>392</v>
      </c>
      <c r="J35" s="27" t="s">
        <v>432</v>
      </c>
      <c r="K35" s="29" t="s">
        <v>433</v>
      </c>
      <c r="L35" s="5">
        <f>Value(left(vlookup(Z35,dayspo,7,0),1))</f>
        <v>0</v>
      </c>
      <c r="M35" s="28">
        <f>roundup(Y35*'VANVA (Future) Versi 2'!$V$2,0)</f>
        <v>1</v>
      </c>
      <c r="N35" s="28">
        <f>roundup(Y35*'VANVA (Future) Versi 2'!$V$3,0)</f>
        <v>1</v>
      </c>
      <c r="O35" s="28">
        <f>roundup(Y35*'VANVA (Future) Versi 2'!$V$5,0)</f>
        <v>2</v>
      </c>
      <c r="P35" s="28">
        <f>roundup(Y35*'VANVA (Future) Versi 2'!$V$6,0)</f>
        <v>3</v>
      </c>
      <c r="Q35" s="28">
        <f>roundup(Y35*'VANVA (Future) Versi 2'!$V$7,0)</f>
        <v>2</v>
      </c>
      <c r="R35" s="28">
        <f>roundup(Y35*'VANVA (Future) Versi 2'!$V$8,0)</f>
        <v>1</v>
      </c>
      <c r="S35" s="28">
        <f>(value(left(vlookup(Z35,dayspo,19,0),1)))</f>
        <v>4</v>
      </c>
      <c r="T35" s="29">
        <f t="shared" si="1"/>
        <v>14</v>
      </c>
      <c r="U35" s="29">
        <f t="shared" si="2"/>
        <v>5</v>
      </c>
      <c r="V35" s="29" t="s">
        <v>434</v>
      </c>
      <c r="W35" s="28" t="s">
        <v>435</v>
      </c>
      <c r="X35" s="28" t="s">
        <v>156</v>
      </c>
      <c r="Y35" s="27">
        <f t="shared" si="3"/>
        <v>13</v>
      </c>
      <c r="Z35" s="27">
        <v>5.100137063E9</v>
      </c>
      <c r="AA35" s="28" t="s">
        <v>157</v>
      </c>
      <c r="AB35" s="31"/>
      <c r="AC35" s="28" t="s">
        <v>158</v>
      </c>
      <c r="AD35" s="28" t="s">
        <v>159</v>
      </c>
      <c r="AE35" s="28" t="s">
        <v>173</v>
      </c>
      <c r="AF35" s="27">
        <f t="shared" si="4"/>
        <v>9</v>
      </c>
      <c r="AG35" s="27">
        <v>1.0</v>
      </c>
      <c r="AH35" s="28" t="s">
        <v>436</v>
      </c>
      <c r="AI35" s="28" t="s">
        <v>437</v>
      </c>
      <c r="AJ35" s="28" t="s">
        <v>438</v>
      </c>
      <c r="AK35" s="28" t="s">
        <v>439</v>
      </c>
      <c r="AL35" s="28" t="s">
        <v>440</v>
      </c>
      <c r="AM35" s="27">
        <v>1.0</v>
      </c>
    </row>
    <row r="36">
      <c r="A36" s="27">
        <v>2166575.0</v>
      </c>
      <c r="B36" s="28" t="s">
        <v>147</v>
      </c>
      <c r="C36" s="27">
        <v>2.200101462E9</v>
      </c>
      <c r="D36" s="27">
        <v>10.0</v>
      </c>
      <c r="E36" s="28" t="s">
        <v>148</v>
      </c>
      <c r="F36" s="28" t="s">
        <v>219</v>
      </c>
      <c r="G36" s="28" t="s">
        <v>441</v>
      </c>
      <c r="H36" s="28" t="s">
        <v>221</v>
      </c>
      <c r="I36" s="27" t="s">
        <v>417</v>
      </c>
      <c r="J36" s="27" t="s">
        <v>432</v>
      </c>
      <c r="K36" s="29" t="s">
        <v>393</v>
      </c>
      <c r="L36" s="5">
        <f>Value(left(vlookup(Z36,dayspo,7,0),1))</f>
        <v>0</v>
      </c>
      <c r="M36" s="28">
        <f>roundup(Y36*'VANVA (Future) Versi 2'!$V$2,0)</f>
        <v>1</v>
      </c>
      <c r="N36" s="28">
        <f>roundup(Y36*'VANVA (Future) Versi 2'!$V$3,0)</f>
        <v>1</v>
      </c>
      <c r="O36" s="28">
        <f>roundup(Y36*'VANVA (Future) Versi 2'!$V$5,0)</f>
        <v>2</v>
      </c>
      <c r="P36" s="28">
        <f>roundup(Y36*'VANVA (Future) Versi 2'!$V$6,0)</f>
        <v>5</v>
      </c>
      <c r="Q36" s="28">
        <f>roundup(Y36*'VANVA (Future) Versi 2'!$V$7,0)</f>
        <v>3</v>
      </c>
      <c r="R36" s="28">
        <f>roundup(Y36*'VANVA (Future) Versi 2'!$V$8,0)</f>
        <v>1</v>
      </c>
      <c r="S36" s="28">
        <f>(value(left(vlookup(Z36,dayspo,19,0),1)))</f>
        <v>2</v>
      </c>
      <c r="T36" s="29">
        <f t="shared" si="1"/>
        <v>15</v>
      </c>
      <c r="U36" s="29">
        <f t="shared" si="2"/>
        <v>7</v>
      </c>
      <c r="V36" s="32">
        <v>45786.0</v>
      </c>
      <c r="W36" s="28" t="s">
        <v>442</v>
      </c>
      <c r="X36" s="28" t="s">
        <v>443</v>
      </c>
      <c r="Y36" s="27">
        <f t="shared" si="3"/>
        <v>22</v>
      </c>
      <c r="Z36" s="27">
        <v>5.10013822E9</v>
      </c>
      <c r="AA36" s="28" t="s">
        <v>157</v>
      </c>
      <c r="AB36" s="31"/>
      <c r="AC36" s="28" t="s">
        <v>158</v>
      </c>
      <c r="AD36" s="28" t="s">
        <v>159</v>
      </c>
      <c r="AE36" s="28" t="s">
        <v>176</v>
      </c>
      <c r="AF36" s="27">
        <f t="shared" si="4"/>
        <v>8</v>
      </c>
      <c r="AG36" s="27">
        <v>1.0</v>
      </c>
      <c r="AH36" s="28" t="s">
        <v>444</v>
      </c>
      <c r="AI36" s="28" t="s">
        <v>445</v>
      </c>
      <c r="AJ36" s="28" t="s">
        <v>446</v>
      </c>
      <c r="AK36" s="28" t="s">
        <v>447</v>
      </c>
      <c r="AL36" s="28" t="s">
        <v>448</v>
      </c>
      <c r="AM36" s="27">
        <v>1.0</v>
      </c>
    </row>
    <row r="37">
      <c r="A37" s="27">
        <v>2166575.0</v>
      </c>
      <c r="B37" s="28" t="s">
        <v>147</v>
      </c>
      <c r="C37" s="27">
        <v>2.200101239E9</v>
      </c>
      <c r="D37" s="27">
        <v>10.0</v>
      </c>
      <c r="E37" s="28" t="s">
        <v>148</v>
      </c>
      <c r="F37" s="28" t="s">
        <v>199</v>
      </c>
      <c r="G37" s="28" t="s">
        <v>449</v>
      </c>
      <c r="H37" s="28" t="s">
        <v>201</v>
      </c>
      <c r="I37" s="27" t="s">
        <v>450</v>
      </c>
      <c r="J37" s="27" t="s">
        <v>432</v>
      </c>
      <c r="K37" s="29" t="s">
        <v>451</v>
      </c>
      <c r="L37" s="5">
        <f>Value(left(vlookup(Z37,dayspo,7,0),1))</f>
        <v>0</v>
      </c>
      <c r="M37" s="28">
        <f>roundup(Y37*'VANVA (Future) Versi 2'!$V$2,0)</f>
        <v>1</v>
      </c>
      <c r="N37" s="28">
        <f>roundup(Y37*'VANVA (Future) Versi 2'!$V$3,0)</f>
        <v>1</v>
      </c>
      <c r="O37" s="28">
        <f>roundup(Y37*'VANVA (Future) Versi 2'!$V$5,0)</f>
        <v>2</v>
      </c>
      <c r="P37" s="28">
        <f>roundup(Y37*'VANVA (Future) Versi 2'!$V$6,0)</f>
        <v>5</v>
      </c>
      <c r="Q37" s="28">
        <f>roundup(Y37*'VANVA (Future) Versi 2'!$V$7,0)</f>
        <v>3</v>
      </c>
      <c r="R37" s="28">
        <f>roundup(Y37*'VANVA (Future) Versi 2'!$V$8,0)</f>
        <v>1</v>
      </c>
      <c r="S37" s="28">
        <f>(value(left(vlookup(Z37,dayspo,19,0),1)))</f>
        <v>4</v>
      </c>
      <c r="T37" s="29">
        <f t="shared" si="1"/>
        <v>17</v>
      </c>
      <c r="U37" s="29">
        <f t="shared" si="2"/>
        <v>3</v>
      </c>
      <c r="V37" s="32">
        <v>45785.0</v>
      </c>
      <c r="W37" s="28" t="s">
        <v>452</v>
      </c>
      <c r="X37" s="28" t="s">
        <v>443</v>
      </c>
      <c r="Y37" s="27">
        <f t="shared" si="3"/>
        <v>22</v>
      </c>
      <c r="Z37" s="27">
        <v>5.100138109E9</v>
      </c>
      <c r="AA37" s="28" t="s">
        <v>174</v>
      </c>
      <c r="AB37" s="31"/>
      <c r="AC37" s="28" t="s">
        <v>158</v>
      </c>
      <c r="AD37" s="28" t="s">
        <v>175</v>
      </c>
      <c r="AE37" s="28" t="s">
        <v>223</v>
      </c>
      <c r="AF37" s="27">
        <f t="shared" si="4"/>
        <v>14</v>
      </c>
      <c r="AG37" s="27">
        <v>1.0</v>
      </c>
      <c r="AH37" s="28" t="s">
        <v>453</v>
      </c>
      <c r="AI37" s="28" t="s">
        <v>454</v>
      </c>
      <c r="AJ37" s="28" t="s">
        <v>455</v>
      </c>
      <c r="AK37" s="28" t="s">
        <v>456</v>
      </c>
      <c r="AL37" s="28" t="s">
        <v>457</v>
      </c>
      <c r="AM37" s="27">
        <v>1.0</v>
      </c>
    </row>
    <row r="38">
      <c r="A38" s="27">
        <v>2166575.0</v>
      </c>
      <c r="B38" s="28" t="s">
        <v>147</v>
      </c>
      <c r="C38" s="27">
        <v>2.200101803E9</v>
      </c>
      <c r="D38" s="27">
        <v>10.0</v>
      </c>
      <c r="E38" s="28" t="s">
        <v>148</v>
      </c>
      <c r="F38" s="28" t="s">
        <v>458</v>
      </c>
      <c r="G38" s="28" t="s">
        <v>459</v>
      </c>
      <c r="H38" s="28" t="s">
        <v>332</v>
      </c>
      <c r="I38" s="27" t="s">
        <v>451</v>
      </c>
      <c r="J38" s="27" t="s">
        <v>451</v>
      </c>
      <c r="K38" s="29" t="s">
        <v>460</v>
      </c>
      <c r="L38" s="5">
        <f>Value(left(vlookup(Z38,dayspo,7,0),1))</f>
        <v>0</v>
      </c>
      <c r="M38" s="28">
        <f>roundup(Y38*'VANVA (Future) Versi 2'!$V$2,0)</f>
        <v>1</v>
      </c>
      <c r="N38" s="28">
        <f>roundup(Y38*'VANVA (Future) Versi 2'!$V$3,0)</f>
        <v>1</v>
      </c>
      <c r="O38" s="28">
        <f>roundup(Y38*'VANVA (Future) Versi 2'!$V$5,0)</f>
        <v>3</v>
      </c>
      <c r="P38" s="28">
        <f>roundup(Y38*'VANVA (Future) Versi 2'!$V$6,0)</f>
        <v>6</v>
      </c>
      <c r="Q38" s="28">
        <f>roundup(Y38*'VANVA (Future) Versi 2'!$V$7,0)</f>
        <v>4</v>
      </c>
      <c r="R38" s="28">
        <f>roundup(Y38*'VANVA (Future) Versi 2'!$V$8,0)</f>
        <v>1</v>
      </c>
      <c r="S38" s="28">
        <f>(value(left(vlookup(Z38,dayspo,19,0),1)))</f>
        <v>1</v>
      </c>
      <c r="T38" s="29">
        <f t="shared" si="1"/>
        <v>17</v>
      </c>
      <c r="U38" s="29">
        <f t="shared" si="2"/>
        <v>8</v>
      </c>
      <c r="V38" s="29" t="s">
        <v>461</v>
      </c>
      <c r="W38" s="28" t="s">
        <v>462</v>
      </c>
      <c r="X38" s="28" t="s">
        <v>268</v>
      </c>
      <c r="Y38" s="27">
        <f t="shared" si="3"/>
        <v>25</v>
      </c>
      <c r="Z38" s="27">
        <v>5.100138475E9</v>
      </c>
      <c r="AA38" s="28" t="s">
        <v>174</v>
      </c>
      <c r="AB38" s="31"/>
      <c r="AC38" s="28" t="s">
        <v>158</v>
      </c>
      <c r="AD38" s="28" t="s">
        <v>175</v>
      </c>
      <c r="AE38" s="28" t="s">
        <v>173</v>
      </c>
      <c r="AF38" s="27">
        <f t="shared" si="4"/>
        <v>9</v>
      </c>
      <c r="AG38" s="27">
        <v>1.0</v>
      </c>
      <c r="AH38" s="28" t="s">
        <v>463</v>
      </c>
      <c r="AI38" s="28" t="s">
        <v>464</v>
      </c>
      <c r="AJ38" s="28" t="s">
        <v>465</v>
      </c>
      <c r="AK38" s="28" t="s">
        <v>466</v>
      </c>
      <c r="AL38" s="28" t="s">
        <v>467</v>
      </c>
      <c r="AM38" s="27">
        <v>1.0</v>
      </c>
    </row>
    <row r="39">
      <c r="A39" s="27">
        <v>2166575.0</v>
      </c>
      <c r="B39" s="28" t="s">
        <v>147</v>
      </c>
      <c r="C39" s="27">
        <v>2.200101829E9</v>
      </c>
      <c r="D39" s="27">
        <v>10.0</v>
      </c>
      <c r="E39" s="28" t="s">
        <v>148</v>
      </c>
      <c r="F39" s="28" t="s">
        <v>468</v>
      </c>
      <c r="G39" s="28" t="s">
        <v>469</v>
      </c>
      <c r="H39" s="28" t="s">
        <v>308</v>
      </c>
      <c r="I39" s="27" t="s">
        <v>460</v>
      </c>
      <c r="J39" s="27" t="s">
        <v>470</v>
      </c>
      <c r="K39" s="32">
        <v>45754.0</v>
      </c>
      <c r="L39" s="5">
        <f>Value(left(vlookup(Z39,dayspo,7,0),1))</f>
        <v>0</v>
      </c>
      <c r="M39" s="28">
        <f>roundup(Y39*'VANVA (Future) Versi 2'!$V$2,0)</f>
        <v>1</v>
      </c>
      <c r="N39" s="28">
        <f>roundup(Y39*'VANVA (Future) Versi 2'!$V$3,0)</f>
        <v>1</v>
      </c>
      <c r="O39" s="28">
        <f>roundup(Y39*'VANVA (Future) Versi 2'!$V$5,0)</f>
        <v>2</v>
      </c>
      <c r="P39" s="28">
        <f>roundup(Y39*'VANVA (Future) Versi 2'!$V$6,0)</f>
        <v>4</v>
      </c>
      <c r="Q39" s="28">
        <f>roundup(Y39*'VANVA (Future) Versi 2'!$V$7,0)</f>
        <v>2</v>
      </c>
      <c r="R39" s="28">
        <f>roundup(Y39*'VANVA (Future) Versi 2'!$V$8,0)</f>
        <v>1</v>
      </c>
      <c r="S39" s="28">
        <f>(value(left(vlookup(Z39,dayspo,19,0),1)))</f>
        <v>4</v>
      </c>
      <c r="T39" s="29">
        <f t="shared" si="1"/>
        <v>15</v>
      </c>
      <c r="U39" s="29">
        <f t="shared" si="2"/>
        <v>6</v>
      </c>
      <c r="V39" s="29" t="s">
        <v>471</v>
      </c>
      <c r="W39" s="28" t="s">
        <v>184</v>
      </c>
      <c r="X39" s="28" t="s">
        <v>159</v>
      </c>
      <c r="Y39" s="27">
        <f t="shared" si="3"/>
        <v>15</v>
      </c>
      <c r="Z39" s="27">
        <v>5.100137513E9</v>
      </c>
      <c r="AA39" s="28" t="s">
        <v>174</v>
      </c>
      <c r="AB39" s="31"/>
      <c r="AC39" s="28" t="s">
        <v>158</v>
      </c>
      <c r="AD39" s="28" t="s">
        <v>175</v>
      </c>
      <c r="AE39" s="28" t="s">
        <v>173</v>
      </c>
      <c r="AF39" s="27">
        <f t="shared" si="4"/>
        <v>9</v>
      </c>
      <c r="AG39" s="27">
        <v>1.0</v>
      </c>
      <c r="AH39" s="28" t="s">
        <v>472</v>
      </c>
      <c r="AI39" s="28" t="s">
        <v>473</v>
      </c>
      <c r="AJ39" s="28" t="s">
        <v>474</v>
      </c>
      <c r="AK39" s="28" t="s">
        <v>475</v>
      </c>
      <c r="AL39" s="28" t="s">
        <v>476</v>
      </c>
      <c r="AM39" s="27">
        <v>1.0</v>
      </c>
    </row>
    <row r="40">
      <c r="A40" s="27">
        <v>2166575.0</v>
      </c>
      <c r="B40" s="28" t="s">
        <v>147</v>
      </c>
      <c r="C40" s="27">
        <v>2.200101861E9</v>
      </c>
      <c r="D40" s="27">
        <v>10.0</v>
      </c>
      <c r="E40" s="28" t="s">
        <v>148</v>
      </c>
      <c r="F40" s="28" t="s">
        <v>149</v>
      </c>
      <c r="G40" s="28" t="s">
        <v>477</v>
      </c>
      <c r="H40" s="28" t="s">
        <v>151</v>
      </c>
      <c r="I40" s="27" t="s">
        <v>460</v>
      </c>
      <c r="J40" s="27" t="s">
        <v>470</v>
      </c>
      <c r="K40" s="32">
        <v>45754.0</v>
      </c>
      <c r="L40" s="5">
        <f>Value(left(vlookup(Z40,dayspo,7,0),1))</f>
        <v>0</v>
      </c>
      <c r="M40" s="28">
        <f>roundup(Y40*'VANVA (Future) Versi 2'!$V$2,0)</f>
        <v>1</v>
      </c>
      <c r="N40" s="28">
        <f>roundup(Y40*'VANVA (Future) Versi 2'!$V$3,0)</f>
        <v>1</v>
      </c>
      <c r="O40" s="28">
        <f>roundup(Y40*'VANVA (Future) Versi 2'!$V$5,0)</f>
        <v>1</v>
      </c>
      <c r="P40" s="28">
        <f>roundup(Y40*'VANVA (Future) Versi 2'!$V$6,0)</f>
        <v>2</v>
      </c>
      <c r="Q40" s="28">
        <f>roundup(Y40*'VANVA (Future) Versi 2'!$V$7,0)</f>
        <v>2</v>
      </c>
      <c r="R40" s="28">
        <f>roundup(Y40*'VANVA (Future) Versi 2'!$V$8,0)</f>
        <v>1</v>
      </c>
      <c r="S40" s="28">
        <f>(value(left(vlookup(Z40,dayspo,19,0),1)))</f>
        <v>3</v>
      </c>
      <c r="T40" s="29">
        <f t="shared" si="1"/>
        <v>11</v>
      </c>
      <c r="U40" s="29">
        <f t="shared" si="2"/>
        <v>3</v>
      </c>
      <c r="V40" s="29" t="s">
        <v>356</v>
      </c>
      <c r="W40" s="28" t="s">
        <v>184</v>
      </c>
      <c r="X40" s="28" t="s">
        <v>173</v>
      </c>
      <c r="Y40" s="27">
        <f t="shared" si="3"/>
        <v>9</v>
      </c>
      <c r="Z40" s="27">
        <v>5.100137232E9</v>
      </c>
      <c r="AA40" s="28" t="s">
        <v>174</v>
      </c>
      <c r="AB40" s="31"/>
      <c r="AC40" s="28" t="s">
        <v>158</v>
      </c>
      <c r="AD40" s="28" t="s">
        <v>175</v>
      </c>
      <c r="AE40" s="28" t="s">
        <v>176</v>
      </c>
      <c r="AF40" s="27">
        <f t="shared" si="4"/>
        <v>8</v>
      </c>
      <c r="AG40" s="27">
        <v>1.0</v>
      </c>
      <c r="AH40" s="28" t="s">
        <v>478</v>
      </c>
      <c r="AI40" s="28" t="s">
        <v>479</v>
      </c>
      <c r="AJ40" s="28" t="s">
        <v>480</v>
      </c>
      <c r="AK40" s="28" t="s">
        <v>481</v>
      </c>
      <c r="AL40" s="28" t="s">
        <v>482</v>
      </c>
      <c r="AM40" s="27">
        <v>1.0</v>
      </c>
    </row>
    <row r="41">
      <c r="A41" s="27">
        <v>2166575.0</v>
      </c>
      <c r="B41" s="28" t="s">
        <v>147</v>
      </c>
      <c r="C41" s="27">
        <v>2.200102246E9</v>
      </c>
      <c r="D41" s="27">
        <v>10.0</v>
      </c>
      <c r="E41" s="28" t="s">
        <v>148</v>
      </c>
      <c r="F41" s="28" t="s">
        <v>209</v>
      </c>
      <c r="G41" s="28" t="s">
        <v>483</v>
      </c>
      <c r="H41" s="28" t="s">
        <v>168</v>
      </c>
      <c r="I41" s="27" t="s">
        <v>484</v>
      </c>
      <c r="J41" s="27" t="s">
        <v>222</v>
      </c>
      <c r="K41" s="29" t="s">
        <v>485</v>
      </c>
      <c r="L41" s="5">
        <f>Value(left(vlookup(Z41,dayspo,7,0),1))</f>
        <v>1</v>
      </c>
      <c r="M41" s="28">
        <f>roundup(Y41*'VANVA (Future) Versi 2'!$V$2,0)</f>
        <v>1</v>
      </c>
      <c r="N41" s="28">
        <f>roundup(Y41*'VANVA (Future) Versi 2'!$V$3,0)</f>
        <v>1</v>
      </c>
      <c r="O41" s="28">
        <f>roundup(Y41*'VANVA (Future) Versi 2'!$V$5,0)</f>
        <v>1</v>
      </c>
      <c r="P41" s="28">
        <f>roundup(Y41*'VANVA (Future) Versi 2'!$V$6,0)</f>
        <v>2</v>
      </c>
      <c r="Q41" s="28">
        <f>roundup(Y41*'VANVA (Future) Versi 2'!$V$7,0)</f>
        <v>1</v>
      </c>
      <c r="R41" s="28">
        <f>roundup(Y41*'VANVA (Future) Versi 2'!$V$8,0)</f>
        <v>1</v>
      </c>
      <c r="S41" s="28">
        <f>(value(left(vlookup(Z41,dayspo,19,0),1)))</f>
        <v>2</v>
      </c>
      <c r="T41" s="29">
        <f t="shared" si="1"/>
        <v>10</v>
      </c>
      <c r="U41" s="29">
        <f t="shared" si="2"/>
        <v>3</v>
      </c>
      <c r="V41" s="29" t="s">
        <v>486</v>
      </c>
      <c r="W41" s="28" t="s">
        <v>184</v>
      </c>
      <c r="X41" s="28" t="s">
        <v>194</v>
      </c>
      <c r="Y41" s="27">
        <f t="shared" si="3"/>
        <v>7</v>
      </c>
      <c r="Z41" s="27">
        <v>5.100139089E9</v>
      </c>
      <c r="AA41" s="28" t="s">
        <v>174</v>
      </c>
      <c r="AB41" s="31"/>
      <c r="AC41" s="28" t="s">
        <v>158</v>
      </c>
      <c r="AD41" s="28" t="s">
        <v>175</v>
      </c>
      <c r="AE41" s="28" t="s">
        <v>194</v>
      </c>
      <c r="AF41" s="27">
        <f t="shared" si="4"/>
        <v>7</v>
      </c>
      <c r="AG41" s="27">
        <v>1.0</v>
      </c>
      <c r="AH41" s="28" t="s">
        <v>487</v>
      </c>
      <c r="AI41" s="28" t="s">
        <v>488</v>
      </c>
      <c r="AJ41" s="28" t="s">
        <v>488</v>
      </c>
      <c r="AK41" s="28" t="s">
        <v>489</v>
      </c>
      <c r="AL41" s="28" t="s">
        <v>490</v>
      </c>
      <c r="AM41" s="27">
        <v>1.0</v>
      </c>
    </row>
    <row r="42">
      <c r="A42" s="27">
        <v>2166575.0</v>
      </c>
      <c r="B42" s="28" t="s">
        <v>147</v>
      </c>
      <c r="C42" s="27">
        <v>2.200102217E9</v>
      </c>
      <c r="D42" s="27">
        <v>10.0</v>
      </c>
      <c r="E42" s="28" t="s">
        <v>148</v>
      </c>
      <c r="F42" s="28" t="s">
        <v>149</v>
      </c>
      <c r="G42" s="28" t="s">
        <v>491</v>
      </c>
      <c r="H42" s="28" t="s">
        <v>151</v>
      </c>
      <c r="I42" s="27" t="s">
        <v>484</v>
      </c>
      <c r="J42" s="27" t="s">
        <v>484</v>
      </c>
      <c r="K42" s="29" t="s">
        <v>492</v>
      </c>
      <c r="L42" s="5">
        <f>Value(left(vlookup(Z42,dayspo,7,0),1))</f>
        <v>0</v>
      </c>
      <c r="M42" s="28">
        <f>roundup(Y42*'VANVA (Future) Versi 2'!$V$2,0)</f>
        <v>1</v>
      </c>
      <c r="N42" s="28">
        <f>roundup(Y42*'VANVA (Future) Versi 2'!$V$3,0)</f>
        <v>1</v>
      </c>
      <c r="O42" s="28">
        <f>roundup(Y42*'VANVA (Future) Versi 2'!$V$5,0)</f>
        <v>2</v>
      </c>
      <c r="P42" s="28">
        <f>roundup(Y42*'VANVA (Future) Versi 2'!$V$6,0)</f>
        <v>4</v>
      </c>
      <c r="Q42" s="28">
        <f>roundup(Y42*'VANVA (Future) Versi 2'!$V$7,0)</f>
        <v>2</v>
      </c>
      <c r="R42" s="28">
        <f>roundup(Y42*'VANVA (Future) Versi 2'!$V$8,0)</f>
        <v>1</v>
      </c>
      <c r="S42" s="28">
        <f>(value(left(vlookup(Z42,dayspo,19,0),1)))</f>
        <v>4</v>
      </c>
      <c r="T42" s="29">
        <f t="shared" si="1"/>
        <v>15</v>
      </c>
      <c r="U42" s="29">
        <f t="shared" si="2"/>
        <v>4</v>
      </c>
      <c r="V42" s="29" t="s">
        <v>493</v>
      </c>
      <c r="W42" s="28" t="s">
        <v>494</v>
      </c>
      <c r="X42" s="28" t="s">
        <v>159</v>
      </c>
      <c r="Y42" s="27">
        <f t="shared" si="3"/>
        <v>15</v>
      </c>
      <c r="Z42" s="27">
        <v>5.10013857E9</v>
      </c>
      <c r="AA42" s="28" t="s">
        <v>495</v>
      </c>
      <c r="AB42" s="31"/>
      <c r="AC42" s="28" t="s">
        <v>158</v>
      </c>
      <c r="AD42" s="28" t="s">
        <v>175</v>
      </c>
      <c r="AE42" s="28" t="s">
        <v>160</v>
      </c>
      <c r="AF42" s="27">
        <f t="shared" si="4"/>
        <v>11</v>
      </c>
      <c r="AG42" s="27">
        <v>1.0</v>
      </c>
      <c r="AH42" s="28" t="s">
        <v>496</v>
      </c>
      <c r="AI42" s="28" t="s">
        <v>497</v>
      </c>
      <c r="AJ42" s="28" t="s">
        <v>498</v>
      </c>
      <c r="AK42" s="28" t="s">
        <v>499</v>
      </c>
      <c r="AL42" s="28" t="s">
        <v>500</v>
      </c>
      <c r="AM42" s="27">
        <v>1.0</v>
      </c>
    </row>
    <row r="43">
      <c r="A43" s="27">
        <v>2166575.0</v>
      </c>
      <c r="B43" s="28" t="s">
        <v>147</v>
      </c>
      <c r="C43" s="27">
        <v>2.20010251E9</v>
      </c>
      <c r="D43" s="27">
        <v>10.0</v>
      </c>
      <c r="E43" s="28" t="s">
        <v>148</v>
      </c>
      <c r="F43" s="28" t="s">
        <v>389</v>
      </c>
      <c r="G43" s="28" t="s">
        <v>501</v>
      </c>
      <c r="H43" s="28" t="s">
        <v>332</v>
      </c>
      <c r="I43" s="27" t="s">
        <v>502</v>
      </c>
      <c r="J43" s="27" t="s">
        <v>355</v>
      </c>
      <c r="K43" s="29" t="s">
        <v>202</v>
      </c>
      <c r="L43" s="5">
        <f>Value(left(vlookup(Z43,dayspo,7,0),1))</f>
        <v>0</v>
      </c>
      <c r="M43" s="28">
        <f>roundup(Y43*'VANVA (Future) Versi 2'!$V$2,0)</f>
        <v>1</v>
      </c>
      <c r="N43" s="28">
        <f>roundup(Y43*'VANVA (Future) Versi 2'!$V$3,0)</f>
        <v>1</v>
      </c>
      <c r="O43" s="28">
        <f>roundup(Y43*'VANVA (Future) Versi 2'!$V$5,0)</f>
        <v>3</v>
      </c>
      <c r="P43" s="28">
        <f>roundup(Y43*'VANVA (Future) Versi 2'!$V$6,0)</f>
        <v>6</v>
      </c>
      <c r="Q43" s="28">
        <f>roundup(Y43*'VANVA (Future) Versi 2'!$V$7,0)</f>
        <v>4</v>
      </c>
      <c r="R43" s="28">
        <f>roundup(Y43*'VANVA (Future) Versi 2'!$V$8,0)</f>
        <v>1</v>
      </c>
      <c r="S43" s="28">
        <f>(value(left(vlookup(Z43,dayspo,19,0),1)))</f>
        <v>4</v>
      </c>
      <c r="T43" s="29">
        <f t="shared" si="1"/>
        <v>20</v>
      </c>
      <c r="U43" s="29">
        <f t="shared" si="2"/>
        <v>11</v>
      </c>
      <c r="V43" s="32">
        <v>45846.0</v>
      </c>
      <c r="W43" s="28" t="s">
        <v>503</v>
      </c>
      <c r="X43" s="28" t="s">
        <v>504</v>
      </c>
      <c r="Y43" s="27">
        <f t="shared" si="3"/>
        <v>29</v>
      </c>
      <c r="Z43" s="27">
        <v>5.10014039E9</v>
      </c>
      <c r="AA43" s="28" t="s">
        <v>174</v>
      </c>
      <c r="AB43" s="31"/>
      <c r="AC43" s="28" t="s">
        <v>158</v>
      </c>
      <c r="AD43" s="28" t="s">
        <v>175</v>
      </c>
      <c r="AE43" s="28" t="s">
        <v>173</v>
      </c>
      <c r="AF43" s="27">
        <f t="shared" si="4"/>
        <v>9</v>
      </c>
      <c r="AG43" s="27">
        <v>1.0</v>
      </c>
      <c r="AH43" s="28" t="s">
        <v>505</v>
      </c>
      <c r="AI43" s="28" t="s">
        <v>506</v>
      </c>
      <c r="AJ43" s="28" t="s">
        <v>507</v>
      </c>
      <c r="AK43" s="28" t="s">
        <v>508</v>
      </c>
      <c r="AL43" s="28" t="s">
        <v>509</v>
      </c>
      <c r="AM43" s="27">
        <v>1.0</v>
      </c>
    </row>
    <row r="44">
      <c r="A44" s="27">
        <v>2166575.0</v>
      </c>
      <c r="B44" s="28" t="s">
        <v>147</v>
      </c>
      <c r="C44" s="27">
        <v>2.200102556E9</v>
      </c>
      <c r="D44" s="27">
        <v>10.0</v>
      </c>
      <c r="E44" s="28" t="s">
        <v>148</v>
      </c>
      <c r="F44" s="28" t="s">
        <v>389</v>
      </c>
      <c r="G44" s="28" t="s">
        <v>510</v>
      </c>
      <c r="H44" s="28" t="s">
        <v>332</v>
      </c>
      <c r="I44" s="27" t="s">
        <v>502</v>
      </c>
      <c r="J44" s="27" t="s">
        <v>502</v>
      </c>
      <c r="K44" s="32">
        <v>45779.0</v>
      </c>
      <c r="L44" s="5">
        <f>Value(left(vlookup(Z44,dayspo,7,0),1))</f>
        <v>1</v>
      </c>
      <c r="M44" s="28">
        <f>roundup(Y44*'VANVA (Future) Versi 2'!$V$2,0)</f>
        <v>1</v>
      </c>
      <c r="N44" s="28">
        <f>roundup(Y44*'VANVA (Future) Versi 2'!$V$3,0)</f>
        <v>1</v>
      </c>
      <c r="O44" s="28">
        <f>roundup(Y44*'VANVA (Future) Versi 2'!$V$5,0)</f>
        <v>1</v>
      </c>
      <c r="P44" s="28">
        <f>roundup(Y44*'VANVA (Future) Versi 2'!$V$6,0)</f>
        <v>2</v>
      </c>
      <c r="Q44" s="28">
        <f>roundup(Y44*'VANVA (Future) Versi 2'!$V$7,0)</f>
        <v>1</v>
      </c>
      <c r="R44" s="28">
        <f>roundup(Y44*'VANVA (Future) Versi 2'!$V$8,0)</f>
        <v>1</v>
      </c>
      <c r="S44" s="28">
        <f>(value(left(vlookup(Z44,dayspo,19,0),1)))</f>
        <v>2</v>
      </c>
      <c r="T44" s="29">
        <f t="shared" si="1"/>
        <v>10</v>
      </c>
      <c r="U44" s="29">
        <f t="shared" si="2"/>
        <v>4</v>
      </c>
      <c r="V44" s="29" t="s">
        <v>511</v>
      </c>
      <c r="W44" s="28" t="s">
        <v>358</v>
      </c>
      <c r="X44" s="28" t="s">
        <v>194</v>
      </c>
      <c r="Y44" s="27">
        <f t="shared" si="3"/>
        <v>7</v>
      </c>
      <c r="Z44" s="27">
        <v>5.100138387E9</v>
      </c>
      <c r="AA44" s="28" t="s">
        <v>174</v>
      </c>
      <c r="AB44" s="31"/>
      <c r="AC44" s="28" t="s">
        <v>158</v>
      </c>
      <c r="AD44" s="28" t="s">
        <v>175</v>
      </c>
      <c r="AE44" s="28" t="s">
        <v>186</v>
      </c>
      <c r="AF44" s="27">
        <f t="shared" si="4"/>
        <v>6</v>
      </c>
      <c r="AG44" s="27">
        <v>1.0</v>
      </c>
      <c r="AH44" s="28" t="s">
        <v>512</v>
      </c>
      <c r="AI44" s="28" t="s">
        <v>513</v>
      </c>
      <c r="AJ44" s="28" t="s">
        <v>513</v>
      </c>
      <c r="AK44" s="28" t="s">
        <v>514</v>
      </c>
      <c r="AL44" s="28" t="s">
        <v>515</v>
      </c>
      <c r="AM44" s="27">
        <v>1.0</v>
      </c>
    </row>
    <row r="45">
      <c r="A45" s="27">
        <v>2166575.0</v>
      </c>
      <c r="B45" s="28" t="s">
        <v>147</v>
      </c>
      <c r="C45" s="27">
        <v>2.200102105E9</v>
      </c>
      <c r="D45" s="27">
        <v>10.0</v>
      </c>
      <c r="E45" s="28" t="s">
        <v>148</v>
      </c>
      <c r="F45" s="28" t="s">
        <v>209</v>
      </c>
      <c r="G45" s="28" t="s">
        <v>516</v>
      </c>
      <c r="H45" s="28" t="s">
        <v>168</v>
      </c>
      <c r="I45" s="27" t="s">
        <v>517</v>
      </c>
      <c r="J45" s="27" t="s">
        <v>492</v>
      </c>
      <c r="K45" s="29" t="s">
        <v>471</v>
      </c>
      <c r="L45" s="5">
        <f>Value(left(vlookup(Z45,dayspo,7,0),1))</f>
        <v>1</v>
      </c>
      <c r="M45" s="28">
        <f>roundup(Y45*'VANVA (Future) Versi 2'!$V$2,0)</f>
        <v>1</v>
      </c>
      <c r="N45" s="28">
        <f>roundup(Y45*'VANVA (Future) Versi 2'!$V$3,0)</f>
        <v>1</v>
      </c>
      <c r="O45" s="28">
        <f>roundup(Y45*'VANVA (Future) Versi 2'!$V$5,0)</f>
        <v>2</v>
      </c>
      <c r="P45" s="28">
        <f>roundup(Y45*'VANVA (Future) Versi 2'!$V$6,0)</f>
        <v>3</v>
      </c>
      <c r="Q45" s="28">
        <f>roundup(Y45*'VANVA (Future) Versi 2'!$V$7,0)</f>
        <v>2</v>
      </c>
      <c r="R45" s="28">
        <f>roundup(Y45*'VANVA (Future) Versi 2'!$V$8,0)</f>
        <v>1</v>
      </c>
      <c r="S45" s="28">
        <f>(value(left(vlookup(Z45,dayspo,19,0),1)))</f>
        <v>6</v>
      </c>
      <c r="T45" s="29">
        <f t="shared" si="1"/>
        <v>17</v>
      </c>
      <c r="U45" s="29">
        <f t="shared" si="2"/>
        <v>5</v>
      </c>
      <c r="V45" s="29" t="s">
        <v>493</v>
      </c>
      <c r="W45" s="28" t="s">
        <v>442</v>
      </c>
      <c r="X45" s="28" t="s">
        <v>223</v>
      </c>
      <c r="Y45" s="27">
        <f t="shared" si="3"/>
        <v>14</v>
      </c>
      <c r="Z45" s="27">
        <v>5.100138731E9</v>
      </c>
      <c r="AA45" s="28" t="s">
        <v>157</v>
      </c>
      <c r="AB45" s="31"/>
      <c r="AC45" s="28" t="s">
        <v>158</v>
      </c>
      <c r="AD45" s="28" t="s">
        <v>159</v>
      </c>
      <c r="AE45" s="28" t="s">
        <v>318</v>
      </c>
      <c r="AF45" s="27">
        <f t="shared" si="4"/>
        <v>12</v>
      </c>
      <c r="AG45" s="27">
        <v>1.0</v>
      </c>
      <c r="AH45" s="28" t="s">
        <v>518</v>
      </c>
      <c r="AI45" s="28" t="s">
        <v>519</v>
      </c>
      <c r="AJ45" s="28" t="s">
        <v>520</v>
      </c>
      <c r="AK45" s="28" t="s">
        <v>521</v>
      </c>
      <c r="AL45" s="28" t="s">
        <v>522</v>
      </c>
      <c r="AM45" s="27">
        <v>1.0</v>
      </c>
    </row>
    <row r="46">
      <c r="A46" s="27">
        <v>2166575.0</v>
      </c>
      <c r="B46" s="28" t="s">
        <v>147</v>
      </c>
      <c r="C46" s="27">
        <v>2.200102708E9</v>
      </c>
      <c r="D46" s="27">
        <v>10.0</v>
      </c>
      <c r="E46" s="28" t="s">
        <v>148</v>
      </c>
      <c r="F46" s="28" t="s">
        <v>523</v>
      </c>
      <c r="G46" s="28" t="s">
        <v>524</v>
      </c>
      <c r="H46" s="28" t="s">
        <v>201</v>
      </c>
      <c r="I46" s="33">
        <v>45782.0</v>
      </c>
      <c r="J46" s="27" t="s">
        <v>391</v>
      </c>
      <c r="K46" s="29" t="s">
        <v>425</v>
      </c>
      <c r="L46" s="5">
        <f>Value(left(vlookup(Z46,dayspo,7,0),1))</f>
        <v>0</v>
      </c>
      <c r="M46" s="28">
        <f>roundup(Y46*'VANVA (Future) Versi 2'!$V$2,0)</f>
        <v>1</v>
      </c>
      <c r="N46" s="28">
        <f>roundup(Y46*'VANVA (Future) Versi 2'!$V$3,0)</f>
        <v>1</v>
      </c>
      <c r="O46" s="28">
        <f>roundup(Y46*'VANVA (Future) Versi 2'!$V$5,0)</f>
        <v>1</v>
      </c>
      <c r="P46" s="28">
        <f>roundup(Y46*'VANVA (Future) Versi 2'!$V$6,0)</f>
        <v>2</v>
      </c>
      <c r="Q46" s="28">
        <f>roundup(Y46*'VANVA (Future) Versi 2'!$V$7,0)</f>
        <v>1</v>
      </c>
      <c r="R46" s="28">
        <f>roundup(Y46*'VANVA (Future) Versi 2'!$V$8,0)</f>
        <v>1</v>
      </c>
      <c r="S46" s="28">
        <f>(value(left(vlookup(Z46,dayspo,19,0),1)))</f>
        <v>1</v>
      </c>
      <c r="T46" s="29">
        <f t="shared" si="1"/>
        <v>8</v>
      </c>
      <c r="U46" s="29">
        <f t="shared" si="2"/>
        <v>2</v>
      </c>
      <c r="V46" s="29" t="s">
        <v>525</v>
      </c>
      <c r="W46" s="28" t="s">
        <v>184</v>
      </c>
      <c r="X46" s="28" t="s">
        <v>186</v>
      </c>
      <c r="Y46" s="27">
        <f t="shared" si="3"/>
        <v>6</v>
      </c>
      <c r="Z46" s="27">
        <v>5.100138727E9</v>
      </c>
      <c r="AA46" s="28" t="s">
        <v>174</v>
      </c>
      <c r="AB46" s="31"/>
      <c r="AC46" s="28" t="s">
        <v>158</v>
      </c>
      <c r="AD46" s="28" t="s">
        <v>175</v>
      </c>
      <c r="AE46" s="28" t="s">
        <v>186</v>
      </c>
      <c r="AF46" s="27">
        <f t="shared" si="4"/>
        <v>6</v>
      </c>
      <c r="AG46" s="27">
        <v>1.0</v>
      </c>
      <c r="AH46" s="28" t="s">
        <v>526</v>
      </c>
      <c r="AI46" s="28" t="s">
        <v>527</v>
      </c>
      <c r="AJ46" s="28" t="s">
        <v>527</v>
      </c>
      <c r="AK46" s="28" t="s">
        <v>528</v>
      </c>
      <c r="AL46" s="28" t="s">
        <v>529</v>
      </c>
      <c r="AM46" s="27">
        <v>1.0</v>
      </c>
    </row>
    <row r="47">
      <c r="A47" s="27">
        <v>2166575.0</v>
      </c>
      <c r="B47" s="28" t="s">
        <v>147</v>
      </c>
      <c r="C47" s="27">
        <v>2.200102696E9</v>
      </c>
      <c r="D47" s="27">
        <v>10.0</v>
      </c>
      <c r="E47" s="28" t="s">
        <v>148</v>
      </c>
      <c r="F47" s="28" t="s">
        <v>209</v>
      </c>
      <c r="G47" s="28" t="s">
        <v>530</v>
      </c>
      <c r="H47" s="28" t="s">
        <v>168</v>
      </c>
      <c r="I47" s="33">
        <v>45693.0</v>
      </c>
      <c r="J47" s="33">
        <v>45874.0</v>
      </c>
      <c r="K47" s="29" t="s">
        <v>425</v>
      </c>
      <c r="L47" s="5">
        <f>Value(left(vlookup(Z47,dayspo,7,0),1))</f>
        <v>0</v>
      </c>
      <c r="M47" s="28">
        <f>roundup(Y47*'VANVA (Future) Versi 2'!$V$2,0)</f>
        <v>1</v>
      </c>
      <c r="N47" s="28">
        <f>roundup(Y47*'VANVA (Future) Versi 2'!$V$3,0)</f>
        <v>1</v>
      </c>
      <c r="O47" s="28">
        <f>roundup(Y47*'VANVA (Future) Versi 2'!$V$5,0)</f>
        <v>2</v>
      </c>
      <c r="P47" s="28">
        <f>roundup(Y47*'VANVA (Future) Versi 2'!$V$6,0)</f>
        <v>5</v>
      </c>
      <c r="Q47" s="28">
        <f>roundup(Y47*'VANVA (Future) Versi 2'!$V$7,0)</f>
        <v>3</v>
      </c>
      <c r="R47" s="28">
        <f>roundup(Y47*'VANVA (Future) Versi 2'!$V$8,0)</f>
        <v>1</v>
      </c>
      <c r="S47" s="28">
        <f>(value(left(vlookup(Z47,dayspo,19,0),1)))</f>
        <v>9</v>
      </c>
      <c r="T47" s="29">
        <f t="shared" si="1"/>
        <v>22</v>
      </c>
      <c r="U47" s="29">
        <f t="shared" si="2"/>
        <v>8</v>
      </c>
      <c r="V47" s="32">
        <v>45820.0</v>
      </c>
      <c r="W47" s="28" t="s">
        <v>442</v>
      </c>
      <c r="X47" s="28" t="s">
        <v>531</v>
      </c>
      <c r="Y47" s="27">
        <f t="shared" si="3"/>
        <v>20</v>
      </c>
      <c r="Z47" s="27">
        <v>5.100139316E9</v>
      </c>
      <c r="AA47" s="28" t="s">
        <v>157</v>
      </c>
      <c r="AB47" s="31"/>
      <c r="AC47" s="28" t="s">
        <v>158</v>
      </c>
      <c r="AD47" s="28" t="s">
        <v>159</v>
      </c>
      <c r="AE47" s="28" t="s">
        <v>223</v>
      </c>
      <c r="AF47" s="27">
        <f t="shared" si="4"/>
        <v>14</v>
      </c>
      <c r="AG47" s="27">
        <v>1.0</v>
      </c>
      <c r="AH47" s="28" t="s">
        <v>532</v>
      </c>
      <c r="AI47" s="28" t="s">
        <v>533</v>
      </c>
      <c r="AJ47" s="28" t="s">
        <v>534</v>
      </c>
      <c r="AK47" s="28" t="s">
        <v>535</v>
      </c>
      <c r="AL47" s="28" t="s">
        <v>536</v>
      </c>
      <c r="AM47" s="27">
        <v>1.0</v>
      </c>
    </row>
    <row r="48">
      <c r="A48" s="37">
        <v>2166575.0</v>
      </c>
      <c r="B48" s="38" t="s">
        <v>147</v>
      </c>
      <c r="C48" s="37">
        <v>2.200103113E9</v>
      </c>
      <c r="D48" s="37">
        <v>10.0</v>
      </c>
      <c r="E48" s="38" t="s">
        <v>148</v>
      </c>
      <c r="F48" s="38" t="s">
        <v>281</v>
      </c>
      <c r="G48" s="38" t="s">
        <v>537</v>
      </c>
      <c r="H48" s="38" t="s">
        <v>283</v>
      </c>
      <c r="I48" s="37" t="s">
        <v>357</v>
      </c>
      <c r="J48" s="37" t="s">
        <v>432</v>
      </c>
      <c r="K48" s="39" t="s">
        <v>538</v>
      </c>
      <c r="L48" s="5">
        <f>Value(left(vlookup(Z48,dayspo,7,0),1))</f>
        <v>0</v>
      </c>
      <c r="M48" s="28">
        <f>roundup(Y48*'VANVA (Future) Versi 2'!$V$2,0)</f>
        <v>1</v>
      </c>
      <c r="N48" s="28">
        <f>roundup(Y48*'VANVA (Future) Versi 2'!$V$3,0)</f>
        <v>1</v>
      </c>
      <c r="O48" s="28">
        <f>roundup(Y48*'VANVA (Future) Versi 2'!$V$5,0)</f>
        <v>3</v>
      </c>
      <c r="P48" s="28">
        <f>roundup(Y48*'VANVA (Future) Versi 2'!$V$6,0)</f>
        <v>6</v>
      </c>
      <c r="Q48" s="28">
        <f>roundup(Y48*'VANVA (Future) Versi 2'!$V$7,0)</f>
        <v>4</v>
      </c>
      <c r="R48" s="28">
        <f>roundup(Y48*'VANVA (Future) Versi 2'!$V$8,0)</f>
        <v>1</v>
      </c>
      <c r="S48" s="28">
        <f>(value(left(vlookup(Z48,dayspo,19,0),1)))</f>
        <v>1</v>
      </c>
      <c r="T48" s="29">
        <f t="shared" si="1"/>
        <v>17</v>
      </c>
      <c r="U48" s="29">
        <f t="shared" si="2"/>
        <v>-6</v>
      </c>
      <c r="V48" s="40">
        <v>45846.0</v>
      </c>
      <c r="W48" s="38" t="s">
        <v>539</v>
      </c>
      <c r="X48" s="38" t="s">
        <v>540</v>
      </c>
      <c r="Y48" s="27">
        <f t="shared" si="3"/>
        <v>28</v>
      </c>
      <c r="Z48" s="37">
        <v>5.100140323E9</v>
      </c>
      <c r="AA48" s="38" t="s">
        <v>157</v>
      </c>
      <c r="AB48" s="41"/>
      <c r="AC48" s="38" t="s">
        <v>158</v>
      </c>
      <c r="AD48" s="38" t="s">
        <v>159</v>
      </c>
      <c r="AE48" s="38" t="s">
        <v>269</v>
      </c>
      <c r="AF48" s="27">
        <f t="shared" si="4"/>
        <v>23</v>
      </c>
      <c r="AG48" s="37">
        <v>0.0</v>
      </c>
      <c r="AH48" s="38" t="s">
        <v>541</v>
      </c>
      <c r="AI48" s="38" t="s">
        <v>542</v>
      </c>
      <c r="AJ48" s="38" t="s">
        <v>542</v>
      </c>
      <c r="AK48" s="38" t="s">
        <v>543</v>
      </c>
      <c r="AL48" s="38" t="s">
        <v>544</v>
      </c>
      <c r="AM48" s="37">
        <v>1.0</v>
      </c>
    </row>
    <row r="49">
      <c r="A49" s="27">
        <v>2166575.0</v>
      </c>
      <c r="B49" s="28" t="s">
        <v>147</v>
      </c>
      <c r="C49" s="27">
        <v>2.200103129E9</v>
      </c>
      <c r="D49" s="27">
        <v>10.0</v>
      </c>
      <c r="E49" s="28" t="s">
        <v>148</v>
      </c>
      <c r="F49" s="28" t="s">
        <v>209</v>
      </c>
      <c r="G49" s="28" t="s">
        <v>545</v>
      </c>
      <c r="H49" s="28" t="s">
        <v>168</v>
      </c>
      <c r="I49" s="27" t="s">
        <v>357</v>
      </c>
      <c r="J49" s="27" t="s">
        <v>284</v>
      </c>
      <c r="K49" s="29" t="s">
        <v>493</v>
      </c>
      <c r="L49" s="5">
        <f>Value(left(vlookup(Z49,dayspo,7,0),1))</f>
        <v>6</v>
      </c>
      <c r="M49" s="28">
        <f>roundup(Y49*'VANVA (Future) Versi 2'!$V$2,0)</f>
        <v>1</v>
      </c>
      <c r="N49" s="28">
        <f>roundup(Y49*'VANVA (Future) Versi 2'!$V$3,0)</f>
        <v>1</v>
      </c>
      <c r="O49" s="28">
        <f>roundup(Y49*'VANVA (Future) Versi 2'!$V$5,0)</f>
        <v>2</v>
      </c>
      <c r="P49" s="28">
        <f>roundup(Y49*'VANVA (Future) Versi 2'!$V$6,0)</f>
        <v>4</v>
      </c>
      <c r="Q49" s="28">
        <f>roundup(Y49*'VANVA (Future) Versi 2'!$V$7,0)</f>
        <v>3</v>
      </c>
      <c r="R49" s="28">
        <f>roundup(Y49*'VANVA (Future) Versi 2'!$V$8,0)</f>
        <v>1</v>
      </c>
      <c r="S49" s="28">
        <f>(value(left(vlookup(Z49,dayspo,19,0),1)))</f>
        <v>3</v>
      </c>
      <c r="T49" s="29">
        <f t="shared" si="1"/>
        <v>21</v>
      </c>
      <c r="U49" s="29">
        <f t="shared" si="2"/>
        <v>4</v>
      </c>
      <c r="V49" s="29" t="s">
        <v>546</v>
      </c>
      <c r="W49" s="28" t="s">
        <v>547</v>
      </c>
      <c r="X49" s="28" t="s">
        <v>401</v>
      </c>
      <c r="Y49" s="27">
        <f t="shared" si="3"/>
        <v>18</v>
      </c>
      <c r="Z49" s="27">
        <v>5.10013968E9</v>
      </c>
      <c r="AA49" s="28" t="s">
        <v>174</v>
      </c>
      <c r="AB49" s="31"/>
      <c r="AC49" s="28" t="s">
        <v>158</v>
      </c>
      <c r="AD49" s="28" t="s">
        <v>175</v>
      </c>
      <c r="AE49" s="28" t="s">
        <v>402</v>
      </c>
      <c r="AF49" s="27">
        <f t="shared" si="4"/>
        <v>17</v>
      </c>
      <c r="AG49" s="27">
        <v>1.0</v>
      </c>
      <c r="AH49" s="28" t="s">
        <v>548</v>
      </c>
      <c r="AI49" s="28" t="s">
        <v>549</v>
      </c>
      <c r="AJ49" s="28" t="s">
        <v>550</v>
      </c>
      <c r="AK49" s="28" t="s">
        <v>551</v>
      </c>
      <c r="AL49" s="28" t="s">
        <v>552</v>
      </c>
      <c r="AM49" s="27">
        <v>1.0</v>
      </c>
    </row>
    <row r="50">
      <c r="A50" s="27">
        <v>2166575.0</v>
      </c>
      <c r="B50" s="28" t="s">
        <v>147</v>
      </c>
      <c r="C50" s="27">
        <v>2.200103225E9</v>
      </c>
      <c r="D50" s="27">
        <v>10.0</v>
      </c>
      <c r="E50" s="28" t="s">
        <v>148</v>
      </c>
      <c r="F50" s="28" t="s">
        <v>314</v>
      </c>
      <c r="G50" s="28" t="s">
        <v>553</v>
      </c>
      <c r="H50" s="28" t="s">
        <v>316</v>
      </c>
      <c r="I50" s="27" t="s">
        <v>461</v>
      </c>
      <c r="J50" s="27" t="s">
        <v>485</v>
      </c>
      <c r="K50" s="32">
        <v>45810.0</v>
      </c>
      <c r="L50" s="5">
        <f>Value(left(vlookup(Z50,dayspo,7,0),1))</f>
        <v>0</v>
      </c>
      <c r="M50" s="28">
        <f>roundup(Y50*'VANVA (Future) Versi 2'!$V$2,0)</f>
        <v>1</v>
      </c>
      <c r="N50" s="28">
        <f>roundup(Y50*'VANVA (Future) Versi 2'!$V$3,0)</f>
        <v>1</v>
      </c>
      <c r="O50" s="28">
        <f>roundup(Y50*'VANVA (Future) Versi 2'!$V$5,0)</f>
        <v>1</v>
      </c>
      <c r="P50" s="28">
        <f>roundup(Y50*'VANVA (Future) Versi 2'!$V$6,0)</f>
        <v>2</v>
      </c>
      <c r="Q50" s="28">
        <f>roundup(Y50*'VANVA (Future) Versi 2'!$V$7,0)</f>
        <v>1</v>
      </c>
      <c r="R50" s="28">
        <f>roundup(Y50*'VANVA (Future) Versi 2'!$V$8,0)</f>
        <v>1</v>
      </c>
      <c r="S50" s="28">
        <f>(value(left(vlookup(Z50,dayspo,19,0),1)))</f>
        <v>2</v>
      </c>
      <c r="T50" s="29">
        <f t="shared" si="1"/>
        <v>9</v>
      </c>
      <c r="U50" s="29">
        <f t="shared" si="2"/>
        <v>3</v>
      </c>
      <c r="V50" s="29" t="s">
        <v>554</v>
      </c>
      <c r="W50" s="28" t="s">
        <v>317</v>
      </c>
      <c r="X50" s="28" t="s">
        <v>176</v>
      </c>
      <c r="Y50" s="27">
        <f t="shared" si="3"/>
        <v>8</v>
      </c>
      <c r="Z50" s="27">
        <v>5.100139491E9</v>
      </c>
      <c r="AA50" s="28" t="s">
        <v>157</v>
      </c>
      <c r="AB50" s="31"/>
      <c r="AC50" s="28" t="s">
        <v>158</v>
      </c>
      <c r="AD50" s="28" t="s">
        <v>159</v>
      </c>
      <c r="AE50" s="28" t="s">
        <v>186</v>
      </c>
      <c r="AF50" s="27">
        <f t="shared" si="4"/>
        <v>6</v>
      </c>
      <c r="AG50" s="27">
        <v>1.0</v>
      </c>
      <c r="AH50" s="28" t="s">
        <v>555</v>
      </c>
      <c r="AI50" s="28" t="s">
        <v>556</v>
      </c>
      <c r="AJ50" s="28" t="s">
        <v>557</v>
      </c>
      <c r="AK50" s="28" t="s">
        <v>558</v>
      </c>
      <c r="AL50" s="28" t="s">
        <v>559</v>
      </c>
      <c r="AM50" s="27">
        <v>1.0</v>
      </c>
    </row>
    <row r="51">
      <c r="A51" s="27">
        <v>2166575.0</v>
      </c>
      <c r="B51" s="28" t="s">
        <v>147</v>
      </c>
      <c r="C51" s="27">
        <v>2.200103392E9</v>
      </c>
      <c r="D51" s="27">
        <v>10.0</v>
      </c>
      <c r="E51" s="28" t="s">
        <v>148</v>
      </c>
      <c r="F51" s="28" t="s">
        <v>219</v>
      </c>
      <c r="G51" s="28" t="s">
        <v>560</v>
      </c>
      <c r="H51" s="28" t="s">
        <v>221</v>
      </c>
      <c r="I51" s="27" t="s">
        <v>525</v>
      </c>
      <c r="J51" s="27" t="s">
        <v>355</v>
      </c>
      <c r="K51" s="29" t="s">
        <v>486</v>
      </c>
      <c r="L51" s="5">
        <f>Value(left(vlookup(Z51,dayspo,7,0),1))</f>
        <v>0</v>
      </c>
      <c r="M51" s="28">
        <f>roundup(Y51*'VANVA (Future) Versi 2'!$V$2,0)</f>
        <v>1</v>
      </c>
      <c r="N51" s="28">
        <f>roundup(Y51*'VANVA (Future) Versi 2'!$V$3,0)</f>
        <v>1</v>
      </c>
      <c r="O51" s="28">
        <f>roundup(Y51*'VANVA (Future) Versi 2'!$V$5,0)</f>
        <v>3</v>
      </c>
      <c r="P51" s="28">
        <f>roundup(Y51*'VANVA (Future) Versi 2'!$V$6,0)</f>
        <v>7</v>
      </c>
      <c r="Q51" s="28">
        <f>roundup(Y51*'VANVA (Future) Versi 2'!$V$7,0)</f>
        <v>4</v>
      </c>
      <c r="R51" s="28">
        <f>roundup(Y51*'VANVA (Future) Versi 2'!$V$8,0)</f>
        <v>1</v>
      </c>
      <c r="S51" s="28">
        <f>(value(left(vlookup(Z51,dayspo,19,0),1)))</f>
        <v>2</v>
      </c>
      <c r="T51" s="29">
        <f t="shared" si="1"/>
        <v>19</v>
      </c>
      <c r="U51" s="29">
        <f t="shared" si="2"/>
        <v>-8</v>
      </c>
      <c r="V51" s="32">
        <v>45850.0</v>
      </c>
      <c r="W51" s="28" t="s">
        <v>400</v>
      </c>
      <c r="X51" s="28" t="s">
        <v>561</v>
      </c>
      <c r="Y51" s="27">
        <f t="shared" si="3"/>
        <v>30</v>
      </c>
      <c r="Z51" s="27">
        <v>5.100140398E9</v>
      </c>
      <c r="AA51" s="28" t="s">
        <v>174</v>
      </c>
      <c r="AB51" s="31"/>
      <c r="AC51" s="28" t="s">
        <v>158</v>
      </c>
      <c r="AD51" s="28" t="s">
        <v>175</v>
      </c>
      <c r="AE51" s="28" t="s">
        <v>286</v>
      </c>
      <c r="AF51" s="27">
        <f t="shared" si="4"/>
        <v>27</v>
      </c>
      <c r="AG51" s="27">
        <v>1.0</v>
      </c>
      <c r="AH51" s="28" t="s">
        <v>562</v>
      </c>
      <c r="AI51" s="28" t="s">
        <v>563</v>
      </c>
      <c r="AJ51" s="28" t="s">
        <v>564</v>
      </c>
      <c r="AK51" s="28" t="s">
        <v>565</v>
      </c>
      <c r="AL51" s="28" t="s">
        <v>566</v>
      </c>
      <c r="AM51" s="27">
        <v>1.0</v>
      </c>
    </row>
    <row r="52">
      <c r="A52" s="27">
        <v>2166575.0</v>
      </c>
      <c r="B52" s="28" t="s">
        <v>147</v>
      </c>
      <c r="C52" s="27">
        <v>2.200103369E9</v>
      </c>
      <c r="D52" s="27">
        <v>10.0</v>
      </c>
      <c r="E52" s="28" t="s">
        <v>148</v>
      </c>
      <c r="F52" s="28" t="s">
        <v>306</v>
      </c>
      <c r="G52" s="28" t="s">
        <v>567</v>
      </c>
      <c r="H52" s="28" t="s">
        <v>308</v>
      </c>
      <c r="I52" s="27" t="s">
        <v>493</v>
      </c>
      <c r="J52" s="27" t="s">
        <v>391</v>
      </c>
      <c r="K52" s="29" t="s">
        <v>486</v>
      </c>
      <c r="L52" s="5">
        <f>Value(left(vlookup(Z52,dayspo,7,0),1))</f>
        <v>0</v>
      </c>
      <c r="M52" s="28">
        <f>roundup(Y52*'VANVA (Future) Versi 2'!$V$2,0)</f>
        <v>1</v>
      </c>
      <c r="N52" s="28">
        <f>roundup(Y52*'VANVA (Future) Versi 2'!$V$3,0)</f>
        <v>1</v>
      </c>
      <c r="O52" s="28">
        <f>roundup(Y52*'VANVA (Future) Versi 2'!$V$5,0)</f>
        <v>1</v>
      </c>
      <c r="P52" s="28">
        <f>roundup(Y52*'VANVA (Future) Versi 2'!$V$6,0)</f>
        <v>3</v>
      </c>
      <c r="Q52" s="28">
        <f>roundup(Y52*'VANVA (Future) Versi 2'!$V$7,0)</f>
        <v>2</v>
      </c>
      <c r="R52" s="28">
        <f>roundup(Y52*'VANVA (Future) Versi 2'!$V$8,0)</f>
        <v>1</v>
      </c>
      <c r="S52" s="28">
        <f>(value(left(vlookup(Z52,dayspo,19,0),1)))</f>
        <v>2</v>
      </c>
      <c r="T52" s="29">
        <f t="shared" si="1"/>
        <v>11</v>
      </c>
      <c r="U52" s="29">
        <f t="shared" si="2"/>
        <v>2</v>
      </c>
      <c r="V52" s="29" t="s">
        <v>554</v>
      </c>
      <c r="W52" s="28" t="s">
        <v>184</v>
      </c>
      <c r="X52" s="28" t="s">
        <v>185</v>
      </c>
      <c r="Y52" s="27">
        <f t="shared" si="3"/>
        <v>10</v>
      </c>
      <c r="Z52" s="27">
        <v>5.100139487E9</v>
      </c>
      <c r="AA52" s="28" t="s">
        <v>174</v>
      </c>
      <c r="AB52" s="31"/>
      <c r="AC52" s="28" t="s">
        <v>158</v>
      </c>
      <c r="AD52" s="28" t="s">
        <v>175</v>
      </c>
      <c r="AE52" s="28" t="s">
        <v>173</v>
      </c>
      <c r="AF52" s="27">
        <f t="shared" si="4"/>
        <v>9</v>
      </c>
      <c r="AG52" s="27">
        <v>1.0</v>
      </c>
      <c r="AH52" s="28" t="s">
        <v>568</v>
      </c>
      <c r="AI52" s="28" t="s">
        <v>569</v>
      </c>
      <c r="AJ52" s="28" t="s">
        <v>570</v>
      </c>
      <c r="AK52" s="28" t="s">
        <v>251</v>
      </c>
      <c r="AL52" s="28" t="s">
        <v>571</v>
      </c>
      <c r="AM52" s="27">
        <v>1.0</v>
      </c>
    </row>
    <row r="53">
      <c r="A53" s="27">
        <v>2166575.0</v>
      </c>
      <c r="B53" s="28" t="s">
        <v>147</v>
      </c>
      <c r="C53" s="27">
        <v>2.200103524E9</v>
      </c>
      <c r="D53" s="27">
        <v>10.0</v>
      </c>
      <c r="E53" s="28" t="s">
        <v>148</v>
      </c>
      <c r="F53" s="28" t="s">
        <v>572</v>
      </c>
      <c r="G53" s="28" t="s">
        <v>573</v>
      </c>
      <c r="H53" s="28" t="s">
        <v>316</v>
      </c>
      <c r="I53" s="27" t="s">
        <v>574</v>
      </c>
      <c r="J53" s="27" t="s">
        <v>574</v>
      </c>
      <c r="K53" s="32">
        <v>45810.0</v>
      </c>
      <c r="L53" s="5">
        <f>Value(left(vlookup(Z53,dayspo,7,0),1))</f>
        <v>0</v>
      </c>
      <c r="M53" s="28">
        <f>roundup(Y53*'VANVA (Future) Versi 2'!$V$2,0)</f>
        <v>1</v>
      </c>
      <c r="N53" s="28">
        <f>roundup(Y53*'VANVA (Future) Versi 2'!$V$3,0)</f>
        <v>1</v>
      </c>
      <c r="O53" s="28">
        <f>roundup(Y53*'VANVA (Future) Versi 2'!$V$5,0)</f>
        <v>2</v>
      </c>
      <c r="P53" s="28">
        <f>roundup(Y53*'VANVA (Future) Versi 2'!$V$6,0)</f>
        <v>3</v>
      </c>
      <c r="Q53" s="28">
        <f>roundup(Y53*'VANVA (Future) Versi 2'!$V$7,0)</f>
        <v>2</v>
      </c>
      <c r="R53" s="28">
        <f>roundup(Y53*'VANVA (Future) Versi 2'!$V$8,0)</f>
        <v>1</v>
      </c>
      <c r="S53" s="28">
        <f>(value(left(vlookup(Z53,dayspo,19,0),1)))</f>
        <v>6</v>
      </c>
      <c r="T53" s="29">
        <f t="shared" si="1"/>
        <v>16</v>
      </c>
      <c r="U53" s="29">
        <f t="shared" si="2"/>
        <v>5</v>
      </c>
      <c r="V53" s="29" t="s">
        <v>546</v>
      </c>
      <c r="W53" s="28" t="s">
        <v>184</v>
      </c>
      <c r="X53" s="28" t="s">
        <v>318</v>
      </c>
      <c r="Y53" s="27">
        <f t="shared" si="3"/>
        <v>12</v>
      </c>
      <c r="Z53" s="27">
        <v>5.100139566E9</v>
      </c>
      <c r="AA53" s="28" t="s">
        <v>174</v>
      </c>
      <c r="AB53" s="31"/>
      <c r="AC53" s="28" t="s">
        <v>158</v>
      </c>
      <c r="AD53" s="28" t="s">
        <v>175</v>
      </c>
      <c r="AE53" s="28" t="s">
        <v>160</v>
      </c>
      <c r="AF53" s="27">
        <f t="shared" si="4"/>
        <v>11</v>
      </c>
      <c r="AG53" s="27">
        <v>1.0</v>
      </c>
      <c r="AH53" s="28" t="s">
        <v>575</v>
      </c>
      <c r="AI53" s="28" t="s">
        <v>576</v>
      </c>
      <c r="AJ53" s="28" t="s">
        <v>577</v>
      </c>
      <c r="AK53" s="28" t="s">
        <v>578</v>
      </c>
      <c r="AL53" s="28" t="s">
        <v>165</v>
      </c>
      <c r="AM53" s="27">
        <v>1.0</v>
      </c>
    </row>
    <row r="54">
      <c r="A54" s="27">
        <v>2166575.0</v>
      </c>
      <c r="B54" s="28" t="s">
        <v>147</v>
      </c>
      <c r="C54" s="27">
        <v>2.200103662E9</v>
      </c>
      <c r="D54" s="27">
        <v>10.0</v>
      </c>
      <c r="E54" s="28" t="s">
        <v>148</v>
      </c>
      <c r="F54" s="28" t="s">
        <v>579</v>
      </c>
      <c r="G54" s="28" t="s">
        <v>580</v>
      </c>
      <c r="H54" s="28" t="s">
        <v>581</v>
      </c>
      <c r="I54" s="33">
        <v>45722.0</v>
      </c>
      <c r="J54" s="27" t="s">
        <v>391</v>
      </c>
      <c r="K54" s="32">
        <v>45812.0</v>
      </c>
      <c r="L54" s="5">
        <f>Value(left(vlookup(Z54,dayspo,7,0),1))</f>
        <v>4</v>
      </c>
      <c r="M54" s="28">
        <f>roundup(Y54*'VANVA (Future) Versi 2'!$V$2,0)</f>
        <v>1</v>
      </c>
      <c r="N54" s="28">
        <f>roundup(Y54*'VANVA (Future) Versi 2'!$V$3,0)</f>
        <v>1</v>
      </c>
      <c r="O54" s="28">
        <f>roundup(Y54*'VANVA (Future) Versi 2'!$V$5,0)</f>
        <v>1</v>
      </c>
      <c r="P54" s="28">
        <f>roundup(Y54*'VANVA (Future) Versi 2'!$V$6,0)</f>
        <v>3</v>
      </c>
      <c r="Q54" s="28">
        <f>roundup(Y54*'VANVA (Future) Versi 2'!$V$7,0)</f>
        <v>2</v>
      </c>
      <c r="R54" s="28">
        <f>roundup(Y54*'VANVA (Future) Versi 2'!$V$8,0)</f>
        <v>1</v>
      </c>
      <c r="S54" s="28">
        <f>(value(left(vlookup(Z54,dayspo,19,0),1)))</f>
        <v>1</v>
      </c>
      <c r="T54" s="29">
        <f t="shared" si="1"/>
        <v>14</v>
      </c>
      <c r="U54" s="29">
        <f t="shared" si="2"/>
        <v>3</v>
      </c>
      <c r="V54" s="29" t="s">
        <v>582</v>
      </c>
      <c r="W54" s="28" t="s">
        <v>295</v>
      </c>
      <c r="X54" s="28" t="s">
        <v>160</v>
      </c>
      <c r="Y54" s="27">
        <f t="shared" si="3"/>
        <v>11</v>
      </c>
      <c r="Z54" s="27">
        <v>5.100139717E9</v>
      </c>
      <c r="AA54" s="28" t="s">
        <v>174</v>
      </c>
      <c r="AB54" s="31"/>
      <c r="AC54" s="28" t="s">
        <v>158</v>
      </c>
      <c r="AD54" s="28" t="s">
        <v>175</v>
      </c>
      <c r="AE54" s="28" t="s">
        <v>160</v>
      </c>
      <c r="AF54" s="27">
        <f t="shared" si="4"/>
        <v>11</v>
      </c>
      <c r="AG54" s="27">
        <v>1.0</v>
      </c>
      <c r="AH54" s="28" t="s">
        <v>583</v>
      </c>
      <c r="AI54" s="28" t="s">
        <v>584</v>
      </c>
      <c r="AJ54" s="28" t="s">
        <v>584</v>
      </c>
      <c r="AK54" s="28" t="s">
        <v>585</v>
      </c>
      <c r="AL54" s="28" t="s">
        <v>586</v>
      </c>
      <c r="AM54" s="27">
        <v>1.0</v>
      </c>
    </row>
    <row r="55">
      <c r="A55" s="27">
        <v>2166575.0</v>
      </c>
      <c r="B55" s="28" t="s">
        <v>147</v>
      </c>
      <c r="C55" s="27">
        <v>2.200103688E9</v>
      </c>
      <c r="D55" s="27">
        <v>10.0</v>
      </c>
      <c r="E55" s="28" t="s">
        <v>148</v>
      </c>
      <c r="F55" s="28" t="s">
        <v>523</v>
      </c>
      <c r="G55" s="28" t="s">
        <v>587</v>
      </c>
      <c r="H55" s="28" t="s">
        <v>201</v>
      </c>
      <c r="I55" s="33">
        <v>45753.0</v>
      </c>
      <c r="J55" s="33">
        <v>45753.0</v>
      </c>
      <c r="K55" s="29" t="s">
        <v>588</v>
      </c>
      <c r="L55" s="5">
        <f>Value(left(vlookup(Z55,dayspo,7,0),1))</f>
        <v>4</v>
      </c>
      <c r="M55" s="28">
        <f>roundup(Y55*'VANVA (Future) Versi 2'!$V$2,0)</f>
        <v>1</v>
      </c>
      <c r="N55" s="28">
        <f>roundup(Y55*'VANVA (Future) Versi 2'!$V$3,0)</f>
        <v>1</v>
      </c>
      <c r="O55" s="28">
        <f>roundup(Y55*'VANVA (Future) Versi 2'!$V$5,0)</f>
        <v>2</v>
      </c>
      <c r="P55" s="28">
        <f>roundup(Y55*'VANVA (Future) Versi 2'!$V$6,0)</f>
        <v>4</v>
      </c>
      <c r="Q55" s="28">
        <f>roundup(Y55*'VANVA (Future) Versi 2'!$V$7,0)</f>
        <v>2</v>
      </c>
      <c r="R55" s="28">
        <f>roundup(Y55*'VANVA (Future) Versi 2'!$V$8,0)</f>
        <v>1</v>
      </c>
      <c r="S55" s="28">
        <f>(value(left(vlookup(Z55,dayspo,19,0),1)))</f>
        <v>2</v>
      </c>
      <c r="T55" s="29">
        <f t="shared" si="1"/>
        <v>17</v>
      </c>
      <c r="U55" s="29">
        <f t="shared" si="2"/>
        <v>4</v>
      </c>
      <c r="V55" s="32">
        <v>45846.0</v>
      </c>
      <c r="W55" s="28" t="s">
        <v>494</v>
      </c>
      <c r="X55" s="28" t="s">
        <v>159</v>
      </c>
      <c r="Y55" s="27">
        <f t="shared" si="3"/>
        <v>15</v>
      </c>
      <c r="Z55" s="27">
        <v>5.10014046E9</v>
      </c>
      <c r="AA55" s="28" t="s">
        <v>495</v>
      </c>
      <c r="AB55" s="31"/>
      <c r="AC55" s="28" t="s">
        <v>158</v>
      </c>
      <c r="AD55" s="28" t="s">
        <v>175</v>
      </c>
      <c r="AE55" s="28" t="s">
        <v>156</v>
      </c>
      <c r="AF55" s="27">
        <f t="shared" si="4"/>
        <v>13</v>
      </c>
      <c r="AG55" s="27">
        <v>1.0</v>
      </c>
      <c r="AH55" s="28" t="s">
        <v>589</v>
      </c>
      <c r="AI55" s="28" t="s">
        <v>590</v>
      </c>
      <c r="AJ55" s="28" t="s">
        <v>591</v>
      </c>
      <c r="AK55" s="28" t="s">
        <v>592</v>
      </c>
      <c r="AL55" s="28" t="s">
        <v>593</v>
      </c>
      <c r="AM55" s="27">
        <v>1.0</v>
      </c>
    </row>
    <row r="56">
      <c r="A56" s="27">
        <v>2166575.0</v>
      </c>
      <c r="B56" s="28" t="s">
        <v>147</v>
      </c>
      <c r="C56" s="27">
        <v>2.200103739E9</v>
      </c>
      <c r="D56" s="27">
        <v>10.0</v>
      </c>
      <c r="E56" s="28" t="s">
        <v>148</v>
      </c>
      <c r="F56" s="28" t="s">
        <v>209</v>
      </c>
      <c r="G56" s="28" t="s">
        <v>594</v>
      </c>
      <c r="H56" s="28" t="s">
        <v>168</v>
      </c>
      <c r="I56" s="33">
        <v>45906.0</v>
      </c>
      <c r="J56" s="27" t="s">
        <v>595</v>
      </c>
      <c r="K56" s="29" t="s">
        <v>546</v>
      </c>
      <c r="L56" s="5">
        <f>Value(left(vlookup(Z56,dayspo,7,0),1))</f>
        <v>2</v>
      </c>
      <c r="M56" s="28">
        <f>roundup(Y56*'VANVA (Future) Versi 2'!$V$2,0)</f>
        <v>1</v>
      </c>
      <c r="N56" s="28">
        <f>roundup(Y56*'VANVA (Future) Versi 2'!$V$3,0)</f>
        <v>1</v>
      </c>
      <c r="O56" s="28">
        <f>roundup(Y56*'VANVA (Future) Versi 2'!$V$5,0)</f>
        <v>1</v>
      </c>
      <c r="P56" s="28">
        <f>roundup(Y56*'VANVA (Future) Versi 2'!$V$6,0)</f>
        <v>3</v>
      </c>
      <c r="Q56" s="28">
        <f>roundup(Y56*'VANVA (Future) Versi 2'!$V$7,0)</f>
        <v>2</v>
      </c>
      <c r="R56" s="28">
        <f>roundup(Y56*'VANVA (Future) Versi 2'!$V$8,0)</f>
        <v>1</v>
      </c>
      <c r="S56" s="28">
        <f>(value(left(vlookup(Z56,dayspo,19,0),1)))</f>
        <v>1</v>
      </c>
      <c r="T56" s="29">
        <f t="shared" si="1"/>
        <v>12</v>
      </c>
      <c r="U56" s="29">
        <f t="shared" si="2"/>
        <v>2</v>
      </c>
      <c r="V56" s="32">
        <v>45845.0</v>
      </c>
      <c r="W56" s="28" t="s">
        <v>547</v>
      </c>
      <c r="X56" s="28" t="s">
        <v>160</v>
      </c>
      <c r="Y56" s="27">
        <f t="shared" si="3"/>
        <v>11</v>
      </c>
      <c r="Z56" s="27">
        <v>5.100140396E9</v>
      </c>
      <c r="AA56" s="28" t="s">
        <v>174</v>
      </c>
      <c r="AB56" s="31"/>
      <c r="AC56" s="28" t="s">
        <v>158</v>
      </c>
      <c r="AD56" s="28" t="s">
        <v>175</v>
      </c>
      <c r="AE56" s="28" t="s">
        <v>185</v>
      </c>
      <c r="AF56" s="27">
        <f t="shared" si="4"/>
        <v>10</v>
      </c>
      <c r="AG56" s="27">
        <v>1.0</v>
      </c>
      <c r="AH56" s="28" t="s">
        <v>596</v>
      </c>
      <c r="AI56" s="28" t="s">
        <v>597</v>
      </c>
      <c r="AJ56" s="28" t="s">
        <v>598</v>
      </c>
      <c r="AK56" s="28" t="s">
        <v>599</v>
      </c>
      <c r="AL56" s="28" t="s">
        <v>600</v>
      </c>
      <c r="AM56" s="27">
        <v>1.0</v>
      </c>
    </row>
    <row r="57">
      <c r="A57" s="27">
        <v>2166575.0</v>
      </c>
      <c r="B57" s="28" t="s">
        <v>147</v>
      </c>
      <c r="C57" s="27">
        <v>2.20010383E9</v>
      </c>
      <c r="D57" s="27">
        <v>10.0</v>
      </c>
      <c r="E57" s="28" t="s">
        <v>148</v>
      </c>
      <c r="F57" s="28" t="s">
        <v>601</v>
      </c>
      <c r="G57" s="28" t="s">
        <v>602</v>
      </c>
      <c r="H57" s="28" t="s">
        <v>201</v>
      </c>
      <c r="I57" s="33">
        <v>45997.0</v>
      </c>
      <c r="J57" s="27" t="s">
        <v>546</v>
      </c>
      <c r="K57" s="29" t="s">
        <v>582</v>
      </c>
      <c r="M57" s="28">
        <f>roundup(Y57*'VANVA (Future) Versi 2'!$V$2,0)</f>
        <v>1</v>
      </c>
      <c r="N57" s="28">
        <f>roundup(Y57*'VANVA (Future) Versi 2'!$V$3,0)</f>
        <v>1</v>
      </c>
      <c r="O57" s="28">
        <f>roundup(Y57*'VANVA (Future) Versi 2'!$V$5,0)</f>
        <v>1</v>
      </c>
      <c r="P57" s="28">
        <f>roundup(Y57*'VANVA (Future) Versi 2'!$V$6,0)</f>
        <v>1</v>
      </c>
      <c r="Q57" s="28">
        <f>roundup(Y57*'VANVA (Future) Versi 2'!$V$7,0)</f>
        <v>1</v>
      </c>
      <c r="R57" s="28">
        <f>roundup(Y57*'VANVA (Future) Versi 2'!$V$8,0)</f>
        <v>1</v>
      </c>
      <c r="S57" s="28">
        <f>roundup(Y57*'VANVA (Future) Versi 2'!$V$9,0)</f>
        <v>1</v>
      </c>
      <c r="T57" s="29">
        <f t="shared" si="1"/>
        <v>7</v>
      </c>
      <c r="U57" s="29">
        <f t="shared" si="2"/>
        <v>6</v>
      </c>
      <c r="V57" s="29" t="s">
        <v>603</v>
      </c>
      <c r="W57" s="28" t="s">
        <v>442</v>
      </c>
      <c r="X57" s="28" t="s">
        <v>604</v>
      </c>
      <c r="Y57" s="27">
        <f t="shared" si="3"/>
        <v>1</v>
      </c>
      <c r="Z57" s="27">
        <v>5.100139746E9</v>
      </c>
      <c r="AA57" s="28" t="s">
        <v>157</v>
      </c>
      <c r="AB57" s="27">
        <v>4.000000672E9</v>
      </c>
      <c r="AC57" s="28" t="s">
        <v>605</v>
      </c>
      <c r="AD57" s="28" t="s">
        <v>410</v>
      </c>
      <c r="AE57" s="28" t="s">
        <v>604</v>
      </c>
      <c r="AF57" s="27">
        <f t="shared" si="4"/>
        <v>1</v>
      </c>
      <c r="AG57" s="27">
        <v>1.0</v>
      </c>
      <c r="AH57" s="28" t="s">
        <v>606</v>
      </c>
      <c r="AI57" s="28" t="s">
        <v>607</v>
      </c>
      <c r="AJ57" s="28" t="s">
        <v>607</v>
      </c>
      <c r="AK57" s="28" t="s">
        <v>608</v>
      </c>
      <c r="AL57" s="28" t="s">
        <v>448</v>
      </c>
      <c r="AM57" s="28" t="s">
        <v>367</v>
      </c>
    </row>
    <row r="58">
      <c r="A58" s="27">
        <v>2166575.0</v>
      </c>
      <c r="B58" s="28" t="s">
        <v>147</v>
      </c>
      <c r="C58" s="27">
        <v>2.200104101E9</v>
      </c>
      <c r="D58" s="27">
        <v>10.0</v>
      </c>
      <c r="E58" s="28" t="s">
        <v>148</v>
      </c>
      <c r="F58" s="28" t="s">
        <v>523</v>
      </c>
      <c r="G58" s="28" t="s">
        <v>609</v>
      </c>
      <c r="H58" s="28" t="s">
        <v>201</v>
      </c>
      <c r="I58" s="27" t="s">
        <v>582</v>
      </c>
      <c r="J58" s="27" t="s">
        <v>582</v>
      </c>
      <c r="K58" s="29" t="s">
        <v>603</v>
      </c>
      <c r="L58" s="5">
        <f>Value(left(vlookup(Z58,dayspo,7,0),1))</f>
        <v>2</v>
      </c>
      <c r="M58" s="28">
        <f>roundup(Y58*'VANVA (Future) Versi 2'!$V$2,0)</f>
        <v>1</v>
      </c>
      <c r="N58" s="28">
        <f>roundup(Y58*'VANVA (Future) Versi 2'!$V$3,0)</f>
        <v>1</v>
      </c>
      <c r="O58" s="28">
        <f>roundup(Y58*'VANVA (Future) Versi 2'!$V$5,0)</f>
        <v>2</v>
      </c>
      <c r="P58" s="28">
        <f>roundup(Y58*'VANVA (Future) Versi 2'!$V$6,0)</f>
        <v>4</v>
      </c>
      <c r="Q58" s="28">
        <f>roundup(Y58*'VANVA (Future) Versi 2'!$V$7,0)</f>
        <v>2</v>
      </c>
      <c r="R58" s="28">
        <f>roundup(Y58*'VANVA (Future) Versi 2'!$V$8,0)</f>
        <v>1</v>
      </c>
      <c r="S58" s="28">
        <f>(value(left(vlookup(Z58,dayspo,19,0),1)))</f>
        <v>4</v>
      </c>
      <c r="T58" s="29">
        <f t="shared" si="1"/>
        <v>17</v>
      </c>
      <c r="U58" s="29">
        <f t="shared" si="2"/>
        <v>3</v>
      </c>
      <c r="V58" s="29" t="s">
        <v>610</v>
      </c>
      <c r="W58" s="28" t="s">
        <v>494</v>
      </c>
      <c r="X58" s="28" t="s">
        <v>297</v>
      </c>
      <c r="Y58" s="27">
        <f t="shared" si="3"/>
        <v>16</v>
      </c>
      <c r="Z58" s="27">
        <v>5.100140662E9</v>
      </c>
      <c r="AA58" s="28" t="s">
        <v>495</v>
      </c>
      <c r="AB58" s="31"/>
      <c r="AC58" s="28" t="s">
        <v>158</v>
      </c>
      <c r="AD58" s="28" t="s">
        <v>175</v>
      </c>
      <c r="AE58" s="28" t="s">
        <v>223</v>
      </c>
      <c r="AF58" s="27">
        <f t="shared" si="4"/>
        <v>14</v>
      </c>
      <c r="AG58" s="27">
        <v>1.0</v>
      </c>
      <c r="AH58" s="28" t="s">
        <v>611</v>
      </c>
      <c r="AI58" s="28" t="s">
        <v>612</v>
      </c>
      <c r="AJ58" s="28" t="s">
        <v>613</v>
      </c>
      <c r="AK58" s="28" t="s">
        <v>614</v>
      </c>
      <c r="AL58" s="28" t="s">
        <v>615</v>
      </c>
      <c r="AM58" s="27">
        <v>1.0</v>
      </c>
    </row>
    <row r="61">
      <c r="L61" s="5">
        <f t="shared" ref="L61:S61" si="5">max(L3:L58)</f>
        <v>6</v>
      </c>
      <c r="M61" s="5">
        <f t="shared" si="5"/>
        <v>1</v>
      </c>
      <c r="N61" s="5">
        <f t="shared" si="5"/>
        <v>1</v>
      </c>
      <c r="O61" s="5">
        <f t="shared" si="5"/>
        <v>4</v>
      </c>
      <c r="P61" s="5">
        <f t="shared" si="5"/>
        <v>8</v>
      </c>
      <c r="Q61" s="5">
        <f t="shared" si="5"/>
        <v>5</v>
      </c>
      <c r="R61" s="5">
        <f t="shared" si="5"/>
        <v>2</v>
      </c>
      <c r="S61" s="5">
        <f t="shared" si="5"/>
        <v>9</v>
      </c>
    </row>
    <row r="62">
      <c r="T62" s="5">
        <f>sum(T3:T58)</f>
        <v>766</v>
      </c>
    </row>
    <row r="63">
      <c r="L63" s="5">
        <f t="shared" ref="L63:S63" si="6">average(L3:L58)</f>
        <v>1.036363636</v>
      </c>
      <c r="M63" s="5">
        <f t="shared" si="6"/>
        <v>1</v>
      </c>
      <c r="N63" s="5">
        <f t="shared" si="6"/>
        <v>1</v>
      </c>
      <c r="O63" s="5">
        <f t="shared" si="6"/>
        <v>1.660714286</v>
      </c>
      <c r="P63" s="5">
        <f t="shared" si="6"/>
        <v>3.392857143</v>
      </c>
      <c r="Q63" s="15">
        <f t="shared" si="6"/>
        <v>2.089285714</v>
      </c>
      <c r="R63" s="5">
        <f t="shared" si="6"/>
        <v>1.017857143</v>
      </c>
      <c r="S63" s="5">
        <f t="shared" si="6"/>
        <v>2.5</v>
      </c>
      <c r="T63" s="5">
        <f>T62/56</f>
        <v>13.67857143</v>
      </c>
    </row>
    <row r="64">
      <c r="Q64" s="6" t="s">
        <v>616</v>
      </c>
    </row>
    <row r="65">
      <c r="S65" s="6" t="s">
        <v>617</v>
      </c>
      <c r="T65" s="5">
        <f>average(T3:T58)</f>
        <v>13.67857143</v>
      </c>
    </row>
    <row r="66">
      <c r="S66" s="6" t="s">
        <v>618</v>
      </c>
      <c r="T66" s="8">
        <f>'VANVA (Future) Versi 2'!U12</f>
        <v>33.87152778</v>
      </c>
    </row>
    <row r="67">
      <c r="S67" s="6" t="s">
        <v>619</v>
      </c>
      <c r="T67" s="12">
        <f>(T66-T65)/T66</f>
        <v>0.5961631398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B2" s="10"/>
      <c r="C2" s="14" t="s">
        <v>620</v>
      </c>
      <c r="D2" s="14" t="s">
        <v>621</v>
      </c>
      <c r="E2" s="14" t="s">
        <v>622</v>
      </c>
    </row>
    <row r="3">
      <c r="A3" s="6" t="s">
        <v>13</v>
      </c>
      <c r="B3" s="10" t="str">
        <f>'Rata-rata'!S65</f>
        <v>realisasi </v>
      </c>
      <c r="C3" s="42">
        <f>'Rata-rata'!T65</f>
        <v>14.33928571</v>
      </c>
      <c r="D3" s="42">
        <f>'Rata-rata V1'!T65</f>
        <v>14.21428571</v>
      </c>
      <c r="E3" s="42">
        <f>'Rata-rataFuture V2'!T65</f>
        <v>13.67857143</v>
      </c>
    </row>
    <row r="4">
      <c r="B4" s="10" t="str">
        <f>'Rata-rata'!S66</f>
        <v>Standar </v>
      </c>
      <c r="C4" s="42">
        <f>'Rata-rata'!T66</f>
        <v>34.46180556</v>
      </c>
      <c r="D4" s="42">
        <f>'Rata-rata V1'!T66</f>
        <v>34.01041667</v>
      </c>
      <c r="E4" s="42">
        <f>'Rata-rataFuture V2'!T66</f>
        <v>33.87152778</v>
      </c>
    </row>
    <row r="5">
      <c r="B5" s="10" t="str">
        <f>'Rata-rata'!S67</f>
        <v>%</v>
      </c>
      <c r="C5" s="43">
        <f>'Rata-rata'!T67</f>
        <v>0.5839078805</v>
      </c>
      <c r="D5" s="43">
        <f>'Rata-rata V1'!T67</f>
        <v>0.5820608182</v>
      </c>
      <c r="E5" s="44">
        <f>'Rata-rataFuture V2'!T67</f>
        <v>0.5961631398</v>
      </c>
    </row>
  </sheetData>
  <mergeCells count="1">
    <mergeCell ref="A3:A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5" t="s">
        <v>623</v>
      </c>
    </row>
    <row r="2">
      <c r="A2" s="23" t="s">
        <v>624</v>
      </c>
      <c r="B2" s="23" t="s">
        <v>625</v>
      </c>
      <c r="C2" s="23" t="s">
        <v>626</v>
      </c>
      <c r="D2" s="23" t="s">
        <v>112</v>
      </c>
      <c r="E2" s="23" t="s">
        <v>627</v>
      </c>
      <c r="F2" s="23" t="s">
        <v>113</v>
      </c>
      <c r="G2" s="23" t="s">
        <v>628</v>
      </c>
      <c r="H2" s="23" t="s">
        <v>629</v>
      </c>
      <c r="I2" s="23" t="s">
        <v>135</v>
      </c>
      <c r="J2" s="23" t="s">
        <v>630</v>
      </c>
      <c r="K2" s="23" t="s">
        <v>631</v>
      </c>
      <c r="L2" s="23" t="s">
        <v>130</v>
      </c>
      <c r="M2" s="23" t="s">
        <v>91</v>
      </c>
      <c r="N2" s="23" t="s">
        <v>632</v>
      </c>
      <c r="O2" s="23" t="s">
        <v>633</v>
      </c>
      <c r="P2" s="23" t="s">
        <v>634</v>
      </c>
      <c r="Q2" s="23" t="s">
        <v>635</v>
      </c>
      <c r="R2" s="23" t="s">
        <v>636</v>
      </c>
      <c r="S2" s="23" t="s">
        <v>637</v>
      </c>
      <c r="T2" s="23" t="s">
        <v>638</v>
      </c>
      <c r="U2" s="23" t="s">
        <v>639</v>
      </c>
      <c r="V2" s="23" t="s">
        <v>640</v>
      </c>
      <c r="W2" s="23" t="s">
        <v>641</v>
      </c>
      <c r="X2" s="23" t="s">
        <v>642</v>
      </c>
      <c r="Y2" s="23" t="s">
        <v>643</v>
      </c>
      <c r="Z2" s="23" t="s">
        <v>644</v>
      </c>
      <c r="AA2" s="23" t="s">
        <v>645</v>
      </c>
      <c r="AB2" s="23" t="s">
        <v>646</v>
      </c>
      <c r="AC2" s="23" t="s">
        <v>647</v>
      </c>
      <c r="AD2" s="23" t="s">
        <v>648</v>
      </c>
      <c r="AE2" s="23" t="s">
        <v>649</v>
      </c>
      <c r="AF2" s="23" t="s">
        <v>650</v>
      </c>
      <c r="AG2" s="23" t="s">
        <v>651</v>
      </c>
      <c r="AH2" s="23" t="s">
        <v>652</v>
      </c>
      <c r="AI2" s="23" t="s">
        <v>653</v>
      </c>
      <c r="AJ2" s="23" t="s">
        <v>654</v>
      </c>
      <c r="AK2" s="23" t="s">
        <v>655</v>
      </c>
      <c r="AL2" s="23" t="s">
        <v>656</v>
      </c>
    </row>
    <row r="3">
      <c r="A3" s="28"/>
      <c r="B3" s="27"/>
      <c r="C3" s="28"/>
      <c r="D3" s="27"/>
      <c r="E3" s="28"/>
      <c r="F3" s="27"/>
      <c r="G3" s="28"/>
      <c r="H3" s="27"/>
      <c r="I3" s="28"/>
      <c r="J3" s="27"/>
      <c r="K3" s="28">
        <v>1.0</v>
      </c>
      <c r="L3" s="27">
        <v>2.0</v>
      </c>
      <c r="M3" s="28">
        <v>3.0</v>
      </c>
      <c r="N3" s="28">
        <v>4.0</v>
      </c>
      <c r="O3" s="27">
        <v>5.0</v>
      </c>
      <c r="P3" s="28">
        <v>6.0</v>
      </c>
      <c r="Q3" s="28">
        <v>7.0</v>
      </c>
      <c r="R3" s="27">
        <v>8.0</v>
      </c>
      <c r="S3" s="28">
        <v>9.0</v>
      </c>
      <c r="T3" s="28">
        <v>10.0</v>
      </c>
      <c r="U3" s="27">
        <v>11.0</v>
      </c>
      <c r="V3" s="28">
        <v>12.0</v>
      </c>
      <c r="W3" s="28">
        <v>13.0</v>
      </c>
      <c r="X3" s="27">
        <v>14.0</v>
      </c>
      <c r="Y3" s="28">
        <v>15.0</v>
      </c>
      <c r="Z3" s="28">
        <v>16.0</v>
      </c>
      <c r="AA3" s="27">
        <v>17.0</v>
      </c>
      <c r="AB3" s="28">
        <v>18.0</v>
      </c>
      <c r="AC3" s="28">
        <v>19.0</v>
      </c>
      <c r="AD3" s="27">
        <v>20.0</v>
      </c>
      <c r="AE3" s="28">
        <v>21.0</v>
      </c>
      <c r="AF3" s="28">
        <v>22.0</v>
      </c>
      <c r="AG3" s="27">
        <v>23.0</v>
      </c>
      <c r="AH3" s="28">
        <v>24.0</v>
      </c>
      <c r="AI3" s="28">
        <v>25.0</v>
      </c>
      <c r="AJ3" s="27">
        <v>26.0</v>
      </c>
      <c r="AK3" s="28">
        <v>27.0</v>
      </c>
      <c r="AL3" s="28">
        <v>28.0</v>
      </c>
    </row>
    <row r="4">
      <c r="A4" s="28" t="s">
        <v>367</v>
      </c>
      <c r="B4" s="27">
        <v>2.200100274E9</v>
      </c>
      <c r="C4" s="28" t="s">
        <v>174</v>
      </c>
      <c r="D4" s="27">
        <v>30.0</v>
      </c>
      <c r="E4" s="28" t="s">
        <v>332</v>
      </c>
      <c r="F4" s="28" t="s">
        <v>148</v>
      </c>
      <c r="G4" s="28" t="s">
        <v>364</v>
      </c>
      <c r="H4" s="28" t="s">
        <v>657</v>
      </c>
      <c r="I4" s="46"/>
      <c r="J4" s="28" t="s">
        <v>658</v>
      </c>
      <c r="K4" s="27">
        <v>5.10014132E9</v>
      </c>
      <c r="L4" s="28" t="s">
        <v>659</v>
      </c>
      <c r="M4" s="28" t="s">
        <v>367</v>
      </c>
      <c r="N4" s="28" t="s">
        <v>367</v>
      </c>
      <c r="O4" s="28" t="s">
        <v>604</v>
      </c>
      <c r="P4" s="27">
        <v>0.0</v>
      </c>
      <c r="Q4" s="28" t="s">
        <v>660</v>
      </c>
      <c r="R4" s="28" t="s">
        <v>248</v>
      </c>
      <c r="S4" s="28" t="s">
        <v>367</v>
      </c>
      <c r="T4" s="28" t="s">
        <v>367</v>
      </c>
      <c r="U4" s="28" t="s">
        <v>367</v>
      </c>
      <c r="V4" s="28" t="s">
        <v>156</v>
      </c>
      <c r="W4" s="28" t="s">
        <v>367</v>
      </c>
      <c r="X4" s="28" t="s">
        <v>367</v>
      </c>
      <c r="Y4" s="28" t="s">
        <v>367</v>
      </c>
      <c r="Z4" s="28" t="s">
        <v>401</v>
      </c>
      <c r="AA4" s="28" t="s">
        <v>367</v>
      </c>
      <c r="AB4" s="28" t="s">
        <v>367</v>
      </c>
      <c r="AC4" s="28" t="s">
        <v>604</v>
      </c>
      <c r="AD4" s="28" t="s">
        <v>661</v>
      </c>
      <c r="AE4" s="28" t="s">
        <v>367</v>
      </c>
      <c r="AF4" s="28" t="s">
        <v>367</v>
      </c>
      <c r="AG4" s="28" t="s">
        <v>286</v>
      </c>
      <c r="AH4" s="28" t="s">
        <v>662</v>
      </c>
      <c r="AI4" s="28" t="s">
        <v>286</v>
      </c>
      <c r="AJ4" s="28" t="s">
        <v>286</v>
      </c>
      <c r="AK4" s="28" t="s">
        <v>367</v>
      </c>
      <c r="AL4" s="28" t="s">
        <v>367</v>
      </c>
    </row>
    <row r="5">
      <c r="A5" s="28" t="s">
        <v>367</v>
      </c>
      <c r="B5" s="27">
        <v>2.200100274E9</v>
      </c>
      <c r="C5" s="28" t="s">
        <v>174</v>
      </c>
      <c r="D5" s="27">
        <v>20.0</v>
      </c>
      <c r="E5" s="28" t="s">
        <v>332</v>
      </c>
      <c r="F5" s="28" t="s">
        <v>663</v>
      </c>
      <c r="G5" s="28" t="s">
        <v>664</v>
      </c>
      <c r="H5" s="28" t="s">
        <v>657</v>
      </c>
      <c r="I5" s="46"/>
      <c r="J5" s="28" t="s">
        <v>367</v>
      </c>
      <c r="K5" s="28" t="s">
        <v>367</v>
      </c>
      <c r="L5" s="28" t="s">
        <v>367</v>
      </c>
      <c r="M5" s="28" t="s">
        <v>367</v>
      </c>
      <c r="N5" s="28" t="s">
        <v>367</v>
      </c>
      <c r="O5" s="28" t="s">
        <v>604</v>
      </c>
      <c r="P5" s="27">
        <v>0.0</v>
      </c>
      <c r="Q5" s="28" t="s">
        <v>173</v>
      </c>
      <c r="R5" s="28" t="s">
        <v>367</v>
      </c>
      <c r="S5" s="28" t="s">
        <v>367</v>
      </c>
      <c r="T5" s="28" t="s">
        <v>367</v>
      </c>
      <c r="U5" s="28" t="s">
        <v>367</v>
      </c>
      <c r="V5" s="28" t="s">
        <v>367</v>
      </c>
      <c r="W5" s="28" t="s">
        <v>367</v>
      </c>
      <c r="X5" s="28" t="s">
        <v>367</v>
      </c>
      <c r="Y5" s="28" t="s">
        <v>367</v>
      </c>
      <c r="Z5" s="28" t="s">
        <v>367</v>
      </c>
      <c r="AA5" s="28" t="s">
        <v>367</v>
      </c>
      <c r="AB5" s="28" t="s">
        <v>367</v>
      </c>
      <c r="AC5" s="28" t="s">
        <v>367</v>
      </c>
      <c r="AD5" s="28" t="s">
        <v>367</v>
      </c>
      <c r="AE5" s="28" t="s">
        <v>367</v>
      </c>
      <c r="AF5" s="28" t="s">
        <v>367</v>
      </c>
      <c r="AG5" s="28" t="s">
        <v>185</v>
      </c>
      <c r="AH5" s="28" t="s">
        <v>665</v>
      </c>
      <c r="AI5" s="28" t="s">
        <v>367</v>
      </c>
      <c r="AJ5" s="28" t="s">
        <v>367</v>
      </c>
      <c r="AK5" s="28" t="s">
        <v>367</v>
      </c>
      <c r="AL5" s="28" t="s">
        <v>367</v>
      </c>
    </row>
    <row r="6">
      <c r="A6" s="28" t="s">
        <v>224</v>
      </c>
      <c r="B6" s="27">
        <v>2.200099103E9</v>
      </c>
      <c r="C6" s="28" t="s">
        <v>174</v>
      </c>
      <c r="D6" s="27">
        <v>10.0</v>
      </c>
      <c r="E6" s="28" t="s">
        <v>221</v>
      </c>
      <c r="F6" s="28" t="s">
        <v>148</v>
      </c>
      <c r="G6" s="28" t="s">
        <v>220</v>
      </c>
      <c r="H6" s="28" t="s">
        <v>657</v>
      </c>
      <c r="I6" s="46"/>
      <c r="J6" s="28" t="s">
        <v>658</v>
      </c>
      <c r="K6" s="27">
        <v>5.100134053E9</v>
      </c>
      <c r="L6" s="47">
        <v>45659.0</v>
      </c>
      <c r="M6" s="46"/>
      <c r="N6" s="28" t="s">
        <v>367</v>
      </c>
      <c r="O6" s="28" t="s">
        <v>660</v>
      </c>
      <c r="P6" s="27">
        <v>0.0</v>
      </c>
      <c r="Q6" s="28" t="s">
        <v>660</v>
      </c>
      <c r="R6" s="28" t="s">
        <v>248</v>
      </c>
      <c r="S6" s="28" t="s">
        <v>367</v>
      </c>
      <c r="T6" s="28" t="s">
        <v>367</v>
      </c>
      <c r="U6" s="28" t="s">
        <v>367</v>
      </c>
      <c r="V6" s="28" t="s">
        <v>367</v>
      </c>
      <c r="W6" s="28" t="s">
        <v>367</v>
      </c>
      <c r="X6" s="28" t="s">
        <v>367</v>
      </c>
      <c r="Y6" s="28" t="s">
        <v>367</v>
      </c>
      <c r="Z6" s="28" t="s">
        <v>367</v>
      </c>
      <c r="AA6" s="28" t="s">
        <v>367</v>
      </c>
      <c r="AB6" s="28" t="s">
        <v>367</v>
      </c>
      <c r="AC6" s="28" t="s">
        <v>255</v>
      </c>
      <c r="AD6" s="28" t="s">
        <v>661</v>
      </c>
      <c r="AE6" s="28" t="s">
        <v>666</v>
      </c>
      <c r="AF6" s="28" t="s">
        <v>367</v>
      </c>
      <c r="AG6" s="28" t="s">
        <v>156</v>
      </c>
      <c r="AH6" s="28" t="s">
        <v>667</v>
      </c>
      <c r="AI6" s="28" t="s">
        <v>668</v>
      </c>
      <c r="AJ6" s="28" t="s">
        <v>668</v>
      </c>
      <c r="AK6" s="28" t="s">
        <v>367</v>
      </c>
      <c r="AL6" s="28" t="s">
        <v>367</v>
      </c>
    </row>
    <row r="7">
      <c r="A7" s="28" t="s">
        <v>270</v>
      </c>
      <c r="B7" s="27">
        <v>2.200099382E9</v>
      </c>
      <c r="C7" s="28" t="s">
        <v>174</v>
      </c>
      <c r="D7" s="27">
        <v>10.0</v>
      </c>
      <c r="E7" s="28" t="s">
        <v>151</v>
      </c>
      <c r="F7" s="28" t="s">
        <v>148</v>
      </c>
      <c r="G7" s="28" t="s">
        <v>266</v>
      </c>
      <c r="H7" s="28" t="s">
        <v>657</v>
      </c>
      <c r="I7" s="46"/>
      <c r="J7" s="28" t="s">
        <v>658</v>
      </c>
      <c r="K7" s="27">
        <v>5.100135176E9</v>
      </c>
      <c r="L7" s="28" t="s">
        <v>669</v>
      </c>
      <c r="M7" s="28" t="s">
        <v>367</v>
      </c>
      <c r="N7" s="28" t="s">
        <v>367</v>
      </c>
      <c r="O7" s="28" t="s">
        <v>670</v>
      </c>
      <c r="P7" s="27">
        <v>0.0</v>
      </c>
      <c r="Q7" s="28" t="s">
        <v>670</v>
      </c>
      <c r="R7" s="28" t="s">
        <v>531</v>
      </c>
      <c r="S7" s="28" t="s">
        <v>367</v>
      </c>
      <c r="T7" s="28" t="s">
        <v>367</v>
      </c>
      <c r="U7" s="28" t="s">
        <v>367</v>
      </c>
      <c r="V7" s="28" t="s">
        <v>367</v>
      </c>
      <c r="W7" s="28" t="s">
        <v>367</v>
      </c>
      <c r="X7" s="28" t="s">
        <v>367</v>
      </c>
      <c r="Y7" s="28" t="s">
        <v>367</v>
      </c>
      <c r="Z7" s="28" t="s">
        <v>367</v>
      </c>
      <c r="AA7" s="28" t="s">
        <v>367</v>
      </c>
      <c r="AB7" s="28" t="s">
        <v>367</v>
      </c>
      <c r="AC7" s="28" t="s">
        <v>410</v>
      </c>
      <c r="AD7" s="28" t="s">
        <v>661</v>
      </c>
      <c r="AE7" s="28" t="s">
        <v>367</v>
      </c>
      <c r="AF7" s="28" t="s">
        <v>367</v>
      </c>
      <c r="AG7" s="28" t="s">
        <v>269</v>
      </c>
      <c r="AH7" s="28" t="s">
        <v>671</v>
      </c>
      <c r="AI7" s="28" t="s">
        <v>269</v>
      </c>
      <c r="AJ7" s="28" t="s">
        <v>269</v>
      </c>
      <c r="AK7" s="28" t="s">
        <v>367</v>
      </c>
      <c r="AL7" s="28" t="s">
        <v>367</v>
      </c>
    </row>
    <row r="8">
      <c r="A8" s="28" t="s">
        <v>270</v>
      </c>
      <c r="B8" s="27">
        <v>2.200099382E9</v>
      </c>
      <c r="C8" s="28" t="s">
        <v>174</v>
      </c>
      <c r="D8" s="27">
        <v>10.0</v>
      </c>
      <c r="E8" s="28" t="s">
        <v>151</v>
      </c>
      <c r="F8" s="28" t="s">
        <v>148</v>
      </c>
      <c r="G8" s="28" t="s">
        <v>266</v>
      </c>
      <c r="H8" s="28" t="s">
        <v>657</v>
      </c>
      <c r="I8" s="46"/>
      <c r="J8" s="28" t="s">
        <v>658</v>
      </c>
      <c r="K8" s="27">
        <v>5.100135176E9</v>
      </c>
      <c r="L8" s="28" t="s">
        <v>669</v>
      </c>
      <c r="M8" s="28" t="s">
        <v>367</v>
      </c>
      <c r="N8" s="28" t="s">
        <v>367</v>
      </c>
      <c r="O8" s="28" t="s">
        <v>670</v>
      </c>
      <c r="P8" s="27">
        <v>0.0</v>
      </c>
      <c r="Q8" s="28" t="s">
        <v>670</v>
      </c>
      <c r="R8" s="28" t="s">
        <v>531</v>
      </c>
      <c r="S8" s="28" t="s">
        <v>367</v>
      </c>
      <c r="T8" s="28" t="s">
        <v>367</v>
      </c>
      <c r="U8" s="28" t="s">
        <v>367</v>
      </c>
      <c r="V8" s="28" t="s">
        <v>367</v>
      </c>
      <c r="W8" s="28" t="s">
        <v>367</v>
      </c>
      <c r="X8" s="28" t="s">
        <v>367</v>
      </c>
      <c r="Y8" s="28" t="s">
        <v>367</v>
      </c>
      <c r="Z8" s="28" t="s">
        <v>367</v>
      </c>
      <c r="AA8" s="28" t="s">
        <v>367</v>
      </c>
      <c r="AB8" s="28" t="s">
        <v>367</v>
      </c>
      <c r="AC8" s="28" t="s">
        <v>410</v>
      </c>
      <c r="AD8" s="28" t="s">
        <v>661</v>
      </c>
      <c r="AE8" s="28" t="s">
        <v>367</v>
      </c>
      <c r="AF8" s="28" t="s">
        <v>367</v>
      </c>
      <c r="AG8" s="28" t="s">
        <v>269</v>
      </c>
      <c r="AH8" s="28" t="s">
        <v>671</v>
      </c>
      <c r="AI8" s="28" t="s">
        <v>269</v>
      </c>
      <c r="AJ8" s="28" t="s">
        <v>269</v>
      </c>
      <c r="AK8" s="28" t="s">
        <v>367</v>
      </c>
      <c r="AL8" s="28" t="s">
        <v>367</v>
      </c>
    </row>
    <row r="9">
      <c r="A9" s="28" t="s">
        <v>238</v>
      </c>
      <c r="B9" s="27">
        <v>2.200099214E9</v>
      </c>
      <c r="C9" s="28" t="s">
        <v>174</v>
      </c>
      <c r="D9" s="27">
        <v>10.0</v>
      </c>
      <c r="E9" s="28" t="s">
        <v>221</v>
      </c>
      <c r="F9" s="28" t="s">
        <v>148</v>
      </c>
      <c r="G9" s="28" t="s">
        <v>234</v>
      </c>
      <c r="H9" s="28" t="s">
        <v>657</v>
      </c>
      <c r="I9" s="46"/>
      <c r="J9" s="28" t="s">
        <v>658</v>
      </c>
      <c r="K9" s="27">
        <v>5.100135462E9</v>
      </c>
      <c r="L9" s="28" t="s">
        <v>672</v>
      </c>
      <c r="M9" s="46"/>
      <c r="N9" s="28" t="s">
        <v>367</v>
      </c>
      <c r="O9" s="28" t="s">
        <v>604</v>
      </c>
      <c r="P9" s="27">
        <v>0.0</v>
      </c>
      <c r="Q9" s="28" t="s">
        <v>660</v>
      </c>
      <c r="R9" s="28" t="s">
        <v>186</v>
      </c>
      <c r="S9" s="28" t="s">
        <v>367</v>
      </c>
      <c r="T9" s="28" t="s">
        <v>367</v>
      </c>
      <c r="U9" s="28" t="s">
        <v>367</v>
      </c>
      <c r="V9" s="28" t="s">
        <v>367</v>
      </c>
      <c r="W9" s="28" t="s">
        <v>367</v>
      </c>
      <c r="X9" s="28" t="s">
        <v>367</v>
      </c>
      <c r="Y9" s="28" t="s">
        <v>367</v>
      </c>
      <c r="Z9" s="28" t="s">
        <v>173</v>
      </c>
      <c r="AA9" s="28" t="s">
        <v>367</v>
      </c>
      <c r="AB9" s="28" t="s">
        <v>367</v>
      </c>
      <c r="AC9" s="28" t="s">
        <v>660</v>
      </c>
      <c r="AD9" s="28" t="s">
        <v>661</v>
      </c>
      <c r="AE9" s="28" t="s">
        <v>673</v>
      </c>
      <c r="AF9" s="28" t="s">
        <v>367</v>
      </c>
      <c r="AG9" s="28" t="s">
        <v>531</v>
      </c>
      <c r="AH9" s="28" t="s">
        <v>674</v>
      </c>
      <c r="AI9" s="28" t="s">
        <v>675</v>
      </c>
      <c r="AJ9" s="28" t="s">
        <v>675</v>
      </c>
      <c r="AK9" s="28" t="s">
        <v>367</v>
      </c>
      <c r="AL9" s="28" t="s">
        <v>367</v>
      </c>
    </row>
    <row r="10">
      <c r="A10" s="28" t="s">
        <v>463</v>
      </c>
      <c r="B10" s="27">
        <v>2.200101803E9</v>
      </c>
      <c r="C10" s="28" t="s">
        <v>174</v>
      </c>
      <c r="D10" s="27">
        <v>10.0</v>
      </c>
      <c r="E10" s="28" t="s">
        <v>332</v>
      </c>
      <c r="F10" s="28" t="s">
        <v>148</v>
      </c>
      <c r="G10" s="28" t="s">
        <v>459</v>
      </c>
      <c r="H10" s="28" t="s">
        <v>657</v>
      </c>
      <c r="I10" s="46"/>
      <c r="J10" s="28" t="s">
        <v>658</v>
      </c>
      <c r="K10" s="27">
        <v>5.100138475E9</v>
      </c>
      <c r="L10" s="28" t="s">
        <v>676</v>
      </c>
      <c r="M10" s="46"/>
      <c r="N10" s="28" t="s">
        <v>367</v>
      </c>
      <c r="O10" s="28" t="s">
        <v>670</v>
      </c>
      <c r="P10" s="27">
        <v>0.0</v>
      </c>
      <c r="Q10" s="28" t="s">
        <v>670</v>
      </c>
      <c r="R10" s="28" t="s">
        <v>176</v>
      </c>
      <c r="S10" s="28" t="s">
        <v>367</v>
      </c>
      <c r="T10" s="28" t="s">
        <v>367</v>
      </c>
      <c r="U10" s="28" t="s">
        <v>367</v>
      </c>
      <c r="V10" s="28" t="s">
        <v>194</v>
      </c>
      <c r="W10" s="28" t="s">
        <v>367</v>
      </c>
      <c r="X10" s="28" t="s">
        <v>367</v>
      </c>
      <c r="Y10" s="28" t="s">
        <v>367</v>
      </c>
      <c r="Z10" s="28" t="s">
        <v>159</v>
      </c>
      <c r="AA10" s="28" t="s">
        <v>367</v>
      </c>
      <c r="AB10" s="28" t="s">
        <v>367</v>
      </c>
      <c r="AC10" s="28" t="s">
        <v>604</v>
      </c>
      <c r="AD10" s="28" t="s">
        <v>661</v>
      </c>
      <c r="AE10" s="28" t="s">
        <v>540</v>
      </c>
      <c r="AF10" s="28" t="s">
        <v>367</v>
      </c>
      <c r="AG10" s="28" t="s">
        <v>677</v>
      </c>
      <c r="AH10" s="28" t="s">
        <v>678</v>
      </c>
      <c r="AI10" s="28" t="s">
        <v>668</v>
      </c>
      <c r="AJ10" s="28" t="s">
        <v>668</v>
      </c>
      <c r="AK10" s="28" t="s">
        <v>367</v>
      </c>
      <c r="AL10" s="28" t="s">
        <v>367</v>
      </c>
    </row>
    <row r="11">
      <c r="A11" s="28" t="s">
        <v>472</v>
      </c>
      <c r="B11" s="27">
        <v>2.200101829E9</v>
      </c>
      <c r="C11" s="28" t="s">
        <v>174</v>
      </c>
      <c r="D11" s="27">
        <v>10.0</v>
      </c>
      <c r="E11" s="28" t="s">
        <v>308</v>
      </c>
      <c r="F11" s="28" t="s">
        <v>148</v>
      </c>
      <c r="G11" s="28" t="s">
        <v>469</v>
      </c>
      <c r="H11" s="28" t="s">
        <v>657</v>
      </c>
      <c r="I11" s="46"/>
      <c r="J11" s="28" t="s">
        <v>658</v>
      </c>
      <c r="K11" s="27">
        <v>5.100137513E9</v>
      </c>
      <c r="L11" s="28" t="s">
        <v>679</v>
      </c>
      <c r="M11" s="28" t="s">
        <v>367</v>
      </c>
      <c r="N11" s="28" t="s">
        <v>367</v>
      </c>
      <c r="O11" s="28" t="s">
        <v>670</v>
      </c>
      <c r="P11" s="27">
        <v>0.0</v>
      </c>
      <c r="Q11" s="28" t="s">
        <v>670</v>
      </c>
      <c r="R11" s="28" t="s">
        <v>248</v>
      </c>
      <c r="S11" s="28" t="s">
        <v>367</v>
      </c>
      <c r="T11" s="28" t="s">
        <v>367</v>
      </c>
      <c r="U11" s="28" t="s">
        <v>367</v>
      </c>
      <c r="V11" s="28" t="s">
        <v>367</v>
      </c>
      <c r="W11" s="28" t="s">
        <v>367</v>
      </c>
      <c r="X11" s="28" t="s">
        <v>367</v>
      </c>
      <c r="Y11" s="28" t="s">
        <v>367</v>
      </c>
      <c r="Z11" s="28" t="s">
        <v>367</v>
      </c>
      <c r="AA11" s="28" t="s">
        <v>367</v>
      </c>
      <c r="AB11" s="28" t="s">
        <v>367</v>
      </c>
      <c r="AC11" s="28" t="s">
        <v>255</v>
      </c>
      <c r="AD11" s="28" t="s">
        <v>661</v>
      </c>
      <c r="AE11" s="28" t="s">
        <v>367</v>
      </c>
      <c r="AF11" s="28" t="s">
        <v>367</v>
      </c>
      <c r="AG11" s="28" t="s">
        <v>173</v>
      </c>
      <c r="AH11" s="28" t="s">
        <v>680</v>
      </c>
      <c r="AI11" s="28" t="s">
        <v>173</v>
      </c>
      <c r="AJ11" s="28" t="s">
        <v>173</v>
      </c>
      <c r="AK11" s="28" t="s">
        <v>367</v>
      </c>
      <c r="AL11" s="28" t="s">
        <v>367</v>
      </c>
    </row>
    <row r="12">
      <c r="A12" s="28" t="s">
        <v>478</v>
      </c>
      <c r="B12" s="27">
        <v>2.200101861E9</v>
      </c>
      <c r="C12" s="28" t="s">
        <v>174</v>
      </c>
      <c r="D12" s="27">
        <v>10.0</v>
      </c>
      <c r="E12" s="28" t="s">
        <v>151</v>
      </c>
      <c r="F12" s="28" t="s">
        <v>148</v>
      </c>
      <c r="G12" s="28" t="s">
        <v>477</v>
      </c>
      <c r="H12" s="28" t="s">
        <v>657</v>
      </c>
      <c r="I12" s="46"/>
      <c r="J12" s="28" t="s">
        <v>658</v>
      </c>
      <c r="K12" s="27">
        <v>5.100137232E9</v>
      </c>
      <c r="L12" s="28" t="s">
        <v>681</v>
      </c>
      <c r="M12" s="46"/>
      <c r="N12" s="28" t="s">
        <v>367</v>
      </c>
      <c r="O12" s="28" t="s">
        <v>670</v>
      </c>
      <c r="P12" s="27">
        <v>0.0</v>
      </c>
      <c r="Q12" s="28" t="s">
        <v>670</v>
      </c>
      <c r="R12" s="28" t="s">
        <v>248</v>
      </c>
      <c r="S12" s="28" t="s">
        <v>367</v>
      </c>
      <c r="T12" s="28" t="s">
        <v>367</v>
      </c>
      <c r="U12" s="28" t="s">
        <v>367</v>
      </c>
      <c r="V12" s="28" t="s">
        <v>367</v>
      </c>
      <c r="W12" s="28" t="s">
        <v>367</v>
      </c>
      <c r="X12" s="28" t="s">
        <v>367</v>
      </c>
      <c r="Y12" s="28" t="s">
        <v>367</v>
      </c>
      <c r="Z12" s="28" t="s">
        <v>367</v>
      </c>
      <c r="AA12" s="28" t="s">
        <v>367</v>
      </c>
      <c r="AB12" s="28" t="s">
        <v>367</v>
      </c>
      <c r="AC12" s="28" t="s">
        <v>410</v>
      </c>
      <c r="AD12" s="28" t="s">
        <v>661</v>
      </c>
      <c r="AE12" s="28" t="s">
        <v>682</v>
      </c>
      <c r="AF12" s="28" t="s">
        <v>367</v>
      </c>
      <c r="AG12" s="28" t="s">
        <v>176</v>
      </c>
      <c r="AH12" s="28" t="s">
        <v>683</v>
      </c>
      <c r="AI12" s="28" t="s">
        <v>684</v>
      </c>
      <c r="AJ12" s="28" t="s">
        <v>684</v>
      </c>
      <c r="AK12" s="28" t="s">
        <v>367</v>
      </c>
      <c r="AL12" s="28" t="s">
        <v>367</v>
      </c>
    </row>
    <row r="13">
      <c r="A13" s="28" t="s">
        <v>496</v>
      </c>
      <c r="B13" s="27">
        <v>2.200102217E9</v>
      </c>
      <c r="C13" s="28" t="s">
        <v>495</v>
      </c>
      <c r="D13" s="27">
        <v>10.0</v>
      </c>
      <c r="E13" s="28" t="s">
        <v>151</v>
      </c>
      <c r="F13" s="28" t="s">
        <v>148</v>
      </c>
      <c r="G13" s="28" t="s">
        <v>491</v>
      </c>
      <c r="H13" s="28" t="s">
        <v>657</v>
      </c>
      <c r="I13" s="46"/>
      <c r="J13" s="28" t="s">
        <v>658</v>
      </c>
      <c r="K13" s="27">
        <v>5.10013857E9</v>
      </c>
      <c r="L13" s="28" t="s">
        <v>685</v>
      </c>
      <c r="M13" s="28" t="s">
        <v>367</v>
      </c>
      <c r="N13" s="28" t="s">
        <v>367</v>
      </c>
      <c r="O13" s="28" t="s">
        <v>248</v>
      </c>
      <c r="P13" s="27">
        <v>0.0</v>
      </c>
      <c r="Q13" s="28" t="s">
        <v>670</v>
      </c>
      <c r="R13" s="28" t="s">
        <v>194</v>
      </c>
      <c r="S13" s="28" t="s">
        <v>367</v>
      </c>
      <c r="T13" s="28" t="s">
        <v>367</v>
      </c>
      <c r="U13" s="28" t="s">
        <v>367</v>
      </c>
      <c r="V13" s="28" t="s">
        <v>367</v>
      </c>
      <c r="W13" s="28" t="s">
        <v>367</v>
      </c>
      <c r="X13" s="28" t="s">
        <v>367</v>
      </c>
      <c r="Y13" s="28" t="s">
        <v>367</v>
      </c>
      <c r="Z13" s="28" t="s">
        <v>367</v>
      </c>
      <c r="AA13" s="28" t="s">
        <v>367</v>
      </c>
      <c r="AB13" s="28" t="s">
        <v>367</v>
      </c>
      <c r="AC13" s="28" t="s">
        <v>255</v>
      </c>
      <c r="AD13" s="28" t="s">
        <v>661</v>
      </c>
      <c r="AE13" s="28" t="s">
        <v>367</v>
      </c>
      <c r="AF13" s="28" t="s">
        <v>367</v>
      </c>
      <c r="AG13" s="28" t="s">
        <v>297</v>
      </c>
      <c r="AH13" s="28" t="s">
        <v>686</v>
      </c>
      <c r="AI13" s="28" t="s">
        <v>297</v>
      </c>
      <c r="AJ13" s="28" t="s">
        <v>297</v>
      </c>
      <c r="AK13" s="28" t="s">
        <v>367</v>
      </c>
      <c r="AL13" s="28" t="s">
        <v>367</v>
      </c>
    </row>
    <row r="14">
      <c r="A14" s="28" t="s">
        <v>249</v>
      </c>
      <c r="B14" s="27">
        <v>2.200099258E9</v>
      </c>
      <c r="C14" s="28" t="s">
        <v>174</v>
      </c>
      <c r="D14" s="27">
        <v>10.0</v>
      </c>
      <c r="E14" s="28" t="s">
        <v>201</v>
      </c>
      <c r="F14" s="28" t="s">
        <v>148</v>
      </c>
      <c r="G14" s="28" t="s">
        <v>244</v>
      </c>
      <c r="H14" s="28" t="s">
        <v>657</v>
      </c>
      <c r="I14" s="46"/>
      <c r="J14" s="28" t="s">
        <v>658</v>
      </c>
      <c r="K14" s="27">
        <v>5.100133962E9</v>
      </c>
      <c r="L14" s="28" t="s">
        <v>687</v>
      </c>
      <c r="M14" s="46"/>
      <c r="N14" s="28" t="s">
        <v>367</v>
      </c>
      <c r="O14" s="28" t="s">
        <v>670</v>
      </c>
      <c r="P14" s="27">
        <v>0.0</v>
      </c>
      <c r="Q14" s="28" t="s">
        <v>670</v>
      </c>
      <c r="R14" s="28" t="s">
        <v>255</v>
      </c>
      <c r="S14" s="28" t="s">
        <v>367</v>
      </c>
      <c r="T14" s="28" t="s">
        <v>367</v>
      </c>
      <c r="U14" s="28" t="s">
        <v>367</v>
      </c>
      <c r="V14" s="28" t="s">
        <v>367</v>
      </c>
      <c r="W14" s="28" t="s">
        <v>367</v>
      </c>
      <c r="X14" s="28" t="s">
        <v>367</v>
      </c>
      <c r="Y14" s="28" t="s">
        <v>367</v>
      </c>
      <c r="Z14" s="28" t="s">
        <v>367</v>
      </c>
      <c r="AA14" s="28" t="s">
        <v>367</v>
      </c>
      <c r="AB14" s="28" t="s">
        <v>367</v>
      </c>
      <c r="AC14" s="28" t="s">
        <v>604</v>
      </c>
      <c r="AD14" s="28" t="s">
        <v>661</v>
      </c>
      <c r="AE14" s="28" t="s">
        <v>688</v>
      </c>
      <c r="AF14" s="28" t="s">
        <v>367</v>
      </c>
      <c r="AG14" s="28" t="s">
        <v>248</v>
      </c>
      <c r="AH14" s="28" t="s">
        <v>689</v>
      </c>
      <c r="AI14" s="28" t="s">
        <v>666</v>
      </c>
      <c r="AJ14" s="28" t="s">
        <v>666</v>
      </c>
      <c r="AK14" s="28" t="s">
        <v>367</v>
      </c>
      <c r="AL14" s="28" t="s">
        <v>367</v>
      </c>
    </row>
    <row r="15">
      <c r="A15" s="28" t="s">
        <v>487</v>
      </c>
      <c r="B15" s="27">
        <v>2.200102246E9</v>
      </c>
      <c r="C15" s="28" t="s">
        <v>174</v>
      </c>
      <c r="D15" s="27">
        <v>10.0</v>
      </c>
      <c r="E15" s="28" t="s">
        <v>168</v>
      </c>
      <c r="F15" s="28" t="s">
        <v>148</v>
      </c>
      <c r="G15" s="28" t="s">
        <v>483</v>
      </c>
      <c r="H15" s="28" t="s">
        <v>657</v>
      </c>
      <c r="I15" s="46"/>
      <c r="J15" s="28" t="s">
        <v>658</v>
      </c>
      <c r="K15" s="27">
        <v>5.100139089E9</v>
      </c>
      <c r="L15" s="28" t="s">
        <v>690</v>
      </c>
      <c r="M15" s="46"/>
      <c r="N15" s="28" t="s">
        <v>367</v>
      </c>
      <c r="O15" s="28" t="s">
        <v>410</v>
      </c>
      <c r="P15" s="27">
        <v>0.0</v>
      </c>
      <c r="Q15" s="28" t="s">
        <v>604</v>
      </c>
      <c r="R15" s="28" t="s">
        <v>255</v>
      </c>
      <c r="S15" s="28" t="s">
        <v>367</v>
      </c>
      <c r="T15" s="28" t="s">
        <v>367</v>
      </c>
      <c r="U15" s="28" t="s">
        <v>367</v>
      </c>
      <c r="V15" s="28" t="s">
        <v>367</v>
      </c>
      <c r="W15" s="28" t="s">
        <v>367</v>
      </c>
      <c r="X15" s="28" t="s">
        <v>367</v>
      </c>
      <c r="Y15" s="28" t="s">
        <v>367</v>
      </c>
      <c r="Z15" s="28" t="s">
        <v>367</v>
      </c>
      <c r="AA15" s="28" t="s">
        <v>367</v>
      </c>
      <c r="AB15" s="28" t="s">
        <v>367</v>
      </c>
      <c r="AC15" s="28" t="s">
        <v>660</v>
      </c>
      <c r="AD15" s="28" t="s">
        <v>661</v>
      </c>
      <c r="AE15" s="28" t="s">
        <v>691</v>
      </c>
      <c r="AF15" s="28" t="s">
        <v>367</v>
      </c>
      <c r="AG15" s="28" t="s">
        <v>185</v>
      </c>
      <c r="AH15" s="28" t="s">
        <v>665</v>
      </c>
      <c r="AI15" s="28" t="s">
        <v>692</v>
      </c>
      <c r="AJ15" s="28" t="s">
        <v>692</v>
      </c>
      <c r="AK15" s="28" t="s">
        <v>367</v>
      </c>
      <c r="AL15" s="28" t="s">
        <v>367</v>
      </c>
    </row>
    <row r="16">
      <c r="A16" s="28" t="s">
        <v>518</v>
      </c>
      <c r="B16" s="27">
        <v>2.200102105E9</v>
      </c>
      <c r="C16" s="28" t="s">
        <v>157</v>
      </c>
      <c r="D16" s="27">
        <v>10.0</v>
      </c>
      <c r="E16" s="28" t="s">
        <v>168</v>
      </c>
      <c r="F16" s="28" t="s">
        <v>148</v>
      </c>
      <c r="G16" s="28" t="s">
        <v>516</v>
      </c>
      <c r="H16" s="28" t="s">
        <v>657</v>
      </c>
      <c r="I16" s="46"/>
      <c r="J16" s="28" t="s">
        <v>658</v>
      </c>
      <c r="K16" s="27">
        <v>5.100138731E9</v>
      </c>
      <c r="L16" s="28" t="s">
        <v>685</v>
      </c>
      <c r="M16" s="46"/>
      <c r="N16" s="28" t="s">
        <v>367</v>
      </c>
      <c r="O16" s="28" t="s">
        <v>670</v>
      </c>
      <c r="P16" s="27">
        <v>0.0</v>
      </c>
      <c r="Q16" s="28" t="s">
        <v>604</v>
      </c>
      <c r="R16" s="28" t="s">
        <v>248</v>
      </c>
      <c r="S16" s="28" t="s">
        <v>367</v>
      </c>
      <c r="T16" s="28" t="s">
        <v>367</v>
      </c>
      <c r="U16" s="28" t="s">
        <v>367</v>
      </c>
      <c r="V16" s="28" t="s">
        <v>367</v>
      </c>
      <c r="W16" s="28" t="s">
        <v>367</v>
      </c>
      <c r="X16" s="28" t="s">
        <v>367</v>
      </c>
      <c r="Y16" s="28" t="s">
        <v>367</v>
      </c>
      <c r="Z16" s="28" t="s">
        <v>367</v>
      </c>
      <c r="AA16" s="28" t="s">
        <v>367</v>
      </c>
      <c r="AB16" s="28" t="s">
        <v>367</v>
      </c>
      <c r="AC16" s="28" t="s">
        <v>186</v>
      </c>
      <c r="AD16" s="28" t="s">
        <v>661</v>
      </c>
      <c r="AE16" s="28" t="s">
        <v>693</v>
      </c>
      <c r="AF16" s="28" t="s">
        <v>367</v>
      </c>
      <c r="AG16" s="28" t="s">
        <v>318</v>
      </c>
      <c r="AH16" s="28" t="s">
        <v>694</v>
      </c>
      <c r="AI16" s="28" t="s">
        <v>695</v>
      </c>
      <c r="AJ16" s="28" t="s">
        <v>695</v>
      </c>
      <c r="AK16" s="28" t="s">
        <v>367</v>
      </c>
      <c r="AL16" s="28" t="s">
        <v>367</v>
      </c>
    </row>
    <row r="17">
      <c r="A17" s="28" t="s">
        <v>505</v>
      </c>
      <c r="B17" s="27">
        <v>2.20010251E9</v>
      </c>
      <c r="C17" s="28" t="s">
        <v>174</v>
      </c>
      <c r="D17" s="27">
        <v>10.0</v>
      </c>
      <c r="E17" s="28" t="s">
        <v>332</v>
      </c>
      <c r="F17" s="28" t="s">
        <v>148</v>
      </c>
      <c r="G17" s="28" t="s">
        <v>501</v>
      </c>
      <c r="H17" s="28" t="s">
        <v>657</v>
      </c>
      <c r="I17" s="46"/>
      <c r="J17" s="28" t="s">
        <v>658</v>
      </c>
      <c r="K17" s="27">
        <v>5.10014039E9</v>
      </c>
      <c r="L17" s="47">
        <v>45876.0</v>
      </c>
      <c r="M17" s="46"/>
      <c r="N17" s="28" t="s">
        <v>367</v>
      </c>
      <c r="O17" s="28" t="s">
        <v>410</v>
      </c>
      <c r="P17" s="27">
        <v>0.0</v>
      </c>
      <c r="Q17" s="28" t="s">
        <v>670</v>
      </c>
      <c r="R17" s="28" t="s">
        <v>248</v>
      </c>
      <c r="S17" s="28" t="s">
        <v>367</v>
      </c>
      <c r="T17" s="28" t="s">
        <v>367</v>
      </c>
      <c r="U17" s="28" t="s">
        <v>367</v>
      </c>
      <c r="V17" s="28" t="s">
        <v>176</v>
      </c>
      <c r="W17" s="28" t="s">
        <v>367</v>
      </c>
      <c r="X17" s="28" t="s">
        <v>367</v>
      </c>
      <c r="Y17" s="28" t="s">
        <v>367</v>
      </c>
      <c r="Z17" s="28" t="s">
        <v>223</v>
      </c>
      <c r="AA17" s="28" t="s">
        <v>367</v>
      </c>
      <c r="AB17" s="28" t="s">
        <v>367</v>
      </c>
      <c r="AC17" s="28" t="s">
        <v>255</v>
      </c>
      <c r="AD17" s="28" t="s">
        <v>661</v>
      </c>
      <c r="AE17" s="28" t="s">
        <v>286</v>
      </c>
      <c r="AF17" s="28" t="s">
        <v>367</v>
      </c>
      <c r="AG17" s="28" t="s">
        <v>696</v>
      </c>
      <c r="AH17" s="28" t="s">
        <v>697</v>
      </c>
      <c r="AI17" s="28" t="s">
        <v>698</v>
      </c>
      <c r="AJ17" s="28" t="s">
        <v>698</v>
      </c>
      <c r="AK17" s="28" t="s">
        <v>367</v>
      </c>
      <c r="AL17" s="28" t="s">
        <v>367</v>
      </c>
    </row>
    <row r="18">
      <c r="A18" s="28" t="s">
        <v>512</v>
      </c>
      <c r="B18" s="27">
        <v>2.200102556E9</v>
      </c>
      <c r="C18" s="28" t="s">
        <v>174</v>
      </c>
      <c r="D18" s="27">
        <v>10.0</v>
      </c>
      <c r="E18" s="28" t="s">
        <v>332</v>
      </c>
      <c r="F18" s="28" t="s">
        <v>148</v>
      </c>
      <c r="G18" s="28" t="s">
        <v>510</v>
      </c>
      <c r="H18" s="28" t="s">
        <v>657</v>
      </c>
      <c r="I18" s="46"/>
      <c r="J18" s="28" t="s">
        <v>658</v>
      </c>
      <c r="K18" s="27">
        <v>5.100138387E9</v>
      </c>
      <c r="L18" s="28" t="s">
        <v>699</v>
      </c>
      <c r="M18" s="46"/>
      <c r="N18" s="28" t="s">
        <v>367</v>
      </c>
      <c r="O18" s="28" t="s">
        <v>660</v>
      </c>
      <c r="P18" s="27">
        <v>0.0</v>
      </c>
      <c r="Q18" s="28" t="s">
        <v>604</v>
      </c>
      <c r="R18" s="28" t="s">
        <v>410</v>
      </c>
      <c r="S18" s="28" t="s">
        <v>367</v>
      </c>
      <c r="T18" s="28" t="s">
        <v>367</v>
      </c>
      <c r="U18" s="28" t="s">
        <v>367</v>
      </c>
      <c r="V18" s="28" t="s">
        <v>367</v>
      </c>
      <c r="W18" s="28" t="s">
        <v>367</v>
      </c>
      <c r="X18" s="28" t="s">
        <v>367</v>
      </c>
      <c r="Y18" s="28" t="s">
        <v>367</v>
      </c>
      <c r="Z18" s="28" t="s">
        <v>367</v>
      </c>
      <c r="AA18" s="28" t="s">
        <v>367</v>
      </c>
      <c r="AB18" s="28" t="s">
        <v>367</v>
      </c>
      <c r="AC18" s="28" t="s">
        <v>660</v>
      </c>
      <c r="AD18" s="28" t="s">
        <v>661</v>
      </c>
      <c r="AE18" s="28" t="s">
        <v>684</v>
      </c>
      <c r="AF18" s="28" t="s">
        <v>367</v>
      </c>
      <c r="AG18" s="28" t="s">
        <v>176</v>
      </c>
      <c r="AH18" s="28" t="s">
        <v>683</v>
      </c>
      <c r="AI18" s="28" t="s">
        <v>700</v>
      </c>
      <c r="AJ18" s="28" t="s">
        <v>700</v>
      </c>
      <c r="AK18" s="28" t="s">
        <v>367</v>
      </c>
      <c r="AL18" s="28" t="s">
        <v>367</v>
      </c>
    </row>
    <row r="19">
      <c r="A19" s="28" t="s">
        <v>575</v>
      </c>
      <c r="B19" s="27">
        <v>2.200103524E9</v>
      </c>
      <c r="C19" s="28" t="s">
        <v>174</v>
      </c>
      <c r="D19" s="27">
        <v>10.0</v>
      </c>
      <c r="E19" s="28" t="s">
        <v>316</v>
      </c>
      <c r="F19" s="28" t="s">
        <v>148</v>
      </c>
      <c r="G19" s="28" t="s">
        <v>573</v>
      </c>
      <c r="H19" s="28" t="s">
        <v>657</v>
      </c>
      <c r="I19" s="46"/>
      <c r="J19" s="28" t="s">
        <v>658</v>
      </c>
      <c r="K19" s="27">
        <v>5.100139566E9</v>
      </c>
      <c r="L19" s="28" t="s">
        <v>701</v>
      </c>
      <c r="M19" s="46"/>
      <c r="N19" s="28" t="s">
        <v>367</v>
      </c>
      <c r="O19" s="28" t="s">
        <v>410</v>
      </c>
      <c r="P19" s="27">
        <v>0.0</v>
      </c>
      <c r="Q19" s="28" t="s">
        <v>670</v>
      </c>
      <c r="R19" s="28" t="s">
        <v>248</v>
      </c>
      <c r="S19" s="28" t="s">
        <v>367</v>
      </c>
      <c r="T19" s="28" t="s">
        <v>367</v>
      </c>
      <c r="U19" s="28" t="s">
        <v>367</v>
      </c>
      <c r="V19" s="28" t="s">
        <v>367</v>
      </c>
      <c r="W19" s="28" t="s">
        <v>367</v>
      </c>
      <c r="X19" s="28" t="s">
        <v>367</v>
      </c>
      <c r="Y19" s="28" t="s">
        <v>367</v>
      </c>
      <c r="Z19" s="28" t="s">
        <v>367</v>
      </c>
      <c r="AA19" s="28" t="s">
        <v>367</v>
      </c>
      <c r="AB19" s="28" t="s">
        <v>367</v>
      </c>
      <c r="AC19" s="28" t="s">
        <v>186</v>
      </c>
      <c r="AD19" s="28" t="s">
        <v>661</v>
      </c>
      <c r="AE19" s="28" t="s">
        <v>268</v>
      </c>
      <c r="AF19" s="28" t="s">
        <v>367</v>
      </c>
      <c r="AG19" s="28" t="s">
        <v>223</v>
      </c>
      <c r="AH19" s="28" t="s">
        <v>702</v>
      </c>
      <c r="AI19" s="28" t="s">
        <v>666</v>
      </c>
      <c r="AJ19" s="28" t="s">
        <v>666</v>
      </c>
      <c r="AK19" s="28" t="s">
        <v>367</v>
      </c>
      <c r="AL19" s="28" t="s">
        <v>367</v>
      </c>
    </row>
    <row r="20">
      <c r="A20" s="28" t="s">
        <v>548</v>
      </c>
      <c r="B20" s="27">
        <v>2.200103129E9</v>
      </c>
      <c r="C20" s="28" t="s">
        <v>174</v>
      </c>
      <c r="D20" s="27">
        <v>10.0</v>
      </c>
      <c r="E20" s="28" t="s">
        <v>168</v>
      </c>
      <c r="F20" s="28" t="s">
        <v>148</v>
      </c>
      <c r="G20" s="28" t="s">
        <v>545</v>
      </c>
      <c r="H20" s="28" t="s">
        <v>657</v>
      </c>
      <c r="I20" s="46"/>
      <c r="J20" s="28" t="s">
        <v>658</v>
      </c>
      <c r="K20" s="27">
        <v>5.10013968E9</v>
      </c>
      <c r="L20" s="28" t="s">
        <v>701</v>
      </c>
      <c r="M20" s="46"/>
      <c r="N20" s="28" t="s">
        <v>367</v>
      </c>
      <c r="O20" s="28" t="s">
        <v>255</v>
      </c>
      <c r="P20" s="27">
        <v>0.0</v>
      </c>
      <c r="Q20" s="28" t="s">
        <v>186</v>
      </c>
      <c r="R20" s="28" t="s">
        <v>176</v>
      </c>
      <c r="S20" s="28" t="s">
        <v>367</v>
      </c>
      <c r="T20" s="28" t="s">
        <v>367</v>
      </c>
      <c r="U20" s="28" t="s">
        <v>367</v>
      </c>
      <c r="V20" s="28" t="s">
        <v>367</v>
      </c>
      <c r="W20" s="28" t="s">
        <v>367</v>
      </c>
      <c r="X20" s="28" t="s">
        <v>367</v>
      </c>
      <c r="Y20" s="28" t="s">
        <v>367</v>
      </c>
      <c r="Z20" s="28" t="s">
        <v>367</v>
      </c>
      <c r="AA20" s="28" t="s">
        <v>367</v>
      </c>
      <c r="AB20" s="28" t="s">
        <v>367</v>
      </c>
      <c r="AC20" s="28" t="s">
        <v>410</v>
      </c>
      <c r="AD20" s="28" t="s">
        <v>661</v>
      </c>
      <c r="AE20" s="28" t="s">
        <v>185</v>
      </c>
      <c r="AF20" s="28" t="s">
        <v>367</v>
      </c>
      <c r="AG20" s="28" t="s">
        <v>237</v>
      </c>
      <c r="AH20" s="28" t="s">
        <v>703</v>
      </c>
      <c r="AI20" s="28" t="s">
        <v>704</v>
      </c>
      <c r="AJ20" s="28" t="s">
        <v>704</v>
      </c>
      <c r="AK20" s="28" t="s">
        <v>367</v>
      </c>
      <c r="AL20" s="28" t="s">
        <v>367</v>
      </c>
    </row>
    <row r="21">
      <c r="A21" s="28" t="s">
        <v>526</v>
      </c>
      <c r="B21" s="27">
        <v>2.200102708E9</v>
      </c>
      <c r="C21" s="28" t="s">
        <v>174</v>
      </c>
      <c r="D21" s="27">
        <v>10.0</v>
      </c>
      <c r="E21" s="28" t="s">
        <v>201</v>
      </c>
      <c r="F21" s="28" t="s">
        <v>148</v>
      </c>
      <c r="G21" s="28" t="s">
        <v>524</v>
      </c>
      <c r="H21" s="28" t="s">
        <v>657</v>
      </c>
      <c r="I21" s="46"/>
      <c r="J21" s="28" t="s">
        <v>658</v>
      </c>
      <c r="K21" s="27">
        <v>5.100138727E9</v>
      </c>
      <c r="L21" s="28" t="s">
        <v>705</v>
      </c>
      <c r="M21" s="28" t="s">
        <v>367</v>
      </c>
      <c r="N21" s="28" t="s">
        <v>367</v>
      </c>
      <c r="O21" s="28" t="s">
        <v>255</v>
      </c>
      <c r="P21" s="27">
        <v>0.0</v>
      </c>
      <c r="Q21" s="28" t="s">
        <v>670</v>
      </c>
      <c r="R21" s="28" t="s">
        <v>248</v>
      </c>
      <c r="S21" s="28" t="s">
        <v>367</v>
      </c>
      <c r="T21" s="28" t="s">
        <v>367</v>
      </c>
      <c r="U21" s="28" t="s">
        <v>367</v>
      </c>
      <c r="V21" s="28" t="s">
        <v>367</v>
      </c>
      <c r="W21" s="28" t="s">
        <v>367</v>
      </c>
      <c r="X21" s="28" t="s">
        <v>367</v>
      </c>
      <c r="Y21" s="28" t="s">
        <v>367</v>
      </c>
      <c r="Z21" s="28" t="s">
        <v>367</v>
      </c>
      <c r="AA21" s="28" t="s">
        <v>367</v>
      </c>
      <c r="AB21" s="28" t="s">
        <v>367</v>
      </c>
      <c r="AC21" s="28" t="s">
        <v>604</v>
      </c>
      <c r="AD21" s="28" t="s">
        <v>661</v>
      </c>
      <c r="AE21" s="28" t="s">
        <v>367</v>
      </c>
      <c r="AF21" s="28" t="s">
        <v>367</v>
      </c>
      <c r="AG21" s="28" t="s">
        <v>185</v>
      </c>
      <c r="AH21" s="28" t="s">
        <v>665</v>
      </c>
      <c r="AI21" s="28" t="s">
        <v>185</v>
      </c>
      <c r="AJ21" s="28" t="s">
        <v>185</v>
      </c>
      <c r="AK21" s="28" t="s">
        <v>367</v>
      </c>
      <c r="AL21" s="28" t="s">
        <v>367</v>
      </c>
    </row>
    <row r="22">
      <c r="A22" s="28" t="s">
        <v>336</v>
      </c>
      <c r="B22" s="27">
        <v>2.200099967E9</v>
      </c>
      <c r="C22" s="28" t="s">
        <v>174</v>
      </c>
      <c r="D22" s="27">
        <v>10.0</v>
      </c>
      <c r="E22" s="28" t="s">
        <v>332</v>
      </c>
      <c r="F22" s="28" t="s">
        <v>148</v>
      </c>
      <c r="G22" s="28" t="s">
        <v>331</v>
      </c>
      <c r="H22" s="28" t="s">
        <v>657</v>
      </c>
      <c r="I22" s="46"/>
      <c r="J22" s="28" t="s">
        <v>658</v>
      </c>
      <c r="K22" s="27">
        <v>5.100135373E9</v>
      </c>
      <c r="L22" s="28" t="s">
        <v>706</v>
      </c>
      <c r="M22" s="46"/>
      <c r="N22" s="28" t="s">
        <v>367</v>
      </c>
      <c r="O22" s="28" t="s">
        <v>604</v>
      </c>
      <c r="P22" s="27">
        <v>0.0</v>
      </c>
      <c r="Q22" s="28" t="s">
        <v>660</v>
      </c>
      <c r="R22" s="28" t="s">
        <v>255</v>
      </c>
      <c r="S22" s="28" t="s">
        <v>367</v>
      </c>
      <c r="T22" s="28" t="s">
        <v>367</v>
      </c>
      <c r="U22" s="28" t="s">
        <v>367</v>
      </c>
      <c r="V22" s="28" t="s">
        <v>367</v>
      </c>
      <c r="W22" s="28" t="s">
        <v>367</v>
      </c>
      <c r="X22" s="28" t="s">
        <v>367</v>
      </c>
      <c r="Y22" s="28" t="s">
        <v>367</v>
      </c>
      <c r="Z22" s="28" t="s">
        <v>367</v>
      </c>
      <c r="AA22" s="28" t="s">
        <v>367</v>
      </c>
      <c r="AB22" s="28" t="s">
        <v>367</v>
      </c>
      <c r="AC22" s="28" t="s">
        <v>604</v>
      </c>
      <c r="AD22" s="28" t="s">
        <v>661</v>
      </c>
      <c r="AE22" s="28" t="s">
        <v>318</v>
      </c>
      <c r="AF22" s="28" t="s">
        <v>367</v>
      </c>
      <c r="AG22" s="28" t="s">
        <v>176</v>
      </c>
      <c r="AH22" s="28" t="s">
        <v>683</v>
      </c>
      <c r="AI22" s="28" t="s">
        <v>531</v>
      </c>
      <c r="AJ22" s="28" t="s">
        <v>531</v>
      </c>
      <c r="AK22" s="28" t="s">
        <v>367</v>
      </c>
      <c r="AL22" s="28" t="s">
        <v>367</v>
      </c>
    </row>
    <row r="23">
      <c r="A23" s="28" t="s">
        <v>532</v>
      </c>
      <c r="B23" s="27">
        <v>2.200102696E9</v>
      </c>
      <c r="C23" s="28" t="s">
        <v>157</v>
      </c>
      <c r="D23" s="27">
        <v>10.0</v>
      </c>
      <c r="E23" s="28" t="s">
        <v>168</v>
      </c>
      <c r="F23" s="28" t="s">
        <v>148</v>
      </c>
      <c r="G23" s="28" t="s">
        <v>530</v>
      </c>
      <c r="H23" s="28" t="s">
        <v>657</v>
      </c>
      <c r="I23" s="46"/>
      <c r="J23" s="28" t="s">
        <v>658</v>
      </c>
      <c r="K23" s="27">
        <v>5.100139316E9</v>
      </c>
      <c r="L23" s="47">
        <v>45997.0</v>
      </c>
      <c r="M23" s="46"/>
      <c r="N23" s="28" t="s">
        <v>367</v>
      </c>
      <c r="O23" s="28" t="s">
        <v>604</v>
      </c>
      <c r="P23" s="27">
        <v>0.0</v>
      </c>
      <c r="Q23" s="28" t="s">
        <v>670</v>
      </c>
      <c r="R23" s="28" t="s">
        <v>248</v>
      </c>
      <c r="S23" s="28" t="s">
        <v>367</v>
      </c>
      <c r="T23" s="28" t="s">
        <v>367</v>
      </c>
      <c r="U23" s="28" t="s">
        <v>367</v>
      </c>
      <c r="V23" s="28" t="s">
        <v>367</v>
      </c>
      <c r="W23" s="28" t="s">
        <v>367</v>
      </c>
      <c r="X23" s="28" t="s">
        <v>367</v>
      </c>
      <c r="Y23" s="28" t="s">
        <v>367</v>
      </c>
      <c r="Z23" s="28" t="s">
        <v>367</v>
      </c>
      <c r="AA23" s="28" t="s">
        <v>367</v>
      </c>
      <c r="AB23" s="28" t="s">
        <v>367</v>
      </c>
      <c r="AC23" s="28" t="s">
        <v>173</v>
      </c>
      <c r="AD23" s="28" t="s">
        <v>661</v>
      </c>
      <c r="AE23" s="28" t="s">
        <v>688</v>
      </c>
      <c r="AF23" s="28" t="s">
        <v>367</v>
      </c>
      <c r="AG23" s="28" t="s">
        <v>159</v>
      </c>
      <c r="AH23" s="28" t="s">
        <v>707</v>
      </c>
      <c r="AI23" s="28" t="s">
        <v>708</v>
      </c>
      <c r="AJ23" s="28" t="s">
        <v>708</v>
      </c>
      <c r="AK23" s="28" t="s">
        <v>367</v>
      </c>
      <c r="AL23" s="28" t="s">
        <v>367</v>
      </c>
    </row>
    <row r="24">
      <c r="A24" s="28" t="s">
        <v>262</v>
      </c>
      <c r="B24" s="27">
        <v>2.20009926E9</v>
      </c>
      <c r="C24" s="28" t="s">
        <v>174</v>
      </c>
      <c r="D24" s="27">
        <v>10.0</v>
      </c>
      <c r="E24" s="28" t="s">
        <v>201</v>
      </c>
      <c r="F24" s="28" t="s">
        <v>148</v>
      </c>
      <c r="G24" s="28" t="s">
        <v>260</v>
      </c>
      <c r="H24" s="28" t="s">
        <v>657</v>
      </c>
      <c r="I24" s="46"/>
      <c r="J24" s="28" t="s">
        <v>658</v>
      </c>
      <c r="K24" s="27">
        <v>5.100134084E9</v>
      </c>
      <c r="L24" s="28" t="s">
        <v>709</v>
      </c>
      <c r="M24" s="46"/>
      <c r="N24" s="28" t="s">
        <v>367</v>
      </c>
      <c r="O24" s="28" t="s">
        <v>255</v>
      </c>
      <c r="P24" s="27">
        <v>0.0</v>
      </c>
      <c r="Q24" s="28" t="s">
        <v>670</v>
      </c>
      <c r="R24" s="28" t="s">
        <v>248</v>
      </c>
      <c r="S24" s="28" t="s">
        <v>367</v>
      </c>
      <c r="T24" s="28" t="s">
        <v>367</v>
      </c>
      <c r="U24" s="28" t="s">
        <v>367</v>
      </c>
      <c r="V24" s="28" t="s">
        <v>367</v>
      </c>
      <c r="W24" s="28" t="s">
        <v>367</v>
      </c>
      <c r="X24" s="28" t="s">
        <v>367</v>
      </c>
      <c r="Y24" s="28" t="s">
        <v>367</v>
      </c>
      <c r="Z24" s="28" t="s">
        <v>367</v>
      </c>
      <c r="AA24" s="28" t="s">
        <v>367</v>
      </c>
      <c r="AB24" s="28" t="s">
        <v>367</v>
      </c>
      <c r="AC24" s="28" t="s">
        <v>670</v>
      </c>
      <c r="AD24" s="28" t="s">
        <v>661</v>
      </c>
      <c r="AE24" s="28" t="s">
        <v>366</v>
      </c>
      <c r="AF24" s="28" t="s">
        <v>367</v>
      </c>
      <c r="AG24" s="28" t="s">
        <v>173</v>
      </c>
      <c r="AH24" s="28" t="s">
        <v>680</v>
      </c>
      <c r="AI24" s="28" t="s">
        <v>691</v>
      </c>
      <c r="AJ24" s="28" t="s">
        <v>691</v>
      </c>
      <c r="AK24" s="28" t="s">
        <v>367</v>
      </c>
      <c r="AL24" s="28" t="s">
        <v>367</v>
      </c>
    </row>
    <row r="25">
      <c r="A25" s="28" t="s">
        <v>541</v>
      </c>
      <c r="B25" s="27">
        <v>2.200103113E9</v>
      </c>
      <c r="C25" s="28" t="s">
        <v>157</v>
      </c>
      <c r="D25" s="27">
        <v>10.0</v>
      </c>
      <c r="E25" s="28" t="s">
        <v>283</v>
      </c>
      <c r="F25" s="28" t="s">
        <v>148</v>
      </c>
      <c r="G25" s="28" t="s">
        <v>537</v>
      </c>
      <c r="H25" s="28" t="s">
        <v>657</v>
      </c>
      <c r="I25" s="46"/>
      <c r="J25" s="28" t="s">
        <v>658</v>
      </c>
      <c r="K25" s="27">
        <v>5.100140323E9</v>
      </c>
      <c r="L25" s="47">
        <v>45876.0</v>
      </c>
      <c r="M25" s="28" t="s">
        <v>367</v>
      </c>
      <c r="N25" s="28" t="s">
        <v>367</v>
      </c>
      <c r="O25" s="28" t="s">
        <v>186</v>
      </c>
      <c r="P25" s="27">
        <v>0.0</v>
      </c>
      <c r="Q25" s="28" t="s">
        <v>670</v>
      </c>
      <c r="R25" s="28" t="s">
        <v>248</v>
      </c>
      <c r="S25" s="28" t="s">
        <v>367</v>
      </c>
      <c r="T25" s="28" t="s">
        <v>367</v>
      </c>
      <c r="U25" s="28" t="s">
        <v>367</v>
      </c>
      <c r="V25" s="28" t="s">
        <v>367</v>
      </c>
      <c r="W25" s="28" t="s">
        <v>367</v>
      </c>
      <c r="X25" s="28" t="s">
        <v>367</v>
      </c>
      <c r="Y25" s="28" t="s">
        <v>367</v>
      </c>
      <c r="Z25" s="28" t="s">
        <v>367</v>
      </c>
      <c r="AA25" s="28" t="s">
        <v>367</v>
      </c>
      <c r="AB25" s="28" t="s">
        <v>367</v>
      </c>
      <c r="AC25" s="28" t="s">
        <v>401</v>
      </c>
      <c r="AD25" s="28" t="s">
        <v>661</v>
      </c>
      <c r="AE25" s="28" t="s">
        <v>367</v>
      </c>
      <c r="AF25" s="28" t="s">
        <v>367</v>
      </c>
      <c r="AG25" s="28" t="s">
        <v>504</v>
      </c>
      <c r="AH25" s="28" t="s">
        <v>710</v>
      </c>
      <c r="AI25" s="28" t="s">
        <v>504</v>
      </c>
      <c r="AJ25" s="28" t="s">
        <v>504</v>
      </c>
      <c r="AK25" s="28" t="s">
        <v>367</v>
      </c>
      <c r="AL25" s="28" t="s">
        <v>367</v>
      </c>
    </row>
    <row r="26">
      <c r="A26" s="28" t="s">
        <v>555</v>
      </c>
      <c r="B26" s="27">
        <v>2.200103225E9</v>
      </c>
      <c r="C26" s="28" t="s">
        <v>157</v>
      </c>
      <c r="D26" s="27">
        <v>10.0</v>
      </c>
      <c r="E26" s="28" t="s">
        <v>316</v>
      </c>
      <c r="F26" s="28" t="s">
        <v>148</v>
      </c>
      <c r="G26" s="28" t="s">
        <v>553</v>
      </c>
      <c r="H26" s="28" t="s">
        <v>657</v>
      </c>
      <c r="I26" s="46"/>
      <c r="J26" s="28" t="s">
        <v>658</v>
      </c>
      <c r="K26" s="27">
        <v>5.100139491E9</v>
      </c>
      <c r="L26" s="28" t="s">
        <v>711</v>
      </c>
      <c r="M26" s="46"/>
      <c r="N26" s="28" t="s">
        <v>367</v>
      </c>
      <c r="O26" s="28" t="s">
        <v>173</v>
      </c>
      <c r="P26" s="27">
        <v>0.0</v>
      </c>
      <c r="Q26" s="28" t="s">
        <v>670</v>
      </c>
      <c r="R26" s="28" t="s">
        <v>255</v>
      </c>
      <c r="S26" s="28" t="s">
        <v>367</v>
      </c>
      <c r="T26" s="28" t="s">
        <v>367</v>
      </c>
      <c r="U26" s="28" t="s">
        <v>367</v>
      </c>
      <c r="V26" s="28" t="s">
        <v>367</v>
      </c>
      <c r="W26" s="28" t="s">
        <v>367</v>
      </c>
      <c r="X26" s="28" t="s">
        <v>367</v>
      </c>
      <c r="Y26" s="28" t="s">
        <v>367</v>
      </c>
      <c r="Z26" s="28" t="s">
        <v>367</v>
      </c>
      <c r="AA26" s="28" t="s">
        <v>367</v>
      </c>
      <c r="AB26" s="28" t="s">
        <v>367</v>
      </c>
      <c r="AC26" s="28" t="s">
        <v>660</v>
      </c>
      <c r="AD26" s="28" t="s">
        <v>661</v>
      </c>
      <c r="AE26" s="28" t="s">
        <v>269</v>
      </c>
      <c r="AF26" s="28" t="s">
        <v>367</v>
      </c>
      <c r="AG26" s="28" t="s">
        <v>159</v>
      </c>
      <c r="AH26" s="28" t="s">
        <v>707</v>
      </c>
      <c r="AI26" s="28" t="s">
        <v>712</v>
      </c>
      <c r="AJ26" s="28" t="s">
        <v>712</v>
      </c>
      <c r="AK26" s="28" t="s">
        <v>367</v>
      </c>
      <c r="AL26" s="28" t="s">
        <v>367</v>
      </c>
    </row>
    <row r="27">
      <c r="A27" s="28" t="s">
        <v>562</v>
      </c>
      <c r="B27" s="27">
        <v>2.200103392E9</v>
      </c>
      <c r="C27" s="28" t="s">
        <v>174</v>
      </c>
      <c r="D27" s="27">
        <v>10.0</v>
      </c>
      <c r="E27" s="28" t="s">
        <v>221</v>
      </c>
      <c r="F27" s="28" t="s">
        <v>148</v>
      </c>
      <c r="G27" s="28" t="s">
        <v>560</v>
      </c>
      <c r="H27" s="28" t="s">
        <v>657</v>
      </c>
      <c r="I27" s="46"/>
      <c r="J27" s="28" t="s">
        <v>658</v>
      </c>
      <c r="K27" s="27">
        <v>5.100140398E9</v>
      </c>
      <c r="L27" s="47">
        <v>45998.0</v>
      </c>
      <c r="M27" s="28" t="s">
        <v>367</v>
      </c>
      <c r="N27" s="28" t="s">
        <v>367</v>
      </c>
      <c r="O27" s="28" t="s">
        <v>255</v>
      </c>
      <c r="P27" s="27">
        <v>0.0</v>
      </c>
      <c r="Q27" s="28" t="s">
        <v>670</v>
      </c>
      <c r="R27" s="28" t="s">
        <v>186</v>
      </c>
      <c r="S27" s="28" t="s">
        <v>367</v>
      </c>
      <c r="T27" s="28" t="s">
        <v>367</v>
      </c>
      <c r="U27" s="28" t="s">
        <v>367</v>
      </c>
      <c r="V27" s="28" t="s">
        <v>367</v>
      </c>
      <c r="W27" s="28" t="s">
        <v>367</v>
      </c>
      <c r="X27" s="28" t="s">
        <v>367</v>
      </c>
      <c r="Y27" s="28" t="s">
        <v>367</v>
      </c>
      <c r="Z27" s="28" t="s">
        <v>367</v>
      </c>
      <c r="AA27" s="28" t="s">
        <v>367</v>
      </c>
      <c r="AB27" s="28" t="s">
        <v>367</v>
      </c>
      <c r="AC27" s="28" t="s">
        <v>237</v>
      </c>
      <c r="AD27" s="28" t="s">
        <v>661</v>
      </c>
      <c r="AE27" s="28" t="s">
        <v>367</v>
      </c>
      <c r="AF27" s="28" t="s">
        <v>367</v>
      </c>
      <c r="AG27" s="28" t="s">
        <v>704</v>
      </c>
      <c r="AH27" s="28" t="s">
        <v>713</v>
      </c>
      <c r="AI27" s="28" t="s">
        <v>704</v>
      </c>
      <c r="AJ27" s="28" t="s">
        <v>704</v>
      </c>
      <c r="AK27" s="28" t="s">
        <v>367</v>
      </c>
      <c r="AL27" s="28" t="s">
        <v>367</v>
      </c>
    </row>
    <row r="28">
      <c r="A28" s="28" t="s">
        <v>589</v>
      </c>
      <c r="B28" s="27">
        <v>2.200103688E9</v>
      </c>
      <c r="C28" s="28" t="s">
        <v>495</v>
      </c>
      <c r="D28" s="27">
        <v>10.0</v>
      </c>
      <c r="E28" s="28" t="s">
        <v>201</v>
      </c>
      <c r="F28" s="28" t="s">
        <v>148</v>
      </c>
      <c r="G28" s="28" t="s">
        <v>587</v>
      </c>
      <c r="H28" s="28" t="s">
        <v>657</v>
      </c>
      <c r="I28" s="46"/>
      <c r="J28" s="28" t="s">
        <v>658</v>
      </c>
      <c r="K28" s="27">
        <v>5.10014046E9</v>
      </c>
      <c r="L28" s="47">
        <v>45876.0</v>
      </c>
      <c r="M28" s="28" t="s">
        <v>367</v>
      </c>
      <c r="N28" s="28" t="s">
        <v>367</v>
      </c>
      <c r="O28" s="28" t="s">
        <v>186</v>
      </c>
      <c r="P28" s="27">
        <v>0.0</v>
      </c>
      <c r="Q28" s="28" t="s">
        <v>255</v>
      </c>
      <c r="R28" s="28" t="s">
        <v>194</v>
      </c>
      <c r="S28" s="28" t="s">
        <v>367</v>
      </c>
      <c r="T28" s="28" t="s">
        <v>367</v>
      </c>
      <c r="U28" s="28" t="s">
        <v>367</v>
      </c>
      <c r="V28" s="28" t="s">
        <v>367</v>
      </c>
      <c r="W28" s="28" t="s">
        <v>367</v>
      </c>
      <c r="X28" s="28" t="s">
        <v>367</v>
      </c>
      <c r="Y28" s="28" t="s">
        <v>367</v>
      </c>
      <c r="Z28" s="28" t="s">
        <v>367</v>
      </c>
      <c r="AA28" s="28" t="s">
        <v>367</v>
      </c>
      <c r="AB28" s="28" t="s">
        <v>367</v>
      </c>
      <c r="AC28" s="28" t="s">
        <v>660</v>
      </c>
      <c r="AD28" s="28" t="s">
        <v>661</v>
      </c>
      <c r="AE28" s="28" t="s">
        <v>367</v>
      </c>
      <c r="AF28" s="28" t="s">
        <v>367</v>
      </c>
      <c r="AG28" s="28" t="s">
        <v>714</v>
      </c>
      <c r="AH28" s="28" t="s">
        <v>715</v>
      </c>
      <c r="AI28" s="28" t="s">
        <v>714</v>
      </c>
      <c r="AJ28" s="28" t="s">
        <v>714</v>
      </c>
      <c r="AK28" s="28" t="s">
        <v>367</v>
      </c>
      <c r="AL28" s="28" t="s">
        <v>367</v>
      </c>
    </row>
    <row r="29">
      <c r="A29" s="28" t="s">
        <v>256</v>
      </c>
      <c r="B29" s="27">
        <v>2.200099259E9</v>
      </c>
      <c r="C29" s="28" t="s">
        <v>174</v>
      </c>
      <c r="D29" s="27">
        <v>10.0</v>
      </c>
      <c r="E29" s="28" t="s">
        <v>201</v>
      </c>
      <c r="F29" s="28" t="s">
        <v>148</v>
      </c>
      <c r="G29" s="28" t="s">
        <v>253</v>
      </c>
      <c r="H29" s="28" t="s">
        <v>657</v>
      </c>
      <c r="I29" s="46"/>
      <c r="J29" s="28" t="s">
        <v>658</v>
      </c>
      <c r="K29" s="27">
        <v>5.100133981E9</v>
      </c>
      <c r="L29" s="28" t="s">
        <v>687</v>
      </c>
      <c r="M29" s="46"/>
      <c r="N29" s="28" t="s">
        <v>367</v>
      </c>
      <c r="O29" s="28" t="s">
        <v>670</v>
      </c>
      <c r="P29" s="27">
        <v>0.0</v>
      </c>
      <c r="Q29" s="28" t="s">
        <v>670</v>
      </c>
      <c r="R29" s="28" t="s">
        <v>255</v>
      </c>
      <c r="S29" s="28" t="s">
        <v>367</v>
      </c>
      <c r="T29" s="28" t="s">
        <v>367</v>
      </c>
      <c r="U29" s="28" t="s">
        <v>367</v>
      </c>
      <c r="V29" s="28" t="s">
        <v>367</v>
      </c>
      <c r="W29" s="28" t="s">
        <v>367</v>
      </c>
      <c r="X29" s="28" t="s">
        <v>367</v>
      </c>
      <c r="Y29" s="28" t="s">
        <v>367</v>
      </c>
      <c r="Z29" s="28" t="s">
        <v>367</v>
      </c>
      <c r="AA29" s="28" t="s">
        <v>367</v>
      </c>
      <c r="AB29" s="28" t="s">
        <v>367</v>
      </c>
      <c r="AC29" s="28" t="s">
        <v>670</v>
      </c>
      <c r="AD29" s="28" t="s">
        <v>661</v>
      </c>
      <c r="AE29" s="28" t="s">
        <v>296</v>
      </c>
      <c r="AF29" s="28" t="s">
        <v>367</v>
      </c>
      <c r="AG29" s="28" t="s">
        <v>255</v>
      </c>
      <c r="AH29" s="28" t="s">
        <v>716</v>
      </c>
      <c r="AI29" s="28" t="s">
        <v>666</v>
      </c>
      <c r="AJ29" s="28" t="s">
        <v>666</v>
      </c>
      <c r="AK29" s="28" t="s">
        <v>367</v>
      </c>
      <c r="AL29" s="28" t="s">
        <v>367</v>
      </c>
    </row>
    <row r="30">
      <c r="A30" s="28" t="s">
        <v>568</v>
      </c>
      <c r="B30" s="27">
        <v>2.200103369E9</v>
      </c>
      <c r="C30" s="28" t="s">
        <v>174</v>
      </c>
      <c r="D30" s="27">
        <v>10.0</v>
      </c>
      <c r="E30" s="28" t="s">
        <v>308</v>
      </c>
      <c r="F30" s="28" t="s">
        <v>148</v>
      </c>
      <c r="G30" s="28" t="s">
        <v>567</v>
      </c>
      <c r="H30" s="28" t="s">
        <v>657</v>
      </c>
      <c r="I30" s="46"/>
      <c r="J30" s="28" t="s">
        <v>658</v>
      </c>
      <c r="K30" s="27">
        <v>5.100139487E9</v>
      </c>
      <c r="L30" s="28" t="s">
        <v>711</v>
      </c>
      <c r="M30" s="46"/>
      <c r="N30" s="28" t="s">
        <v>367</v>
      </c>
      <c r="O30" s="28" t="s">
        <v>660</v>
      </c>
      <c r="P30" s="27">
        <v>0.0</v>
      </c>
      <c r="Q30" s="28" t="s">
        <v>670</v>
      </c>
      <c r="R30" s="28" t="s">
        <v>194</v>
      </c>
      <c r="S30" s="28" t="s">
        <v>367</v>
      </c>
      <c r="T30" s="28" t="s">
        <v>367</v>
      </c>
      <c r="U30" s="28" t="s">
        <v>367</v>
      </c>
      <c r="V30" s="28" t="s">
        <v>367</v>
      </c>
      <c r="W30" s="28" t="s">
        <v>367</v>
      </c>
      <c r="X30" s="28" t="s">
        <v>367</v>
      </c>
      <c r="Y30" s="28" t="s">
        <v>367</v>
      </c>
      <c r="Z30" s="28" t="s">
        <v>367</v>
      </c>
      <c r="AA30" s="28" t="s">
        <v>367</v>
      </c>
      <c r="AB30" s="28" t="s">
        <v>367</v>
      </c>
      <c r="AC30" s="28" t="s">
        <v>660</v>
      </c>
      <c r="AD30" s="28" t="s">
        <v>661</v>
      </c>
      <c r="AE30" s="28" t="s">
        <v>717</v>
      </c>
      <c r="AF30" s="28" t="s">
        <v>367</v>
      </c>
      <c r="AG30" s="28" t="s">
        <v>160</v>
      </c>
      <c r="AH30" s="28" t="s">
        <v>718</v>
      </c>
      <c r="AI30" s="28" t="s">
        <v>693</v>
      </c>
      <c r="AJ30" s="28" t="s">
        <v>693</v>
      </c>
      <c r="AK30" s="28" t="s">
        <v>367</v>
      </c>
      <c r="AL30" s="28" t="s">
        <v>367</v>
      </c>
    </row>
    <row r="31">
      <c r="A31" s="28" t="s">
        <v>287</v>
      </c>
      <c r="B31" s="27">
        <v>2.200099482E9</v>
      </c>
      <c r="C31" s="28" t="s">
        <v>174</v>
      </c>
      <c r="D31" s="27">
        <v>10.0</v>
      </c>
      <c r="E31" s="28" t="s">
        <v>283</v>
      </c>
      <c r="F31" s="28" t="s">
        <v>148</v>
      </c>
      <c r="G31" s="28" t="s">
        <v>282</v>
      </c>
      <c r="H31" s="28" t="s">
        <v>657</v>
      </c>
      <c r="I31" s="46"/>
      <c r="J31" s="28" t="s">
        <v>658</v>
      </c>
      <c r="K31" s="27">
        <v>4.100004803E9</v>
      </c>
      <c r="L31" s="47">
        <v>45811.0</v>
      </c>
      <c r="M31" s="28" t="s">
        <v>367</v>
      </c>
      <c r="N31" s="28" t="s">
        <v>367</v>
      </c>
      <c r="O31" s="28" t="s">
        <v>660</v>
      </c>
      <c r="P31" s="27">
        <v>0.0</v>
      </c>
      <c r="Q31" s="28" t="s">
        <v>670</v>
      </c>
      <c r="R31" s="28" t="s">
        <v>410</v>
      </c>
      <c r="S31" s="28" t="s">
        <v>367</v>
      </c>
      <c r="T31" s="28" t="s">
        <v>367</v>
      </c>
      <c r="U31" s="28" t="s">
        <v>367</v>
      </c>
      <c r="V31" s="28" t="s">
        <v>367</v>
      </c>
      <c r="W31" s="28" t="s">
        <v>367</v>
      </c>
      <c r="X31" s="28" t="s">
        <v>367</v>
      </c>
      <c r="Y31" s="28" t="s">
        <v>367</v>
      </c>
      <c r="Z31" s="28" t="s">
        <v>367</v>
      </c>
      <c r="AA31" s="28" t="s">
        <v>367</v>
      </c>
      <c r="AB31" s="28" t="s">
        <v>367</v>
      </c>
      <c r="AC31" s="28" t="s">
        <v>531</v>
      </c>
      <c r="AD31" s="28" t="s">
        <v>661</v>
      </c>
      <c r="AE31" s="28" t="s">
        <v>367</v>
      </c>
      <c r="AF31" s="28" t="s">
        <v>367</v>
      </c>
      <c r="AG31" s="28" t="s">
        <v>268</v>
      </c>
      <c r="AH31" s="28" t="s">
        <v>719</v>
      </c>
      <c r="AI31" s="28" t="s">
        <v>268</v>
      </c>
      <c r="AJ31" s="28" t="s">
        <v>268</v>
      </c>
      <c r="AK31" s="28" t="s">
        <v>367</v>
      </c>
      <c r="AL31" s="28" t="s">
        <v>367</v>
      </c>
    </row>
    <row r="32">
      <c r="A32" s="28" t="s">
        <v>583</v>
      </c>
      <c r="B32" s="27">
        <v>2.200103662E9</v>
      </c>
      <c r="C32" s="28" t="s">
        <v>174</v>
      </c>
      <c r="D32" s="27">
        <v>10.0</v>
      </c>
      <c r="E32" s="28" t="s">
        <v>581</v>
      </c>
      <c r="F32" s="28" t="s">
        <v>148</v>
      </c>
      <c r="G32" s="28" t="s">
        <v>580</v>
      </c>
      <c r="H32" s="28" t="s">
        <v>657</v>
      </c>
      <c r="I32" s="46"/>
      <c r="J32" s="28" t="s">
        <v>658</v>
      </c>
      <c r="K32" s="27">
        <v>5.100139717E9</v>
      </c>
      <c r="L32" s="28" t="s">
        <v>720</v>
      </c>
      <c r="M32" s="46"/>
      <c r="N32" s="28" t="s">
        <v>367</v>
      </c>
      <c r="O32" s="28" t="s">
        <v>670</v>
      </c>
      <c r="P32" s="27">
        <v>0.0</v>
      </c>
      <c r="Q32" s="28" t="s">
        <v>255</v>
      </c>
      <c r="R32" s="28" t="s">
        <v>186</v>
      </c>
      <c r="S32" s="28" t="s">
        <v>367</v>
      </c>
      <c r="T32" s="28" t="s">
        <v>367</v>
      </c>
      <c r="U32" s="28" t="s">
        <v>367</v>
      </c>
      <c r="V32" s="28" t="s">
        <v>367</v>
      </c>
      <c r="W32" s="28" t="s">
        <v>367</v>
      </c>
      <c r="X32" s="28" t="s">
        <v>367</v>
      </c>
      <c r="Y32" s="28" t="s">
        <v>367</v>
      </c>
      <c r="Z32" s="28" t="s">
        <v>367</v>
      </c>
      <c r="AA32" s="28" t="s">
        <v>367</v>
      </c>
      <c r="AB32" s="28" t="s">
        <v>367</v>
      </c>
      <c r="AC32" s="28" t="s">
        <v>604</v>
      </c>
      <c r="AD32" s="28" t="s">
        <v>661</v>
      </c>
      <c r="AE32" s="28" t="s">
        <v>712</v>
      </c>
      <c r="AF32" s="28" t="s">
        <v>367</v>
      </c>
      <c r="AG32" s="28" t="s">
        <v>160</v>
      </c>
      <c r="AH32" s="28" t="s">
        <v>718</v>
      </c>
      <c r="AI32" s="28" t="s">
        <v>708</v>
      </c>
      <c r="AJ32" s="28" t="s">
        <v>708</v>
      </c>
      <c r="AK32" s="28" t="s">
        <v>367</v>
      </c>
      <c r="AL32" s="28" t="s">
        <v>367</v>
      </c>
    </row>
    <row r="33">
      <c r="A33" s="28" t="s">
        <v>596</v>
      </c>
      <c r="B33" s="27">
        <v>2.200103739E9</v>
      </c>
      <c r="C33" s="28" t="s">
        <v>174</v>
      </c>
      <c r="D33" s="27">
        <v>10.0</v>
      </c>
      <c r="E33" s="28" t="s">
        <v>168</v>
      </c>
      <c r="F33" s="28" t="s">
        <v>148</v>
      </c>
      <c r="G33" s="28" t="s">
        <v>594</v>
      </c>
      <c r="H33" s="28" t="s">
        <v>657</v>
      </c>
      <c r="I33" s="46"/>
      <c r="J33" s="28" t="s">
        <v>658</v>
      </c>
      <c r="K33" s="27">
        <v>5.100140396E9</v>
      </c>
      <c r="L33" s="47">
        <v>45845.0</v>
      </c>
      <c r="M33" s="28" t="s">
        <v>367</v>
      </c>
      <c r="N33" s="28" t="s">
        <v>367</v>
      </c>
      <c r="O33" s="28" t="s">
        <v>248</v>
      </c>
      <c r="P33" s="27">
        <v>0.0</v>
      </c>
      <c r="Q33" s="28" t="s">
        <v>660</v>
      </c>
      <c r="R33" s="28" t="s">
        <v>194</v>
      </c>
      <c r="S33" s="28" t="s">
        <v>367</v>
      </c>
      <c r="T33" s="28" t="s">
        <v>367</v>
      </c>
      <c r="U33" s="28" t="s">
        <v>367</v>
      </c>
      <c r="V33" s="28" t="s">
        <v>367</v>
      </c>
      <c r="W33" s="28" t="s">
        <v>367</v>
      </c>
      <c r="X33" s="28" t="s">
        <v>367</v>
      </c>
      <c r="Y33" s="28" t="s">
        <v>367</v>
      </c>
      <c r="Z33" s="28" t="s">
        <v>367</v>
      </c>
      <c r="AA33" s="28" t="s">
        <v>367</v>
      </c>
      <c r="AB33" s="28" t="s">
        <v>367</v>
      </c>
      <c r="AC33" s="28" t="s">
        <v>604</v>
      </c>
      <c r="AD33" s="28" t="s">
        <v>661</v>
      </c>
      <c r="AE33" s="28" t="s">
        <v>367</v>
      </c>
      <c r="AF33" s="28" t="s">
        <v>367</v>
      </c>
      <c r="AG33" s="28" t="s">
        <v>159</v>
      </c>
      <c r="AH33" s="28" t="s">
        <v>707</v>
      </c>
      <c r="AI33" s="28" t="s">
        <v>159</v>
      </c>
      <c r="AJ33" s="28" t="s">
        <v>159</v>
      </c>
      <c r="AK33" s="28" t="s">
        <v>367</v>
      </c>
      <c r="AL33" s="28" t="s">
        <v>367</v>
      </c>
    </row>
    <row r="34">
      <c r="A34" s="28" t="s">
        <v>611</v>
      </c>
      <c r="B34" s="27">
        <v>2.200104101E9</v>
      </c>
      <c r="C34" s="28" t="s">
        <v>495</v>
      </c>
      <c r="D34" s="27">
        <v>10.0</v>
      </c>
      <c r="E34" s="28" t="s">
        <v>201</v>
      </c>
      <c r="F34" s="28" t="s">
        <v>148</v>
      </c>
      <c r="G34" s="28" t="s">
        <v>609</v>
      </c>
      <c r="H34" s="28" t="s">
        <v>657</v>
      </c>
      <c r="I34" s="46"/>
      <c r="J34" s="28" t="s">
        <v>658</v>
      </c>
      <c r="K34" s="27">
        <v>5.100140662E9</v>
      </c>
      <c r="L34" s="28" t="s">
        <v>721</v>
      </c>
      <c r="M34" s="28" t="s">
        <v>367</v>
      </c>
      <c r="N34" s="28" t="s">
        <v>367</v>
      </c>
      <c r="O34" s="28" t="s">
        <v>670</v>
      </c>
      <c r="P34" s="27">
        <v>0.0</v>
      </c>
      <c r="Q34" s="28" t="s">
        <v>660</v>
      </c>
      <c r="R34" s="28" t="s">
        <v>176</v>
      </c>
      <c r="S34" s="28" t="s">
        <v>367</v>
      </c>
      <c r="T34" s="28" t="s">
        <v>367</v>
      </c>
      <c r="U34" s="28" t="s">
        <v>367</v>
      </c>
      <c r="V34" s="28" t="s">
        <v>367</v>
      </c>
      <c r="W34" s="28" t="s">
        <v>367</v>
      </c>
      <c r="X34" s="28" t="s">
        <v>367</v>
      </c>
      <c r="Y34" s="28" t="s">
        <v>367</v>
      </c>
      <c r="Z34" s="28" t="s">
        <v>367</v>
      </c>
      <c r="AA34" s="28" t="s">
        <v>367</v>
      </c>
      <c r="AB34" s="28" t="s">
        <v>367</v>
      </c>
      <c r="AC34" s="28" t="s">
        <v>255</v>
      </c>
      <c r="AD34" s="28" t="s">
        <v>661</v>
      </c>
      <c r="AE34" s="28" t="s">
        <v>367</v>
      </c>
      <c r="AF34" s="28" t="s">
        <v>367</v>
      </c>
      <c r="AG34" s="28" t="s">
        <v>223</v>
      </c>
      <c r="AH34" s="28" t="s">
        <v>702</v>
      </c>
      <c r="AI34" s="28" t="s">
        <v>223</v>
      </c>
      <c r="AJ34" s="28" t="s">
        <v>223</v>
      </c>
      <c r="AK34" s="28" t="s">
        <v>367</v>
      </c>
      <c r="AL34" s="28" t="s">
        <v>367</v>
      </c>
    </row>
    <row r="35">
      <c r="A35" s="28" t="s">
        <v>606</v>
      </c>
      <c r="B35" s="27">
        <v>2.20010383E9</v>
      </c>
      <c r="C35" s="28" t="s">
        <v>157</v>
      </c>
      <c r="D35" s="27">
        <v>10.0</v>
      </c>
      <c r="E35" s="28" t="s">
        <v>201</v>
      </c>
      <c r="F35" s="28" t="s">
        <v>148</v>
      </c>
      <c r="G35" s="28" t="s">
        <v>602</v>
      </c>
      <c r="H35" s="28" t="s">
        <v>657</v>
      </c>
      <c r="I35" s="27">
        <v>4.000000672E9</v>
      </c>
      <c r="J35" s="28" t="s">
        <v>367</v>
      </c>
      <c r="K35" s="27">
        <v>5.100139746E9</v>
      </c>
      <c r="L35" s="28" t="s">
        <v>722</v>
      </c>
      <c r="M35" s="46"/>
      <c r="N35" s="28" t="s">
        <v>367</v>
      </c>
      <c r="O35" s="28" t="s">
        <v>604</v>
      </c>
      <c r="P35" s="28" t="s">
        <v>604</v>
      </c>
      <c r="Q35" s="28" t="s">
        <v>367</v>
      </c>
      <c r="R35" s="28" t="s">
        <v>367</v>
      </c>
      <c r="S35" s="28" t="s">
        <v>367</v>
      </c>
      <c r="T35" s="28" t="s">
        <v>367</v>
      </c>
      <c r="U35" s="28" t="s">
        <v>367</v>
      </c>
      <c r="V35" s="28" t="s">
        <v>367</v>
      </c>
      <c r="W35" s="28" t="s">
        <v>367</v>
      </c>
      <c r="X35" s="28" t="s">
        <v>367</v>
      </c>
      <c r="Y35" s="28" t="s">
        <v>367</v>
      </c>
      <c r="Z35" s="28" t="s">
        <v>367</v>
      </c>
      <c r="AA35" s="28" t="s">
        <v>367</v>
      </c>
      <c r="AB35" s="28" t="s">
        <v>367</v>
      </c>
      <c r="AC35" s="28" t="s">
        <v>367</v>
      </c>
      <c r="AD35" s="28" t="s">
        <v>661</v>
      </c>
      <c r="AE35" s="28" t="s">
        <v>677</v>
      </c>
      <c r="AF35" s="28" t="s">
        <v>367</v>
      </c>
      <c r="AG35" s="28" t="s">
        <v>660</v>
      </c>
      <c r="AH35" s="28" t="s">
        <v>723</v>
      </c>
      <c r="AI35" s="28" t="s">
        <v>696</v>
      </c>
      <c r="AJ35" s="28" t="s">
        <v>696</v>
      </c>
      <c r="AK35" s="28" t="s">
        <v>367</v>
      </c>
      <c r="AL35" s="28" t="s">
        <v>367</v>
      </c>
    </row>
    <row r="36">
      <c r="A36" s="28" t="s">
        <v>319</v>
      </c>
      <c r="B36" s="27">
        <v>2.200099425E9</v>
      </c>
      <c r="C36" s="28" t="s">
        <v>157</v>
      </c>
      <c r="D36" s="27">
        <v>10.0</v>
      </c>
      <c r="E36" s="28" t="s">
        <v>316</v>
      </c>
      <c r="F36" s="28" t="s">
        <v>148</v>
      </c>
      <c r="G36" s="28" t="s">
        <v>315</v>
      </c>
      <c r="H36" s="28" t="s">
        <v>657</v>
      </c>
      <c r="I36" s="46"/>
      <c r="J36" s="28" t="s">
        <v>658</v>
      </c>
      <c r="K36" s="27">
        <v>5.1001353E9</v>
      </c>
      <c r="L36" s="47">
        <v>45719.0</v>
      </c>
      <c r="M36" s="28" t="s">
        <v>367</v>
      </c>
      <c r="N36" s="28" t="s">
        <v>367</v>
      </c>
      <c r="O36" s="28" t="s">
        <v>410</v>
      </c>
      <c r="P36" s="27">
        <v>0.0</v>
      </c>
      <c r="Q36" s="28" t="s">
        <v>670</v>
      </c>
      <c r="R36" s="28" t="s">
        <v>248</v>
      </c>
      <c r="S36" s="28" t="s">
        <v>367</v>
      </c>
      <c r="T36" s="28" t="s">
        <v>367</v>
      </c>
      <c r="U36" s="28" t="s">
        <v>367</v>
      </c>
      <c r="V36" s="28" t="s">
        <v>367</v>
      </c>
      <c r="W36" s="28" t="s">
        <v>367</v>
      </c>
      <c r="X36" s="28" t="s">
        <v>367</v>
      </c>
      <c r="Y36" s="28" t="s">
        <v>367</v>
      </c>
      <c r="Z36" s="28" t="s">
        <v>367</v>
      </c>
      <c r="AA36" s="28" t="s">
        <v>367</v>
      </c>
      <c r="AB36" s="28" t="s">
        <v>367</v>
      </c>
      <c r="AC36" s="28" t="s">
        <v>194</v>
      </c>
      <c r="AD36" s="28" t="s">
        <v>661</v>
      </c>
      <c r="AE36" s="28" t="s">
        <v>367</v>
      </c>
      <c r="AF36" s="28" t="s">
        <v>367</v>
      </c>
      <c r="AG36" s="28" t="s">
        <v>159</v>
      </c>
      <c r="AH36" s="28" t="s">
        <v>707</v>
      </c>
      <c r="AI36" s="28" t="s">
        <v>159</v>
      </c>
      <c r="AJ36" s="28" t="s">
        <v>159</v>
      </c>
      <c r="AK36" s="28" t="s">
        <v>367</v>
      </c>
      <c r="AL36" s="28" t="s">
        <v>367</v>
      </c>
    </row>
    <row r="37">
      <c r="A37" s="28" t="s">
        <v>298</v>
      </c>
      <c r="B37" s="27">
        <v>2.200099516E9</v>
      </c>
      <c r="C37" s="28" t="s">
        <v>174</v>
      </c>
      <c r="D37" s="27">
        <v>10.0</v>
      </c>
      <c r="E37" s="28" t="s">
        <v>293</v>
      </c>
      <c r="F37" s="28" t="s">
        <v>148</v>
      </c>
      <c r="G37" s="28" t="s">
        <v>292</v>
      </c>
      <c r="H37" s="28" t="s">
        <v>657</v>
      </c>
      <c r="I37" s="46"/>
      <c r="J37" s="28" t="s">
        <v>658</v>
      </c>
      <c r="K37" s="27">
        <v>4.100004817E9</v>
      </c>
      <c r="L37" s="28" t="s">
        <v>724</v>
      </c>
      <c r="M37" s="28" t="s">
        <v>367</v>
      </c>
      <c r="N37" s="28" t="s">
        <v>367</v>
      </c>
      <c r="O37" s="28" t="s">
        <v>660</v>
      </c>
      <c r="P37" s="27">
        <v>0.0</v>
      </c>
      <c r="Q37" s="28" t="s">
        <v>604</v>
      </c>
      <c r="R37" s="28" t="s">
        <v>185</v>
      </c>
      <c r="S37" s="28" t="s">
        <v>367</v>
      </c>
      <c r="T37" s="28" t="s">
        <v>367</v>
      </c>
      <c r="U37" s="28" t="s">
        <v>367</v>
      </c>
      <c r="V37" s="28" t="s">
        <v>367</v>
      </c>
      <c r="W37" s="28" t="s">
        <v>367</v>
      </c>
      <c r="X37" s="28" t="s">
        <v>367</v>
      </c>
      <c r="Y37" s="28" t="s">
        <v>367</v>
      </c>
      <c r="Z37" s="28" t="s">
        <v>367</v>
      </c>
      <c r="AA37" s="28" t="s">
        <v>367</v>
      </c>
      <c r="AB37" s="28" t="s">
        <v>367</v>
      </c>
      <c r="AC37" s="28" t="s">
        <v>269</v>
      </c>
      <c r="AD37" s="28" t="s">
        <v>661</v>
      </c>
      <c r="AE37" s="28" t="s">
        <v>367</v>
      </c>
      <c r="AF37" s="28" t="s">
        <v>367</v>
      </c>
      <c r="AG37" s="28" t="s">
        <v>725</v>
      </c>
      <c r="AH37" s="28" t="s">
        <v>726</v>
      </c>
      <c r="AI37" s="28" t="s">
        <v>725</v>
      </c>
      <c r="AJ37" s="28" t="s">
        <v>725</v>
      </c>
      <c r="AK37" s="28" t="s">
        <v>367</v>
      </c>
      <c r="AL37" s="28" t="s">
        <v>367</v>
      </c>
    </row>
    <row r="38">
      <c r="A38" s="28" t="s">
        <v>310</v>
      </c>
      <c r="B38" s="27">
        <v>2.200099771E9</v>
      </c>
      <c r="C38" s="28" t="s">
        <v>174</v>
      </c>
      <c r="D38" s="27">
        <v>10.0</v>
      </c>
      <c r="E38" s="28" t="s">
        <v>308</v>
      </c>
      <c r="F38" s="28" t="s">
        <v>148</v>
      </c>
      <c r="G38" s="28" t="s">
        <v>307</v>
      </c>
      <c r="H38" s="28" t="s">
        <v>657</v>
      </c>
      <c r="I38" s="46"/>
      <c r="J38" s="28" t="s">
        <v>658</v>
      </c>
      <c r="K38" s="27">
        <v>5.100134577E9</v>
      </c>
      <c r="L38" s="28" t="s">
        <v>727</v>
      </c>
      <c r="M38" s="46"/>
      <c r="N38" s="28" t="s">
        <v>367</v>
      </c>
      <c r="O38" s="28" t="s">
        <v>660</v>
      </c>
      <c r="P38" s="27">
        <v>0.0</v>
      </c>
      <c r="Q38" s="28" t="s">
        <v>670</v>
      </c>
      <c r="R38" s="28" t="s">
        <v>255</v>
      </c>
      <c r="S38" s="28" t="s">
        <v>367</v>
      </c>
      <c r="T38" s="28" t="s">
        <v>367</v>
      </c>
      <c r="U38" s="28" t="s">
        <v>367</v>
      </c>
      <c r="V38" s="28" t="s">
        <v>367</v>
      </c>
      <c r="W38" s="28" t="s">
        <v>367</v>
      </c>
      <c r="X38" s="28" t="s">
        <v>367</v>
      </c>
      <c r="Y38" s="28" t="s">
        <v>367</v>
      </c>
      <c r="Z38" s="28" t="s">
        <v>367</v>
      </c>
      <c r="AA38" s="28" t="s">
        <v>367</v>
      </c>
      <c r="AB38" s="28" t="s">
        <v>367</v>
      </c>
      <c r="AC38" s="28" t="s">
        <v>604</v>
      </c>
      <c r="AD38" s="28" t="s">
        <v>661</v>
      </c>
      <c r="AE38" s="28" t="s">
        <v>540</v>
      </c>
      <c r="AF38" s="28" t="s">
        <v>367</v>
      </c>
      <c r="AG38" s="28" t="s">
        <v>194</v>
      </c>
      <c r="AH38" s="28" t="s">
        <v>728</v>
      </c>
      <c r="AI38" s="28" t="s">
        <v>296</v>
      </c>
      <c r="AJ38" s="28" t="s">
        <v>296</v>
      </c>
      <c r="AK38" s="28" t="s">
        <v>367</v>
      </c>
      <c r="AL38" s="28" t="s">
        <v>367</v>
      </c>
    </row>
    <row r="39">
      <c r="A39" s="28" t="s">
        <v>303</v>
      </c>
      <c r="B39" s="27">
        <v>2.200099686E9</v>
      </c>
      <c r="C39" s="28" t="s">
        <v>174</v>
      </c>
      <c r="D39" s="27">
        <v>10.0</v>
      </c>
      <c r="E39" s="28" t="s">
        <v>201</v>
      </c>
      <c r="F39" s="28" t="s">
        <v>148</v>
      </c>
      <c r="G39" s="28" t="s">
        <v>302</v>
      </c>
      <c r="H39" s="28" t="s">
        <v>657</v>
      </c>
      <c r="I39" s="46"/>
      <c r="J39" s="28" t="s">
        <v>658</v>
      </c>
      <c r="K39" s="27">
        <v>5.100134541E9</v>
      </c>
      <c r="L39" s="47">
        <v>45993.0</v>
      </c>
      <c r="M39" s="46"/>
      <c r="N39" s="28" t="s">
        <v>367</v>
      </c>
      <c r="O39" s="28" t="s">
        <v>604</v>
      </c>
      <c r="P39" s="27">
        <v>0.0</v>
      </c>
      <c r="Q39" s="28" t="s">
        <v>670</v>
      </c>
      <c r="R39" s="28" t="s">
        <v>410</v>
      </c>
      <c r="S39" s="28" t="s">
        <v>367</v>
      </c>
      <c r="T39" s="28" t="s">
        <v>367</v>
      </c>
      <c r="U39" s="28" t="s">
        <v>367</v>
      </c>
      <c r="V39" s="28" t="s">
        <v>367</v>
      </c>
      <c r="W39" s="28" t="s">
        <v>367</v>
      </c>
      <c r="X39" s="28" t="s">
        <v>367</v>
      </c>
      <c r="Y39" s="28" t="s">
        <v>367</v>
      </c>
      <c r="Z39" s="28" t="s">
        <v>367</v>
      </c>
      <c r="AA39" s="28" t="s">
        <v>367</v>
      </c>
      <c r="AB39" s="28" t="s">
        <v>367</v>
      </c>
      <c r="AC39" s="28" t="s">
        <v>410</v>
      </c>
      <c r="AD39" s="28" t="s">
        <v>661</v>
      </c>
      <c r="AE39" s="28" t="s">
        <v>688</v>
      </c>
      <c r="AF39" s="28" t="s">
        <v>367</v>
      </c>
      <c r="AG39" s="28" t="s">
        <v>194</v>
      </c>
      <c r="AH39" s="28" t="s">
        <v>728</v>
      </c>
      <c r="AI39" s="28" t="s">
        <v>691</v>
      </c>
      <c r="AJ39" s="28" t="s">
        <v>691</v>
      </c>
      <c r="AK39" s="28" t="s">
        <v>367</v>
      </c>
      <c r="AL39" s="28" t="s">
        <v>367</v>
      </c>
    </row>
    <row r="40">
      <c r="A40" s="28" t="s">
        <v>230</v>
      </c>
      <c r="B40" s="27">
        <v>2.200098397E9</v>
      </c>
      <c r="C40" s="28" t="s">
        <v>157</v>
      </c>
      <c r="D40" s="27">
        <v>10.0</v>
      </c>
      <c r="E40" s="28" t="s">
        <v>201</v>
      </c>
      <c r="F40" s="28" t="s">
        <v>148</v>
      </c>
      <c r="G40" s="28" t="s">
        <v>229</v>
      </c>
      <c r="H40" s="28" t="s">
        <v>657</v>
      </c>
      <c r="I40" s="46"/>
      <c r="J40" s="28" t="s">
        <v>658</v>
      </c>
      <c r="K40" s="27">
        <v>5.100134158E9</v>
      </c>
      <c r="L40" s="47">
        <v>45749.0</v>
      </c>
      <c r="M40" s="46"/>
      <c r="N40" s="28" t="s">
        <v>367</v>
      </c>
      <c r="O40" s="28" t="s">
        <v>248</v>
      </c>
      <c r="P40" s="27">
        <v>0.0</v>
      </c>
      <c r="Q40" s="28" t="s">
        <v>604</v>
      </c>
      <c r="R40" s="28" t="s">
        <v>255</v>
      </c>
      <c r="S40" s="28" t="s">
        <v>367</v>
      </c>
      <c r="T40" s="28" t="s">
        <v>367</v>
      </c>
      <c r="U40" s="28" t="s">
        <v>367</v>
      </c>
      <c r="V40" s="28" t="s">
        <v>367</v>
      </c>
      <c r="W40" s="28" t="s">
        <v>367</v>
      </c>
      <c r="X40" s="28" t="s">
        <v>367</v>
      </c>
      <c r="Y40" s="28" t="s">
        <v>367</v>
      </c>
      <c r="Z40" s="28" t="s">
        <v>367</v>
      </c>
      <c r="AA40" s="28" t="s">
        <v>367</v>
      </c>
      <c r="AB40" s="28" t="s">
        <v>367</v>
      </c>
      <c r="AC40" s="28" t="s">
        <v>660</v>
      </c>
      <c r="AD40" s="28" t="s">
        <v>661</v>
      </c>
      <c r="AE40" s="28" t="s">
        <v>540</v>
      </c>
      <c r="AF40" s="28" t="s">
        <v>367</v>
      </c>
      <c r="AG40" s="28" t="s">
        <v>318</v>
      </c>
      <c r="AH40" s="28" t="s">
        <v>694</v>
      </c>
      <c r="AI40" s="28" t="s">
        <v>175</v>
      </c>
      <c r="AJ40" s="28" t="s">
        <v>175</v>
      </c>
      <c r="AK40" s="28" t="s">
        <v>367</v>
      </c>
      <c r="AL40" s="28" t="s">
        <v>367</v>
      </c>
    </row>
    <row r="41">
      <c r="A41" s="28" t="s">
        <v>161</v>
      </c>
      <c r="B41" s="27">
        <v>2.20009748E9</v>
      </c>
      <c r="C41" s="28" t="s">
        <v>157</v>
      </c>
      <c r="D41" s="27">
        <v>10.0</v>
      </c>
      <c r="E41" s="28" t="s">
        <v>151</v>
      </c>
      <c r="F41" s="28" t="s">
        <v>148</v>
      </c>
      <c r="G41" s="28" t="s">
        <v>150</v>
      </c>
      <c r="H41" s="28" t="s">
        <v>657</v>
      </c>
      <c r="I41" s="46"/>
      <c r="J41" s="28" t="s">
        <v>658</v>
      </c>
      <c r="K41" s="27">
        <v>5.100134537E9</v>
      </c>
      <c r="L41" s="28" t="s">
        <v>727</v>
      </c>
      <c r="M41" s="46"/>
      <c r="N41" s="28" t="s">
        <v>367</v>
      </c>
      <c r="O41" s="28" t="s">
        <v>660</v>
      </c>
      <c r="P41" s="27">
        <v>0.0</v>
      </c>
      <c r="Q41" s="28" t="s">
        <v>604</v>
      </c>
      <c r="R41" s="28" t="s">
        <v>186</v>
      </c>
      <c r="S41" s="28" t="s">
        <v>367</v>
      </c>
      <c r="T41" s="28" t="s">
        <v>367</v>
      </c>
      <c r="U41" s="28" t="s">
        <v>367</v>
      </c>
      <c r="V41" s="28" t="s">
        <v>367</v>
      </c>
      <c r="W41" s="28" t="s">
        <v>367</v>
      </c>
      <c r="X41" s="28" t="s">
        <v>367</v>
      </c>
      <c r="Y41" s="28" t="s">
        <v>367</v>
      </c>
      <c r="Z41" s="28" t="s">
        <v>367</v>
      </c>
      <c r="AA41" s="28" t="s">
        <v>367</v>
      </c>
      <c r="AB41" s="28" t="s">
        <v>367</v>
      </c>
      <c r="AC41" s="28" t="s">
        <v>255</v>
      </c>
      <c r="AD41" s="28" t="s">
        <v>661</v>
      </c>
      <c r="AE41" s="28" t="s">
        <v>443</v>
      </c>
      <c r="AF41" s="28" t="s">
        <v>367</v>
      </c>
      <c r="AG41" s="28" t="s">
        <v>156</v>
      </c>
      <c r="AH41" s="28" t="s">
        <v>667</v>
      </c>
      <c r="AI41" s="28" t="s">
        <v>296</v>
      </c>
      <c r="AJ41" s="28" t="s">
        <v>296</v>
      </c>
      <c r="AK41" s="28" t="s">
        <v>367</v>
      </c>
      <c r="AL41" s="28" t="s">
        <v>367</v>
      </c>
    </row>
    <row r="42">
      <c r="A42" s="28" t="s">
        <v>325</v>
      </c>
      <c r="B42" s="27">
        <v>2.200099511E9</v>
      </c>
      <c r="C42" s="28" t="s">
        <v>157</v>
      </c>
      <c r="D42" s="27">
        <v>10.0</v>
      </c>
      <c r="E42" s="28" t="s">
        <v>151</v>
      </c>
      <c r="F42" s="28" t="s">
        <v>148</v>
      </c>
      <c r="G42" s="28" t="s">
        <v>324</v>
      </c>
      <c r="H42" s="28" t="s">
        <v>657</v>
      </c>
      <c r="I42" s="46"/>
      <c r="J42" s="28" t="s">
        <v>658</v>
      </c>
      <c r="K42" s="27">
        <v>5.100135296E9</v>
      </c>
      <c r="L42" s="47">
        <v>45719.0</v>
      </c>
      <c r="M42" s="46"/>
      <c r="N42" s="28" t="s">
        <v>367</v>
      </c>
      <c r="O42" s="28" t="s">
        <v>255</v>
      </c>
      <c r="P42" s="27">
        <v>0.0</v>
      </c>
      <c r="Q42" s="28" t="s">
        <v>670</v>
      </c>
      <c r="R42" s="28" t="s">
        <v>248</v>
      </c>
      <c r="S42" s="28" t="s">
        <v>367</v>
      </c>
      <c r="T42" s="28" t="s">
        <v>367</v>
      </c>
      <c r="U42" s="28" t="s">
        <v>367</v>
      </c>
      <c r="V42" s="28" t="s">
        <v>367</v>
      </c>
      <c r="W42" s="28" t="s">
        <v>367</v>
      </c>
      <c r="X42" s="28" t="s">
        <v>367</v>
      </c>
      <c r="Y42" s="28" t="s">
        <v>367</v>
      </c>
      <c r="Z42" s="28" t="s">
        <v>367</v>
      </c>
      <c r="AA42" s="28" t="s">
        <v>367</v>
      </c>
      <c r="AB42" s="28" t="s">
        <v>367</v>
      </c>
      <c r="AC42" s="28" t="s">
        <v>248</v>
      </c>
      <c r="AD42" s="28" t="s">
        <v>661</v>
      </c>
      <c r="AE42" s="28" t="s">
        <v>160</v>
      </c>
      <c r="AF42" s="28" t="s">
        <v>367</v>
      </c>
      <c r="AG42" s="28" t="s">
        <v>223</v>
      </c>
      <c r="AH42" s="28" t="s">
        <v>702</v>
      </c>
      <c r="AI42" s="28" t="s">
        <v>268</v>
      </c>
      <c r="AJ42" s="28" t="s">
        <v>268</v>
      </c>
      <c r="AK42" s="28" t="s">
        <v>367</v>
      </c>
      <c r="AL42" s="28" t="s">
        <v>367</v>
      </c>
    </row>
    <row r="43">
      <c r="A43" s="28" t="s">
        <v>187</v>
      </c>
      <c r="B43" s="27">
        <v>2.200098928E9</v>
      </c>
      <c r="C43" s="28" t="s">
        <v>174</v>
      </c>
      <c r="D43" s="27">
        <v>10.0</v>
      </c>
      <c r="E43" s="28" t="s">
        <v>151</v>
      </c>
      <c r="F43" s="28" t="s">
        <v>148</v>
      </c>
      <c r="G43" s="28" t="s">
        <v>182</v>
      </c>
      <c r="H43" s="28" t="s">
        <v>657</v>
      </c>
      <c r="I43" s="46"/>
      <c r="J43" s="28" t="s">
        <v>658</v>
      </c>
      <c r="K43" s="27">
        <v>5.100133854E9</v>
      </c>
      <c r="L43" s="28" t="s">
        <v>729</v>
      </c>
      <c r="M43" s="28" t="s">
        <v>367</v>
      </c>
      <c r="N43" s="28" t="s">
        <v>367</v>
      </c>
      <c r="O43" s="28" t="s">
        <v>660</v>
      </c>
      <c r="P43" s="27">
        <v>0.0</v>
      </c>
      <c r="Q43" s="28" t="s">
        <v>670</v>
      </c>
      <c r="R43" s="28" t="s">
        <v>410</v>
      </c>
      <c r="S43" s="28" t="s">
        <v>367</v>
      </c>
      <c r="T43" s="28" t="s">
        <v>367</v>
      </c>
      <c r="U43" s="28" t="s">
        <v>367</v>
      </c>
      <c r="V43" s="28" t="s">
        <v>367</v>
      </c>
      <c r="W43" s="28" t="s">
        <v>367</v>
      </c>
      <c r="X43" s="28" t="s">
        <v>367</v>
      </c>
      <c r="Y43" s="28" t="s">
        <v>367</v>
      </c>
      <c r="Z43" s="28" t="s">
        <v>367</v>
      </c>
      <c r="AA43" s="28" t="s">
        <v>367</v>
      </c>
      <c r="AB43" s="28" t="s">
        <v>367</v>
      </c>
      <c r="AC43" s="28" t="s">
        <v>410</v>
      </c>
      <c r="AD43" s="28" t="s">
        <v>661</v>
      </c>
      <c r="AE43" s="28" t="s">
        <v>367</v>
      </c>
      <c r="AF43" s="28" t="s">
        <v>367</v>
      </c>
      <c r="AG43" s="28" t="s">
        <v>176</v>
      </c>
      <c r="AH43" s="28" t="s">
        <v>683</v>
      </c>
      <c r="AI43" s="28" t="s">
        <v>176</v>
      </c>
      <c r="AJ43" s="28" t="s">
        <v>176</v>
      </c>
      <c r="AK43" s="28" t="s">
        <v>367</v>
      </c>
      <c r="AL43" s="28" t="s">
        <v>367</v>
      </c>
    </row>
    <row r="44">
      <c r="A44" s="28" t="s">
        <v>177</v>
      </c>
      <c r="B44" s="27">
        <v>2.20009891E9</v>
      </c>
      <c r="C44" s="28" t="s">
        <v>174</v>
      </c>
      <c r="D44" s="27">
        <v>10.0</v>
      </c>
      <c r="E44" s="28" t="s">
        <v>168</v>
      </c>
      <c r="F44" s="28" t="s">
        <v>148</v>
      </c>
      <c r="G44" s="28" t="s">
        <v>167</v>
      </c>
      <c r="H44" s="28" t="s">
        <v>657</v>
      </c>
      <c r="I44" s="46"/>
      <c r="J44" s="28" t="s">
        <v>658</v>
      </c>
      <c r="K44" s="27">
        <v>5.100133759E9</v>
      </c>
      <c r="L44" s="28" t="s">
        <v>730</v>
      </c>
      <c r="M44" s="46"/>
      <c r="N44" s="28" t="s">
        <v>367</v>
      </c>
      <c r="O44" s="28" t="s">
        <v>660</v>
      </c>
      <c r="P44" s="27">
        <v>0.0</v>
      </c>
      <c r="Q44" s="28" t="s">
        <v>660</v>
      </c>
      <c r="R44" s="28" t="s">
        <v>255</v>
      </c>
      <c r="S44" s="28" t="s">
        <v>367</v>
      </c>
      <c r="T44" s="28" t="s">
        <v>367</v>
      </c>
      <c r="U44" s="28" t="s">
        <v>367</v>
      </c>
      <c r="V44" s="28" t="s">
        <v>367</v>
      </c>
      <c r="W44" s="28" t="s">
        <v>367</v>
      </c>
      <c r="X44" s="28" t="s">
        <v>367</v>
      </c>
      <c r="Y44" s="28" t="s">
        <v>367</v>
      </c>
      <c r="Z44" s="28" t="s">
        <v>367</v>
      </c>
      <c r="AA44" s="28" t="s">
        <v>367</v>
      </c>
      <c r="AB44" s="28" t="s">
        <v>367</v>
      </c>
      <c r="AC44" s="28" t="s">
        <v>660</v>
      </c>
      <c r="AD44" s="28" t="s">
        <v>661</v>
      </c>
      <c r="AE44" s="28" t="s">
        <v>731</v>
      </c>
      <c r="AF44" s="28" t="s">
        <v>367</v>
      </c>
      <c r="AG44" s="28" t="s">
        <v>185</v>
      </c>
      <c r="AH44" s="28" t="s">
        <v>665</v>
      </c>
      <c r="AI44" s="28" t="s">
        <v>732</v>
      </c>
      <c r="AJ44" s="28" t="s">
        <v>732</v>
      </c>
      <c r="AK44" s="28" t="s">
        <v>367</v>
      </c>
      <c r="AL44" s="28" t="s">
        <v>367</v>
      </c>
    </row>
    <row r="45">
      <c r="A45" s="28" t="s">
        <v>195</v>
      </c>
      <c r="B45" s="27">
        <v>2.200099021E9</v>
      </c>
      <c r="C45" s="28" t="s">
        <v>174</v>
      </c>
      <c r="D45" s="27">
        <v>10.0</v>
      </c>
      <c r="E45" s="28" t="s">
        <v>151</v>
      </c>
      <c r="F45" s="28" t="s">
        <v>148</v>
      </c>
      <c r="G45" s="28" t="s">
        <v>192</v>
      </c>
      <c r="H45" s="28" t="s">
        <v>657</v>
      </c>
      <c r="I45" s="46"/>
      <c r="J45" s="28" t="s">
        <v>658</v>
      </c>
      <c r="K45" s="27">
        <v>5.100133816E9</v>
      </c>
      <c r="L45" s="28" t="s">
        <v>733</v>
      </c>
      <c r="M45" s="46"/>
      <c r="N45" s="28" t="s">
        <v>367</v>
      </c>
      <c r="O45" s="28" t="s">
        <v>410</v>
      </c>
      <c r="P45" s="27">
        <v>0.0</v>
      </c>
      <c r="Q45" s="28" t="s">
        <v>604</v>
      </c>
      <c r="R45" s="28" t="s">
        <v>248</v>
      </c>
      <c r="S45" s="28" t="s">
        <v>367</v>
      </c>
      <c r="T45" s="28" t="s">
        <v>367</v>
      </c>
      <c r="U45" s="28" t="s">
        <v>367</v>
      </c>
      <c r="V45" s="28" t="s">
        <v>367</v>
      </c>
      <c r="W45" s="28" t="s">
        <v>367</v>
      </c>
      <c r="X45" s="28" t="s">
        <v>367</v>
      </c>
      <c r="Y45" s="28" t="s">
        <v>367</v>
      </c>
      <c r="Z45" s="28" t="s">
        <v>367</v>
      </c>
      <c r="AA45" s="28" t="s">
        <v>367</v>
      </c>
      <c r="AB45" s="28" t="s">
        <v>367</v>
      </c>
      <c r="AC45" s="28" t="s">
        <v>604</v>
      </c>
      <c r="AD45" s="28" t="s">
        <v>661</v>
      </c>
      <c r="AE45" s="28" t="s">
        <v>366</v>
      </c>
      <c r="AF45" s="28" t="s">
        <v>367</v>
      </c>
      <c r="AG45" s="28" t="s">
        <v>185</v>
      </c>
      <c r="AH45" s="28" t="s">
        <v>665</v>
      </c>
      <c r="AI45" s="28" t="s">
        <v>734</v>
      </c>
      <c r="AJ45" s="28" t="s">
        <v>734</v>
      </c>
      <c r="AK45" s="28" t="s">
        <v>367</v>
      </c>
      <c r="AL45" s="28" t="s">
        <v>367</v>
      </c>
    </row>
    <row r="46">
      <c r="A46" s="28" t="s">
        <v>204</v>
      </c>
      <c r="B46" s="27">
        <v>2.200099022E9</v>
      </c>
      <c r="C46" s="28" t="s">
        <v>174</v>
      </c>
      <c r="D46" s="27">
        <v>10.0</v>
      </c>
      <c r="E46" s="28" t="s">
        <v>201</v>
      </c>
      <c r="F46" s="28" t="s">
        <v>148</v>
      </c>
      <c r="G46" s="28" t="s">
        <v>200</v>
      </c>
      <c r="H46" s="28" t="s">
        <v>657</v>
      </c>
      <c r="I46" s="46"/>
      <c r="J46" s="28" t="s">
        <v>658</v>
      </c>
      <c r="K46" s="27">
        <v>5.100134016E9</v>
      </c>
      <c r="L46" s="28" t="s">
        <v>735</v>
      </c>
      <c r="M46" s="46"/>
      <c r="N46" s="28" t="s">
        <v>367</v>
      </c>
      <c r="O46" s="28" t="s">
        <v>410</v>
      </c>
      <c r="P46" s="27">
        <v>0.0</v>
      </c>
      <c r="Q46" s="28" t="s">
        <v>604</v>
      </c>
      <c r="R46" s="28" t="s">
        <v>255</v>
      </c>
      <c r="S46" s="28" t="s">
        <v>367</v>
      </c>
      <c r="T46" s="28" t="s">
        <v>367</v>
      </c>
      <c r="U46" s="28" t="s">
        <v>367</v>
      </c>
      <c r="V46" s="28" t="s">
        <v>604</v>
      </c>
      <c r="W46" s="28" t="s">
        <v>367</v>
      </c>
      <c r="X46" s="28" t="s">
        <v>367</v>
      </c>
      <c r="Y46" s="28" t="s">
        <v>367</v>
      </c>
      <c r="Z46" s="28" t="s">
        <v>186</v>
      </c>
      <c r="AA46" s="28" t="s">
        <v>367</v>
      </c>
      <c r="AB46" s="28" t="s">
        <v>367</v>
      </c>
      <c r="AC46" s="28" t="s">
        <v>604</v>
      </c>
      <c r="AD46" s="28" t="s">
        <v>661</v>
      </c>
      <c r="AE46" s="28" t="s">
        <v>684</v>
      </c>
      <c r="AF46" s="28" t="s">
        <v>367</v>
      </c>
      <c r="AG46" s="28" t="s">
        <v>159</v>
      </c>
      <c r="AH46" s="28" t="s">
        <v>707</v>
      </c>
      <c r="AI46" s="28" t="s">
        <v>736</v>
      </c>
      <c r="AJ46" s="28" t="s">
        <v>736</v>
      </c>
      <c r="AK46" s="28" t="s">
        <v>367</v>
      </c>
      <c r="AL46" s="28" t="s">
        <v>367</v>
      </c>
    </row>
    <row r="47">
      <c r="A47" s="28" t="s">
        <v>214</v>
      </c>
      <c r="B47" s="27">
        <v>2.20009901E9</v>
      </c>
      <c r="C47" s="28" t="s">
        <v>213</v>
      </c>
      <c r="D47" s="27">
        <v>10.0</v>
      </c>
      <c r="E47" s="28" t="s">
        <v>168</v>
      </c>
      <c r="F47" s="28" t="s">
        <v>148</v>
      </c>
      <c r="G47" s="28" t="s">
        <v>210</v>
      </c>
      <c r="H47" s="28" t="s">
        <v>657</v>
      </c>
      <c r="I47" s="46"/>
      <c r="J47" s="28" t="s">
        <v>737</v>
      </c>
      <c r="K47" s="27">
        <v>5.100133774E9</v>
      </c>
      <c r="L47" s="28" t="s">
        <v>738</v>
      </c>
      <c r="M47" s="46"/>
      <c r="N47" s="28" t="s">
        <v>367</v>
      </c>
      <c r="O47" s="28" t="s">
        <v>670</v>
      </c>
      <c r="P47" s="27">
        <v>0.0</v>
      </c>
      <c r="Q47" s="28" t="s">
        <v>255</v>
      </c>
      <c r="R47" s="28" t="s">
        <v>670</v>
      </c>
      <c r="S47" s="28" t="s">
        <v>367</v>
      </c>
      <c r="T47" s="28" t="s">
        <v>367</v>
      </c>
      <c r="U47" s="28" t="s">
        <v>367</v>
      </c>
      <c r="V47" s="28" t="s">
        <v>367</v>
      </c>
      <c r="W47" s="28" t="s">
        <v>367</v>
      </c>
      <c r="X47" s="28" t="s">
        <v>367</v>
      </c>
      <c r="Y47" s="28" t="s">
        <v>367</v>
      </c>
      <c r="Z47" s="28" t="s">
        <v>367</v>
      </c>
      <c r="AA47" s="28" t="s">
        <v>367</v>
      </c>
      <c r="AB47" s="28" t="s">
        <v>367</v>
      </c>
      <c r="AC47" s="28" t="s">
        <v>255</v>
      </c>
      <c r="AD47" s="28" t="s">
        <v>661</v>
      </c>
      <c r="AE47" s="28" t="s">
        <v>666</v>
      </c>
      <c r="AF47" s="28" t="s">
        <v>367</v>
      </c>
      <c r="AG47" s="28" t="s">
        <v>176</v>
      </c>
      <c r="AH47" s="28" t="s">
        <v>683</v>
      </c>
      <c r="AI47" s="28" t="s">
        <v>739</v>
      </c>
      <c r="AJ47" s="28" t="s">
        <v>739</v>
      </c>
      <c r="AK47" s="28" t="s">
        <v>367</v>
      </c>
      <c r="AL47" s="28" t="s">
        <v>367</v>
      </c>
    </row>
    <row r="48">
      <c r="A48" s="28" t="s">
        <v>374</v>
      </c>
      <c r="B48" s="27">
        <v>2.200100349E9</v>
      </c>
      <c r="C48" s="28" t="s">
        <v>174</v>
      </c>
      <c r="D48" s="27">
        <v>10.0</v>
      </c>
      <c r="E48" s="28" t="s">
        <v>308</v>
      </c>
      <c r="F48" s="28" t="s">
        <v>148</v>
      </c>
      <c r="G48" s="28" t="s">
        <v>373</v>
      </c>
      <c r="H48" s="28" t="s">
        <v>657</v>
      </c>
      <c r="I48" s="46"/>
      <c r="J48" s="28" t="s">
        <v>658</v>
      </c>
      <c r="K48" s="27">
        <v>5.100135641E9</v>
      </c>
      <c r="L48" s="47">
        <v>45841.0</v>
      </c>
      <c r="M48" s="46"/>
      <c r="N48" s="28" t="s">
        <v>367</v>
      </c>
      <c r="O48" s="28" t="s">
        <v>660</v>
      </c>
      <c r="P48" s="27">
        <v>0.0</v>
      </c>
      <c r="Q48" s="28" t="s">
        <v>660</v>
      </c>
      <c r="R48" s="28" t="s">
        <v>248</v>
      </c>
      <c r="S48" s="28" t="s">
        <v>367</v>
      </c>
      <c r="T48" s="28" t="s">
        <v>367</v>
      </c>
      <c r="U48" s="28" t="s">
        <v>367</v>
      </c>
      <c r="V48" s="28" t="s">
        <v>367</v>
      </c>
      <c r="W48" s="28" t="s">
        <v>367</v>
      </c>
      <c r="X48" s="28" t="s">
        <v>367</v>
      </c>
      <c r="Y48" s="28" t="s">
        <v>367</v>
      </c>
      <c r="Z48" s="28" t="s">
        <v>367</v>
      </c>
      <c r="AA48" s="28" t="s">
        <v>367</v>
      </c>
      <c r="AB48" s="28" t="s">
        <v>367</v>
      </c>
      <c r="AC48" s="28" t="s">
        <v>660</v>
      </c>
      <c r="AD48" s="28" t="s">
        <v>661</v>
      </c>
      <c r="AE48" s="28" t="s">
        <v>366</v>
      </c>
      <c r="AF48" s="28" t="s">
        <v>367</v>
      </c>
      <c r="AG48" s="28" t="s">
        <v>160</v>
      </c>
      <c r="AH48" s="28" t="s">
        <v>718</v>
      </c>
      <c r="AI48" s="28" t="s">
        <v>740</v>
      </c>
      <c r="AJ48" s="28" t="s">
        <v>740</v>
      </c>
      <c r="AK48" s="28" t="s">
        <v>367</v>
      </c>
      <c r="AL48" s="28" t="s">
        <v>367</v>
      </c>
    </row>
    <row r="49">
      <c r="A49" s="28" t="s">
        <v>344</v>
      </c>
      <c r="B49" s="27">
        <v>2.200100292E9</v>
      </c>
      <c r="C49" s="28" t="s">
        <v>174</v>
      </c>
      <c r="D49" s="27">
        <v>10.0</v>
      </c>
      <c r="E49" s="28" t="s">
        <v>201</v>
      </c>
      <c r="F49" s="28" t="s">
        <v>148</v>
      </c>
      <c r="G49" s="28" t="s">
        <v>340</v>
      </c>
      <c r="H49" s="28" t="s">
        <v>657</v>
      </c>
      <c r="I49" s="46"/>
      <c r="J49" s="28" t="s">
        <v>658</v>
      </c>
      <c r="K49" s="27">
        <v>5.100135548E9</v>
      </c>
      <c r="L49" s="47">
        <v>45750.0</v>
      </c>
      <c r="M49" s="46"/>
      <c r="N49" s="28" t="s">
        <v>367</v>
      </c>
      <c r="O49" s="28" t="s">
        <v>410</v>
      </c>
      <c r="P49" s="27">
        <v>0.0</v>
      </c>
      <c r="Q49" s="28" t="s">
        <v>604</v>
      </c>
      <c r="R49" s="28" t="s">
        <v>255</v>
      </c>
      <c r="S49" s="28" t="s">
        <v>367</v>
      </c>
      <c r="T49" s="28" t="s">
        <v>367</v>
      </c>
      <c r="U49" s="28" t="s">
        <v>367</v>
      </c>
      <c r="V49" s="28" t="s">
        <v>367</v>
      </c>
      <c r="W49" s="28" t="s">
        <v>367</v>
      </c>
      <c r="X49" s="28" t="s">
        <v>367</v>
      </c>
      <c r="Y49" s="28" t="s">
        <v>367</v>
      </c>
      <c r="Z49" s="28" t="s">
        <v>367</v>
      </c>
      <c r="AA49" s="28" t="s">
        <v>367</v>
      </c>
      <c r="AB49" s="28" t="s">
        <v>367</v>
      </c>
      <c r="AC49" s="28" t="s">
        <v>660</v>
      </c>
      <c r="AD49" s="28" t="s">
        <v>661</v>
      </c>
      <c r="AE49" s="28" t="s">
        <v>741</v>
      </c>
      <c r="AF49" s="28" t="s">
        <v>367</v>
      </c>
      <c r="AG49" s="28" t="s">
        <v>185</v>
      </c>
      <c r="AH49" s="28" t="s">
        <v>665</v>
      </c>
      <c r="AI49" s="28" t="s">
        <v>742</v>
      </c>
      <c r="AJ49" s="28" t="s">
        <v>742</v>
      </c>
      <c r="AK49" s="28" t="s">
        <v>367</v>
      </c>
      <c r="AL49" s="28" t="s">
        <v>367</v>
      </c>
    </row>
    <row r="50">
      <c r="A50" s="28" t="s">
        <v>349</v>
      </c>
      <c r="B50" s="27">
        <v>2.200100293E9</v>
      </c>
      <c r="C50" s="28" t="s">
        <v>174</v>
      </c>
      <c r="D50" s="27">
        <v>10.0</v>
      </c>
      <c r="E50" s="28" t="s">
        <v>168</v>
      </c>
      <c r="F50" s="28" t="s">
        <v>148</v>
      </c>
      <c r="G50" s="28" t="s">
        <v>348</v>
      </c>
      <c r="H50" s="28" t="s">
        <v>657</v>
      </c>
      <c r="I50" s="46"/>
      <c r="J50" s="28" t="s">
        <v>658</v>
      </c>
      <c r="K50" s="27">
        <v>5.100135702E9</v>
      </c>
      <c r="L50" s="47">
        <v>45841.0</v>
      </c>
      <c r="M50" s="46"/>
      <c r="N50" s="28" t="s">
        <v>367</v>
      </c>
      <c r="O50" s="28" t="s">
        <v>604</v>
      </c>
      <c r="P50" s="27">
        <v>0.0</v>
      </c>
      <c r="Q50" s="28" t="s">
        <v>410</v>
      </c>
      <c r="R50" s="28" t="s">
        <v>176</v>
      </c>
      <c r="S50" s="28" t="s">
        <v>367</v>
      </c>
      <c r="T50" s="28" t="s">
        <v>367</v>
      </c>
      <c r="U50" s="28" t="s">
        <v>367</v>
      </c>
      <c r="V50" s="28" t="s">
        <v>367</v>
      </c>
      <c r="W50" s="28" t="s">
        <v>367</v>
      </c>
      <c r="X50" s="28" t="s">
        <v>367</v>
      </c>
      <c r="Y50" s="28" t="s">
        <v>367</v>
      </c>
      <c r="Z50" s="28" t="s">
        <v>367</v>
      </c>
      <c r="AA50" s="28" t="s">
        <v>367</v>
      </c>
      <c r="AB50" s="28" t="s">
        <v>367</v>
      </c>
      <c r="AC50" s="28" t="s">
        <v>604</v>
      </c>
      <c r="AD50" s="28" t="s">
        <v>661</v>
      </c>
      <c r="AE50" s="28" t="s">
        <v>743</v>
      </c>
      <c r="AF50" s="28" t="s">
        <v>367</v>
      </c>
      <c r="AG50" s="28" t="s">
        <v>156</v>
      </c>
      <c r="AH50" s="28" t="s">
        <v>667</v>
      </c>
      <c r="AI50" s="28" t="s">
        <v>744</v>
      </c>
      <c r="AJ50" s="28" t="s">
        <v>744</v>
      </c>
      <c r="AK50" s="28" t="s">
        <v>367</v>
      </c>
      <c r="AL50" s="28" t="s">
        <v>367</v>
      </c>
    </row>
    <row r="51">
      <c r="A51" s="28" t="s">
        <v>359</v>
      </c>
      <c r="B51" s="27">
        <v>2.200100274E9</v>
      </c>
      <c r="C51" s="28" t="s">
        <v>174</v>
      </c>
      <c r="D51" s="27">
        <v>10.0</v>
      </c>
      <c r="E51" s="28" t="s">
        <v>332</v>
      </c>
      <c r="F51" s="28" t="s">
        <v>148</v>
      </c>
      <c r="G51" s="28" t="s">
        <v>353</v>
      </c>
      <c r="H51" s="28" t="s">
        <v>657</v>
      </c>
      <c r="I51" s="46"/>
      <c r="J51" s="28" t="s">
        <v>658</v>
      </c>
      <c r="K51" s="27">
        <v>5.100138434E9</v>
      </c>
      <c r="L51" s="28" t="s">
        <v>745</v>
      </c>
      <c r="M51" s="46"/>
      <c r="N51" s="28" t="s">
        <v>367</v>
      </c>
      <c r="O51" s="28" t="s">
        <v>604</v>
      </c>
      <c r="P51" s="27">
        <v>0.0</v>
      </c>
      <c r="Q51" s="28" t="s">
        <v>670</v>
      </c>
      <c r="R51" s="28" t="s">
        <v>660</v>
      </c>
      <c r="S51" s="28" t="s">
        <v>367</v>
      </c>
      <c r="T51" s="28" t="s">
        <v>367</v>
      </c>
      <c r="U51" s="28" t="s">
        <v>367</v>
      </c>
      <c r="V51" s="28" t="s">
        <v>367</v>
      </c>
      <c r="W51" s="28" t="s">
        <v>367</v>
      </c>
      <c r="X51" s="28" t="s">
        <v>367</v>
      </c>
      <c r="Y51" s="28" t="s">
        <v>367</v>
      </c>
      <c r="Z51" s="28" t="s">
        <v>670</v>
      </c>
      <c r="AA51" s="28" t="s">
        <v>176</v>
      </c>
      <c r="AB51" s="28" t="s">
        <v>367</v>
      </c>
      <c r="AC51" s="28" t="s">
        <v>410</v>
      </c>
      <c r="AD51" s="28" t="s">
        <v>661</v>
      </c>
      <c r="AE51" s="28" t="s">
        <v>717</v>
      </c>
      <c r="AF51" s="28" t="s">
        <v>367</v>
      </c>
      <c r="AG51" s="28" t="s">
        <v>223</v>
      </c>
      <c r="AH51" s="28" t="s">
        <v>702</v>
      </c>
      <c r="AI51" s="28" t="s">
        <v>739</v>
      </c>
      <c r="AJ51" s="28" t="s">
        <v>739</v>
      </c>
      <c r="AK51" s="28" t="s">
        <v>367</v>
      </c>
      <c r="AL51" s="28" t="s">
        <v>367</v>
      </c>
    </row>
    <row r="52">
      <c r="A52" s="28" t="s">
        <v>384</v>
      </c>
      <c r="B52" s="27">
        <v>2.200100309E9</v>
      </c>
      <c r="C52" s="28" t="s">
        <v>157</v>
      </c>
      <c r="D52" s="27">
        <v>10.0</v>
      </c>
      <c r="E52" s="28" t="s">
        <v>316</v>
      </c>
      <c r="F52" s="28" t="s">
        <v>148</v>
      </c>
      <c r="G52" s="28" t="s">
        <v>380</v>
      </c>
      <c r="H52" s="28" t="s">
        <v>657</v>
      </c>
      <c r="I52" s="46"/>
      <c r="J52" s="28" t="s">
        <v>658</v>
      </c>
      <c r="K52" s="27">
        <v>5.100135739E9</v>
      </c>
      <c r="L52" s="47">
        <v>45933.0</v>
      </c>
      <c r="M52" s="46"/>
      <c r="N52" s="28" t="s">
        <v>367</v>
      </c>
      <c r="O52" s="28" t="s">
        <v>604</v>
      </c>
      <c r="P52" s="27">
        <v>0.0</v>
      </c>
      <c r="Q52" s="28" t="s">
        <v>604</v>
      </c>
      <c r="R52" s="28" t="s">
        <v>248</v>
      </c>
      <c r="S52" s="28" t="s">
        <v>367</v>
      </c>
      <c r="T52" s="28" t="s">
        <v>367</v>
      </c>
      <c r="U52" s="28" t="s">
        <v>367</v>
      </c>
      <c r="V52" s="28" t="s">
        <v>367</v>
      </c>
      <c r="W52" s="28" t="s">
        <v>367</v>
      </c>
      <c r="X52" s="28" t="s">
        <v>367</v>
      </c>
      <c r="Y52" s="28" t="s">
        <v>367</v>
      </c>
      <c r="Z52" s="28" t="s">
        <v>367</v>
      </c>
      <c r="AA52" s="28" t="s">
        <v>367</v>
      </c>
      <c r="AB52" s="28" t="s">
        <v>367</v>
      </c>
      <c r="AC52" s="28" t="s">
        <v>604</v>
      </c>
      <c r="AD52" s="28" t="s">
        <v>661</v>
      </c>
      <c r="AE52" s="28" t="s">
        <v>746</v>
      </c>
      <c r="AF52" s="28" t="s">
        <v>367</v>
      </c>
      <c r="AG52" s="28" t="s">
        <v>176</v>
      </c>
      <c r="AH52" s="28" t="s">
        <v>683</v>
      </c>
      <c r="AI52" s="28" t="s">
        <v>747</v>
      </c>
      <c r="AJ52" s="28" t="s">
        <v>747</v>
      </c>
      <c r="AK52" s="28" t="s">
        <v>367</v>
      </c>
      <c r="AL52" s="28" t="s">
        <v>367</v>
      </c>
    </row>
    <row r="53">
      <c r="A53" s="28" t="s">
        <v>394</v>
      </c>
      <c r="B53" s="27">
        <v>2.200100637E9</v>
      </c>
      <c r="C53" s="28" t="s">
        <v>174</v>
      </c>
      <c r="D53" s="27">
        <v>10.0</v>
      </c>
      <c r="E53" s="28" t="s">
        <v>332</v>
      </c>
      <c r="F53" s="28" t="s">
        <v>148</v>
      </c>
      <c r="G53" s="28" t="s">
        <v>390</v>
      </c>
      <c r="H53" s="28" t="s">
        <v>657</v>
      </c>
      <c r="I53" s="46"/>
      <c r="J53" s="28" t="s">
        <v>658</v>
      </c>
      <c r="K53" s="27">
        <v>5.100136776E9</v>
      </c>
      <c r="L53" s="28" t="s">
        <v>748</v>
      </c>
      <c r="M53" s="46"/>
      <c r="N53" s="28" t="s">
        <v>367</v>
      </c>
      <c r="O53" s="28" t="s">
        <v>160</v>
      </c>
      <c r="P53" s="27">
        <v>0.0</v>
      </c>
      <c r="Q53" s="28" t="s">
        <v>255</v>
      </c>
      <c r="R53" s="28" t="s">
        <v>410</v>
      </c>
      <c r="S53" s="28" t="s">
        <v>367</v>
      </c>
      <c r="T53" s="28" t="s">
        <v>367</v>
      </c>
      <c r="U53" s="28" t="s">
        <v>367</v>
      </c>
      <c r="V53" s="28" t="s">
        <v>367</v>
      </c>
      <c r="W53" s="28" t="s">
        <v>367</v>
      </c>
      <c r="X53" s="28" t="s">
        <v>367</v>
      </c>
      <c r="Y53" s="28" t="s">
        <v>367</v>
      </c>
      <c r="Z53" s="28" t="s">
        <v>367</v>
      </c>
      <c r="AA53" s="28" t="s">
        <v>367</v>
      </c>
      <c r="AB53" s="28" t="s">
        <v>367</v>
      </c>
      <c r="AC53" s="28" t="s">
        <v>670</v>
      </c>
      <c r="AD53" s="28" t="s">
        <v>661</v>
      </c>
      <c r="AE53" s="28" t="s">
        <v>696</v>
      </c>
      <c r="AF53" s="28" t="s">
        <v>367</v>
      </c>
      <c r="AG53" s="28" t="s">
        <v>401</v>
      </c>
      <c r="AH53" s="28" t="s">
        <v>749</v>
      </c>
      <c r="AI53" s="28" t="s">
        <v>693</v>
      </c>
      <c r="AJ53" s="28" t="s">
        <v>693</v>
      </c>
      <c r="AK53" s="28" t="s">
        <v>367</v>
      </c>
      <c r="AL53" s="28" t="s">
        <v>367</v>
      </c>
    </row>
    <row r="54">
      <c r="A54" s="28" t="s">
        <v>403</v>
      </c>
      <c r="B54" s="27">
        <v>2.200100969E9</v>
      </c>
      <c r="C54" s="28" t="s">
        <v>174</v>
      </c>
      <c r="D54" s="27">
        <v>10.0</v>
      </c>
      <c r="E54" s="28" t="s">
        <v>221</v>
      </c>
      <c r="F54" s="28" t="s">
        <v>148</v>
      </c>
      <c r="G54" s="28" t="s">
        <v>398</v>
      </c>
      <c r="H54" s="28" t="s">
        <v>657</v>
      </c>
      <c r="I54" s="46"/>
      <c r="J54" s="28" t="s">
        <v>658</v>
      </c>
      <c r="K54" s="27">
        <v>5.100136843E9</v>
      </c>
      <c r="L54" s="28" t="s">
        <v>750</v>
      </c>
      <c r="M54" s="46"/>
      <c r="N54" s="28" t="s">
        <v>367</v>
      </c>
      <c r="O54" s="28" t="s">
        <v>670</v>
      </c>
      <c r="P54" s="27">
        <v>0.0</v>
      </c>
      <c r="Q54" s="28" t="s">
        <v>410</v>
      </c>
      <c r="R54" s="28" t="s">
        <v>176</v>
      </c>
      <c r="S54" s="28" t="s">
        <v>367</v>
      </c>
      <c r="T54" s="28" t="s">
        <v>367</v>
      </c>
      <c r="U54" s="28" t="s">
        <v>367</v>
      </c>
      <c r="V54" s="28" t="s">
        <v>367</v>
      </c>
      <c r="W54" s="28" t="s">
        <v>367</v>
      </c>
      <c r="X54" s="28" t="s">
        <v>367</v>
      </c>
      <c r="Y54" s="28" t="s">
        <v>367</v>
      </c>
      <c r="Z54" s="28" t="s">
        <v>367</v>
      </c>
      <c r="AA54" s="28" t="s">
        <v>367</v>
      </c>
      <c r="AB54" s="28" t="s">
        <v>367</v>
      </c>
      <c r="AC54" s="28" t="s">
        <v>186</v>
      </c>
      <c r="AD54" s="28" t="s">
        <v>661</v>
      </c>
      <c r="AE54" s="28" t="s">
        <v>693</v>
      </c>
      <c r="AF54" s="28" t="s">
        <v>367</v>
      </c>
      <c r="AG54" s="28" t="s">
        <v>402</v>
      </c>
      <c r="AH54" s="28" t="s">
        <v>751</v>
      </c>
      <c r="AI54" s="28" t="s">
        <v>752</v>
      </c>
      <c r="AJ54" s="28" t="s">
        <v>752</v>
      </c>
      <c r="AK54" s="28" t="s">
        <v>367</v>
      </c>
      <c r="AL54" s="28" t="s">
        <v>367</v>
      </c>
    </row>
    <row r="55">
      <c r="A55" s="28" t="s">
        <v>411</v>
      </c>
      <c r="B55" s="27">
        <v>2.20010106E9</v>
      </c>
      <c r="C55" s="28" t="s">
        <v>174</v>
      </c>
      <c r="D55" s="27">
        <v>10.0</v>
      </c>
      <c r="E55" s="28" t="s">
        <v>201</v>
      </c>
      <c r="F55" s="28" t="s">
        <v>148</v>
      </c>
      <c r="G55" s="28" t="s">
        <v>408</v>
      </c>
      <c r="H55" s="28" t="s">
        <v>657</v>
      </c>
      <c r="I55" s="46"/>
      <c r="J55" s="28" t="s">
        <v>658</v>
      </c>
      <c r="K55" s="27">
        <v>5.100136775E9</v>
      </c>
      <c r="L55" s="28" t="s">
        <v>748</v>
      </c>
      <c r="M55" s="46"/>
      <c r="N55" s="28" t="s">
        <v>367</v>
      </c>
      <c r="O55" s="28" t="s">
        <v>604</v>
      </c>
      <c r="P55" s="27">
        <v>0.0</v>
      </c>
      <c r="Q55" s="28" t="s">
        <v>604</v>
      </c>
      <c r="R55" s="28" t="s">
        <v>670</v>
      </c>
      <c r="S55" s="28" t="s">
        <v>367</v>
      </c>
      <c r="T55" s="28" t="s">
        <v>367</v>
      </c>
      <c r="U55" s="28" t="s">
        <v>367</v>
      </c>
      <c r="V55" s="28" t="s">
        <v>367</v>
      </c>
      <c r="W55" s="28" t="s">
        <v>367</v>
      </c>
      <c r="X55" s="28" t="s">
        <v>367</v>
      </c>
      <c r="Y55" s="28" t="s">
        <v>367</v>
      </c>
      <c r="Z55" s="28" t="s">
        <v>367</v>
      </c>
      <c r="AA55" s="28" t="s">
        <v>367</v>
      </c>
      <c r="AB55" s="28" t="s">
        <v>367</v>
      </c>
      <c r="AC55" s="28" t="s">
        <v>660</v>
      </c>
      <c r="AD55" s="28" t="s">
        <v>661</v>
      </c>
      <c r="AE55" s="28" t="s">
        <v>684</v>
      </c>
      <c r="AF55" s="28" t="s">
        <v>367</v>
      </c>
      <c r="AG55" s="28" t="s">
        <v>255</v>
      </c>
      <c r="AH55" s="28" t="s">
        <v>716</v>
      </c>
      <c r="AI55" s="28" t="s">
        <v>675</v>
      </c>
      <c r="AJ55" s="28" t="s">
        <v>675</v>
      </c>
      <c r="AK55" s="28" t="s">
        <v>367</v>
      </c>
      <c r="AL55" s="28" t="s">
        <v>367</v>
      </c>
    </row>
    <row r="56">
      <c r="A56" s="28" t="s">
        <v>426</v>
      </c>
      <c r="B56" s="27">
        <v>2.200101457E9</v>
      </c>
      <c r="C56" s="28" t="s">
        <v>174</v>
      </c>
      <c r="D56" s="27">
        <v>10.0</v>
      </c>
      <c r="E56" s="28" t="s">
        <v>316</v>
      </c>
      <c r="F56" s="28" t="s">
        <v>148</v>
      </c>
      <c r="G56" s="28" t="s">
        <v>424</v>
      </c>
      <c r="H56" s="28" t="s">
        <v>657</v>
      </c>
      <c r="I56" s="46"/>
      <c r="J56" s="28" t="s">
        <v>658</v>
      </c>
      <c r="K56" s="27">
        <v>5.10013829E9</v>
      </c>
      <c r="L56" s="28" t="s">
        <v>753</v>
      </c>
      <c r="M56" s="28" t="s">
        <v>367</v>
      </c>
      <c r="N56" s="28" t="s">
        <v>367</v>
      </c>
      <c r="O56" s="28" t="s">
        <v>670</v>
      </c>
      <c r="P56" s="27">
        <v>0.0</v>
      </c>
      <c r="Q56" s="28" t="s">
        <v>670</v>
      </c>
      <c r="R56" s="28" t="s">
        <v>410</v>
      </c>
      <c r="S56" s="28" t="s">
        <v>367</v>
      </c>
      <c r="T56" s="28" t="s">
        <v>367</v>
      </c>
      <c r="U56" s="28" t="s">
        <v>367</v>
      </c>
      <c r="V56" s="28" t="s">
        <v>367</v>
      </c>
      <c r="W56" s="28" t="s">
        <v>367</v>
      </c>
      <c r="X56" s="28" t="s">
        <v>367</v>
      </c>
      <c r="Y56" s="28" t="s">
        <v>367</v>
      </c>
      <c r="Z56" s="28" t="s">
        <v>367</v>
      </c>
      <c r="AA56" s="28" t="s">
        <v>367</v>
      </c>
      <c r="AB56" s="28" t="s">
        <v>367</v>
      </c>
      <c r="AC56" s="28" t="s">
        <v>604</v>
      </c>
      <c r="AD56" s="28" t="s">
        <v>661</v>
      </c>
      <c r="AE56" s="28" t="s">
        <v>367</v>
      </c>
      <c r="AF56" s="28" t="s">
        <v>367</v>
      </c>
      <c r="AG56" s="28" t="s">
        <v>255</v>
      </c>
      <c r="AH56" s="28" t="s">
        <v>716</v>
      </c>
      <c r="AI56" s="28" t="s">
        <v>255</v>
      </c>
      <c r="AJ56" s="28" t="s">
        <v>255</v>
      </c>
      <c r="AK56" s="28" t="s">
        <v>367</v>
      </c>
      <c r="AL56" s="28" t="s">
        <v>367</v>
      </c>
    </row>
    <row r="57">
      <c r="A57" s="28" t="s">
        <v>453</v>
      </c>
      <c r="B57" s="27">
        <v>2.200101239E9</v>
      </c>
      <c r="C57" s="28" t="s">
        <v>174</v>
      </c>
      <c r="D57" s="27">
        <v>10.0</v>
      </c>
      <c r="E57" s="28" t="s">
        <v>201</v>
      </c>
      <c r="F57" s="28" t="s">
        <v>148</v>
      </c>
      <c r="G57" s="28" t="s">
        <v>449</v>
      </c>
      <c r="H57" s="28" t="s">
        <v>657</v>
      </c>
      <c r="I57" s="46"/>
      <c r="J57" s="28" t="s">
        <v>658</v>
      </c>
      <c r="K57" s="27">
        <v>5.100138109E9</v>
      </c>
      <c r="L57" s="47">
        <v>45874.0</v>
      </c>
      <c r="M57" s="28" t="s">
        <v>367</v>
      </c>
      <c r="N57" s="28" t="s">
        <v>367</v>
      </c>
      <c r="O57" s="28" t="s">
        <v>604</v>
      </c>
      <c r="P57" s="27">
        <v>0.0</v>
      </c>
      <c r="Q57" s="28" t="s">
        <v>670</v>
      </c>
      <c r="R57" s="28" t="s">
        <v>185</v>
      </c>
      <c r="S57" s="28" t="s">
        <v>367</v>
      </c>
      <c r="T57" s="28" t="s">
        <v>367</v>
      </c>
      <c r="U57" s="28" t="s">
        <v>367</v>
      </c>
      <c r="V57" s="28" t="s">
        <v>367</v>
      </c>
      <c r="W57" s="28" t="s">
        <v>367</v>
      </c>
      <c r="X57" s="28" t="s">
        <v>367</v>
      </c>
      <c r="Y57" s="28" t="s">
        <v>367</v>
      </c>
      <c r="Z57" s="28" t="s">
        <v>367</v>
      </c>
      <c r="AA57" s="28" t="s">
        <v>367</v>
      </c>
      <c r="AB57" s="28" t="s">
        <v>367</v>
      </c>
      <c r="AC57" s="28" t="s">
        <v>255</v>
      </c>
      <c r="AD57" s="28" t="s">
        <v>661</v>
      </c>
      <c r="AE57" s="28" t="s">
        <v>367</v>
      </c>
      <c r="AF57" s="28" t="s">
        <v>367</v>
      </c>
      <c r="AG57" s="28" t="s">
        <v>159</v>
      </c>
      <c r="AH57" s="28" t="s">
        <v>707</v>
      </c>
      <c r="AI57" s="28" t="s">
        <v>159</v>
      </c>
      <c r="AJ57" s="28" t="s">
        <v>159</v>
      </c>
      <c r="AK57" s="28" t="s">
        <v>367</v>
      </c>
      <c r="AL57" s="28" t="s">
        <v>367</v>
      </c>
    </row>
    <row r="58">
      <c r="A58" s="28" t="s">
        <v>418</v>
      </c>
      <c r="B58" s="27">
        <v>2.200101428E9</v>
      </c>
      <c r="C58" s="28" t="s">
        <v>174</v>
      </c>
      <c r="D58" s="27">
        <v>10.0</v>
      </c>
      <c r="E58" s="28" t="s">
        <v>316</v>
      </c>
      <c r="F58" s="28" t="s">
        <v>148</v>
      </c>
      <c r="G58" s="28" t="s">
        <v>416</v>
      </c>
      <c r="H58" s="28" t="s">
        <v>657</v>
      </c>
      <c r="I58" s="46"/>
      <c r="J58" s="28" t="s">
        <v>658</v>
      </c>
      <c r="K58" s="27">
        <v>5.100136768E9</v>
      </c>
      <c r="L58" s="28" t="s">
        <v>748</v>
      </c>
      <c r="M58" s="46"/>
      <c r="N58" s="28" t="s">
        <v>367</v>
      </c>
      <c r="O58" s="28" t="s">
        <v>670</v>
      </c>
      <c r="P58" s="27">
        <v>0.0</v>
      </c>
      <c r="Q58" s="28" t="s">
        <v>604</v>
      </c>
      <c r="R58" s="28" t="s">
        <v>255</v>
      </c>
      <c r="S58" s="28" t="s">
        <v>367</v>
      </c>
      <c r="T58" s="28" t="s">
        <v>367</v>
      </c>
      <c r="U58" s="28" t="s">
        <v>367</v>
      </c>
      <c r="V58" s="28" t="s">
        <v>367</v>
      </c>
      <c r="W58" s="28" t="s">
        <v>367</v>
      </c>
      <c r="X58" s="28" t="s">
        <v>367</v>
      </c>
      <c r="Y58" s="28" t="s">
        <v>367</v>
      </c>
      <c r="Z58" s="28" t="s">
        <v>367</v>
      </c>
      <c r="AA58" s="28" t="s">
        <v>367</v>
      </c>
      <c r="AB58" s="28" t="s">
        <v>367</v>
      </c>
      <c r="AC58" s="28" t="s">
        <v>670</v>
      </c>
      <c r="AD58" s="28" t="s">
        <v>661</v>
      </c>
      <c r="AE58" s="28" t="s">
        <v>675</v>
      </c>
      <c r="AF58" s="28" t="s">
        <v>367</v>
      </c>
      <c r="AG58" s="28" t="s">
        <v>248</v>
      </c>
      <c r="AH58" s="28" t="s">
        <v>689</v>
      </c>
      <c r="AI58" s="28" t="s">
        <v>754</v>
      </c>
      <c r="AJ58" s="28" t="s">
        <v>754</v>
      </c>
      <c r="AK58" s="28" t="s">
        <v>367</v>
      </c>
      <c r="AL58" s="28" t="s">
        <v>367</v>
      </c>
    </row>
    <row r="59">
      <c r="A59" s="28" t="s">
        <v>436</v>
      </c>
      <c r="B59" s="27">
        <v>2.200101315E9</v>
      </c>
      <c r="C59" s="28" t="s">
        <v>157</v>
      </c>
      <c r="D59" s="27">
        <v>10.0</v>
      </c>
      <c r="E59" s="28" t="s">
        <v>221</v>
      </c>
      <c r="F59" s="28" t="s">
        <v>148</v>
      </c>
      <c r="G59" s="28" t="s">
        <v>431</v>
      </c>
      <c r="H59" s="28" t="s">
        <v>657</v>
      </c>
      <c r="I59" s="46"/>
      <c r="J59" s="28" t="s">
        <v>658</v>
      </c>
      <c r="K59" s="27">
        <v>5.100137063E9</v>
      </c>
      <c r="L59" s="28" t="s">
        <v>755</v>
      </c>
      <c r="M59" s="28" t="s">
        <v>367</v>
      </c>
      <c r="N59" s="28" t="s">
        <v>367</v>
      </c>
      <c r="O59" s="28" t="s">
        <v>604</v>
      </c>
      <c r="P59" s="27">
        <v>0.0</v>
      </c>
      <c r="Q59" s="28" t="s">
        <v>670</v>
      </c>
      <c r="R59" s="28" t="s">
        <v>248</v>
      </c>
      <c r="S59" s="28" t="s">
        <v>367</v>
      </c>
      <c r="T59" s="28" t="s">
        <v>367</v>
      </c>
      <c r="U59" s="28" t="s">
        <v>367</v>
      </c>
      <c r="V59" s="28" t="s">
        <v>367</v>
      </c>
      <c r="W59" s="28" t="s">
        <v>367</v>
      </c>
      <c r="X59" s="28" t="s">
        <v>367</v>
      </c>
      <c r="Y59" s="28" t="s">
        <v>367</v>
      </c>
      <c r="Z59" s="28" t="s">
        <v>367</v>
      </c>
      <c r="AA59" s="28" t="s">
        <v>367</v>
      </c>
      <c r="AB59" s="28" t="s">
        <v>367</v>
      </c>
      <c r="AC59" s="28" t="s">
        <v>255</v>
      </c>
      <c r="AD59" s="28" t="s">
        <v>661</v>
      </c>
      <c r="AE59" s="28" t="s">
        <v>367</v>
      </c>
      <c r="AF59" s="28" t="s">
        <v>367</v>
      </c>
      <c r="AG59" s="28" t="s">
        <v>185</v>
      </c>
      <c r="AH59" s="28" t="s">
        <v>665</v>
      </c>
      <c r="AI59" s="28" t="s">
        <v>185</v>
      </c>
      <c r="AJ59" s="28" t="s">
        <v>185</v>
      </c>
      <c r="AK59" s="28" t="s">
        <v>367</v>
      </c>
      <c r="AL59" s="28" t="s">
        <v>367</v>
      </c>
    </row>
    <row r="60">
      <c r="A60" s="28" t="s">
        <v>444</v>
      </c>
      <c r="B60" s="27">
        <v>2.200101462E9</v>
      </c>
      <c r="C60" s="28" t="s">
        <v>157</v>
      </c>
      <c r="D60" s="27">
        <v>10.0</v>
      </c>
      <c r="E60" s="28" t="s">
        <v>221</v>
      </c>
      <c r="F60" s="28" t="s">
        <v>148</v>
      </c>
      <c r="G60" s="28" t="s">
        <v>441</v>
      </c>
      <c r="H60" s="28" t="s">
        <v>657</v>
      </c>
      <c r="I60" s="46"/>
      <c r="J60" s="28" t="s">
        <v>658</v>
      </c>
      <c r="K60" s="27">
        <v>5.10013822E9</v>
      </c>
      <c r="L60" s="47">
        <v>45905.0</v>
      </c>
      <c r="M60" s="28" t="s">
        <v>367</v>
      </c>
      <c r="N60" s="28" t="s">
        <v>367</v>
      </c>
      <c r="O60" s="28" t="s">
        <v>660</v>
      </c>
      <c r="P60" s="27">
        <v>0.0</v>
      </c>
      <c r="Q60" s="28" t="s">
        <v>670</v>
      </c>
      <c r="R60" s="28" t="s">
        <v>186</v>
      </c>
      <c r="S60" s="28" t="s">
        <v>367</v>
      </c>
      <c r="T60" s="28" t="s">
        <v>367</v>
      </c>
      <c r="U60" s="28" t="s">
        <v>367</v>
      </c>
      <c r="V60" s="28" t="s">
        <v>660</v>
      </c>
      <c r="W60" s="28" t="s">
        <v>367</v>
      </c>
      <c r="X60" s="28" t="s">
        <v>367</v>
      </c>
      <c r="Y60" s="28" t="s">
        <v>367</v>
      </c>
      <c r="Z60" s="28" t="s">
        <v>186</v>
      </c>
      <c r="AA60" s="28" t="s">
        <v>367</v>
      </c>
      <c r="AB60" s="28" t="s">
        <v>367</v>
      </c>
      <c r="AC60" s="28" t="s">
        <v>660</v>
      </c>
      <c r="AD60" s="28" t="s">
        <v>661</v>
      </c>
      <c r="AE60" s="28" t="s">
        <v>367</v>
      </c>
      <c r="AF60" s="28" t="s">
        <v>367</v>
      </c>
      <c r="AG60" s="28" t="s">
        <v>297</v>
      </c>
      <c r="AH60" s="28" t="s">
        <v>686</v>
      </c>
      <c r="AI60" s="28" t="s">
        <v>297</v>
      </c>
      <c r="AJ60" s="28" t="s">
        <v>297</v>
      </c>
      <c r="AK60" s="28" t="s">
        <v>367</v>
      </c>
      <c r="AL60" s="28" t="s">
        <v>367</v>
      </c>
    </row>
  </sheetData>
  <mergeCells count="1">
    <mergeCell ref="A1:AL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B2" s="48" t="s">
        <v>756</v>
      </c>
      <c r="C2" s="49"/>
      <c r="D2" s="50" t="s">
        <v>757</v>
      </c>
    </row>
    <row r="3">
      <c r="B3" s="51" t="s">
        <v>758</v>
      </c>
      <c r="C3" s="52" t="s">
        <v>759</v>
      </c>
      <c r="D3" s="52" t="s">
        <v>760</v>
      </c>
    </row>
    <row r="4">
      <c r="B4" s="51" t="s">
        <v>761</v>
      </c>
      <c r="C4" s="52" t="s">
        <v>762</v>
      </c>
      <c r="D4" s="52" t="s">
        <v>763</v>
      </c>
    </row>
    <row r="5">
      <c r="B5" s="51" t="s">
        <v>764</v>
      </c>
      <c r="C5" s="52" t="s">
        <v>765</v>
      </c>
      <c r="D5" s="52" t="s">
        <v>766</v>
      </c>
    </row>
    <row r="6">
      <c r="B6" s="51" t="s">
        <v>767</v>
      </c>
      <c r="C6" s="52" t="s">
        <v>768</v>
      </c>
      <c r="D6" s="52" t="s">
        <v>769</v>
      </c>
    </row>
    <row r="7">
      <c r="B7" s="51" t="s">
        <v>770</v>
      </c>
      <c r="C7" s="52" t="s">
        <v>771</v>
      </c>
      <c r="D7" s="52" t="s">
        <v>772</v>
      </c>
    </row>
    <row r="8">
      <c r="B8" s="51" t="s">
        <v>773</v>
      </c>
      <c r="C8" s="52" t="s">
        <v>774</v>
      </c>
      <c r="D8" s="52" t="s">
        <v>775</v>
      </c>
    </row>
  </sheetData>
  <mergeCells count="1">
    <mergeCell ref="B2:C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C1" s="6" t="s">
        <v>111</v>
      </c>
      <c r="D1" s="6" t="s">
        <v>776</v>
      </c>
      <c r="E1" s="6" t="s">
        <v>42</v>
      </c>
      <c r="F1" s="6" t="s">
        <v>777</v>
      </c>
      <c r="H1" s="6" t="s">
        <v>77</v>
      </c>
      <c r="I1" s="6" t="s">
        <v>86</v>
      </c>
      <c r="J1" s="6" t="s">
        <v>778</v>
      </c>
    </row>
    <row r="2">
      <c r="B2" s="53">
        <v>1.0</v>
      </c>
      <c r="C2" s="6">
        <v>2.0</v>
      </c>
      <c r="D2" s="6">
        <v>3.0</v>
      </c>
      <c r="E2" s="6">
        <v>4.0</v>
      </c>
      <c r="F2" s="53">
        <v>5.0</v>
      </c>
      <c r="G2" s="6">
        <v>6.0</v>
      </c>
      <c r="H2" s="6">
        <v>7.0</v>
      </c>
      <c r="I2" s="6">
        <v>8.0</v>
      </c>
      <c r="J2" s="53">
        <v>9.0</v>
      </c>
      <c r="K2" s="6">
        <v>10.0</v>
      </c>
      <c r="L2" s="6">
        <v>11.0</v>
      </c>
      <c r="M2" s="6">
        <v>12.0</v>
      </c>
    </row>
    <row r="3">
      <c r="A3" s="54"/>
      <c r="B3" s="55" t="s">
        <v>134</v>
      </c>
      <c r="C3" s="56" t="s">
        <v>779</v>
      </c>
      <c r="D3" s="56" t="s">
        <v>780</v>
      </c>
      <c r="E3" s="56" t="s">
        <v>781</v>
      </c>
      <c r="F3" s="56" t="s">
        <v>782</v>
      </c>
      <c r="G3" s="56" t="s">
        <v>783</v>
      </c>
      <c r="H3" s="56" t="s">
        <v>784</v>
      </c>
      <c r="I3" s="56" t="s">
        <v>785</v>
      </c>
      <c r="J3" s="56" t="s">
        <v>786</v>
      </c>
      <c r="K3" s="56" t="s">
        <v>787</v>
      </c>
      <c r="L3" s="56" t="s">
        <v>788</v>
      </c>
      <c r="M3" s="56" t="s">
        <v>789</v>
      </c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>
      <c r="B4" s="6" t="s">
        <v>790</v>
      </c>
      <c r="C4" s="6">
        <v>6.0</v>
      </c>
      <c r="J4" s="6">
        <v>3.0</v>
      </c>
      <c r="K4" s="5">
        <f t="shared" ref="K4:K7" si="1">C4</f>
        <v>6</v>
      </c>
      <c r="L4" s="5">
        <f t="shared" ref="L4:L7" si="2">sum(D4:J4)</f>
        <v>3</v>
      </c>
      <c r="M4" s="5">
        <f t="shared" ref="M4:M7" si="3">K4+L4</f>
        <v>9</v>
      </c>
    </row>
    <row r="5">
      <c r="A5" s="6" t="s">
        <v>791</v>
      </c>
      <c r="B5" s="6" t="s">
        <v>174</v>
      </c>
      <c r="C5" s="6">
        <v>9.0</v>
      </c>
      <c r="D5" s="6">
        <v>7.0</v>
      </c>
      <c r="E5" s="6">
        <v>5.0</v>
      </c>
      <c r="F5" s="6">
        <v>7.0</v>
      </c>
      <c r="G5" s="6">
        <v>0.0</v>
      </c>
      <c r="H5" s="6">
        <v>7.0</v>
      </c>
      <c r="I5" s="6">
        <v>7.0</v>
      </c>
      <c r="J5" s="6">
        <v>7.0</v>
      </c>
      <c r="K5" s="5">
        <f t="shared" si="1"/>
        <v>9</v>
      </c>
      <c r="L5" s="5">
        <f t="shared" si="2"/>
        <v>40</v>
      </c>
      <c r="M5" s="5">
        <f t="shared" si="3"/>
        <v>49</v>
      </c>
    </row>
    <row r="6">
      <c r="B6" s="6" t="s">
        <v>213</v>
      </c>
      <c r="C6" s="6">
        <v>4.0</v>
      </c>
      <c r="D6" s="6">
        <v>4.0</v>
      </c>
      <c r="E6" s="6">
        <v>1.0</v>
      </c>
      <c r="F6" s="6">
        <v>2.0</v>
      </c>
      <c r="G6" s="6">
        <v>0.0</v>
      </c>
      <c r="H6" s="6">
        <v>2.0</v>
      </c>
      <c r="I6" s="6">
        <v>3.0</v>
      </c>
      <c r="J6" s="6">
        <v>3.0</v>
      </c>
      <c r="K6" s="5">
        <f t="shared" si="1"/>
        <v>4</v>
      </c>
      <c r="L6" s="5">
        <f t="shared" si="2"/>
        <v>15</v>
      </c>
      <c r="M6" s="5">
        <f t="shared" si="3"/>
        <v>19</v>
      </c>
    </row>
    <row r="7">
      <c r="B7" s="6" t="s">
        <v>792</v>
      </c>
      <c r="C7" s="6">
        <v>4.0</v>
      </c>
      <c r="D7" s="6">
        <v>4.0</v>
      </c>
      <c r="E7" s="6">
        <v>1.0</v>
      </c>
      <c r="F7" s="6">
        <v>2.0</v>
      </c>
      <c r="G7" s="6">
        <v>0.0</v>
      </c>
      <c r="H7" s="6">
        <v>2.0</v>
      </c>
      <c r="I7" s="6">
        <v>3.0</v>
      </c>
      <c r="J7" s="6">
        <v>3.0</v>
      </c>
      <c r="K7" s="5">
        <f t="shared" si="1"/>
        <v>4</v>
      </c>
      <c r="L7" s="5">
        <f t="shared" si="2"/>
        <v>15</v>
      </c>
      <c r="M7" s="5">
        <f t="shared" si="3"/>
        <v>19</v>
      </c>
    </row>
  </sheetData>
  <mergeCells count="1">
    <mergeCell ref="F1:G1"/>
  </mergeCells>
  <drawing r:id="rId1"/>
</worksheet>
</file>